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63d4d6d8d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5b564068cae242f6"/>
    <x:sheet xmlns:r="http://schemas.openxmlformats.org/officeDocument/2006/relationships" name="01_Файлы_93" sheetId="2" r:id="Rd13fd562384541e5"/>
    <x:sheet xmlns:r="http://schemas.openxmlformats.org/officeDocument/2006/relationships" name="02_Target_registers" sheetId="3" r:id="R9accca869aba4e28"/>
    <x:sheet xmlns:r="http://schemas.openxmlformats.org/officeDocument/2006/relationships" name="03_Link_summary" sheetId="4" r:id="Rb4d3888b728b467f"/>
    <x:sheet xmlns:r="http://schemas.openxmlformats.org/officeDocument/2006/relationships" name="04_Formula_summary" sheetId="5" r:id="R12b8737262f04b4f"/>
    <x:sheet xmlns:r="http://schemas.openxmlformats.org/officeDocument/2006/relationships" name="05_Ремедиация_15" sheetId="6" r:id="R9816cf4062584879"/>
    <x:sheet xmlns:r="http://schemas.openxmlformats.org/officeDocument/2006/relationships" name="06_Что_не_хватает" sheetId="7" r:id="R4c366c06f86444f2"/>
    <x:sheet xmlns:r="http://schemas.openxmlformats.org/officeDocument/2006/relationships" name="07_Анализы_30" sheetId="8" r:id="R432bfafc28e546da"/>
    <x:sheet xmlns:r="http://schemas.openxmlformats.org/officeDocument/2006/relationships" name="08_CSV_реестры" sheetId="9" r:id="R13848547e20f464a"/>
    <x:sheet xmlns:r="http://schemas.openxmlformats.org/officeDocument/2006/relationships" name="09_План" sheetId="10" r:id="R63ae6aa49c7245e5"/>
    <x:sheet xmlns:r="http://schemas.openxmlformats.org/officeDocument/2006/relationships" name="10_Алгоритм" sheetId="11" r:id="R0869a00829c140d3"/>
    <x:sheet xmlns:r="http://schemas.openxmlformats.org/officeDocument/2006/relationships" name="11_Методика" sheetId="12" r:id="R21abca95c9dc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9"/>
      <x:color rgb="FF203864"/>
      <x:name val="Carlito"/>
    </x:font>
    <x:font>
      <x:b/>
      <x:sz val="13"/>
      <x:color rgb="FF203864"/>
      <x:name val="Carlito"/>
    </x:font>
    <x:font>
      <x:b/>
      <x:sz val="11"/>
      <x:color rgb="FFFFFFFF"/>
      <x:name val="Carlito"/>
    </x:font>
    <x:font>
      <x:b/>
      <x:sz val="10"/>
      <x:color rgb="FF7F6000"/>
      <x:name val="Carlito"/>
    </x:font>
    <x:font>
      <x:b/>
      <x:sz val="8"/>
      <x:color rgb="FFFFFFFF"/>
      <x:name val="Carlito"/>
    </x:font>
    <x:font>
      <x:sz val="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a82044a594b94" /><Relationship Type="http://schemas.openxmlformats.org/officeDocument/2006/relationships/theme" Target="/xl/theme/theme1.xml" Id="R990bb5be8ad74a90" /><Relationship Type="http://schemas.openxmlformats.org/officeDocument/2006/relationships/sharedStrings" Target="/xl/sharedStrings.xml" Id="R69be917df8414d03" /><Relationship Type="http://schemas.openxmlformats.org/officeDocument/2006/relationships/worksheet" Target="/xl/worksheets/sheet1.xml" Id="R5b564068cae242f6" /><Relationship Type="http://schemas.openxmlformats.org/officeDocument/2006/relationships/worksheet" Target="/xl/worksheets/sheet2.xml" Id="Rd13fd562384541e5" /><Relationship Type="http://schemas.openxmlformats.org/officeDocument/2006/relationships/worksheet" Target="/xl/worksheets/sheet3.xml" Id="R9accca869aba4e28" /><Relationship Type="http://schemas.openxmlformats.org/officeDocument/2006/relationships/worksheet" Target="/xl/worksheets/sheet4.xml" Id="Rb4d3888b728b467f" /><Relationship Type="http://schemas.openxmlformats.org/officeDocument/2006/relationships/worksheet" Target="/xl/worksheets/sheet5.xml" Id="R12b8737262f04b4f" /><Relationship Type="http://schemas.openxmlformats.org/officeDocument/2006/relationships/worksheet" Target="/xl/worksheets/sheet6.xml" Id="R9816cf4062584879" /><Relationship Type="http://schemas.openxmlformats.org/officeDocument/2006/relationships/worksheet" Target="/xl/worksheets/sheet7.xml" Id="R4c366c06f86444f2" /><Relationship Type="http://schemas.openxmlformats.org/officeDocument/2006/relationships/worksheet" Target="/xl/worksheets/sheet8.xml" Id="R432bfafc28e546da" /><Relationship Type="http://schemas.openxmlformats.org/officeDocument/2006/relationships/worksheet" Target="/xl/worksheets/sheet9.xml" Id="R13848547e20f464a" /><Relationship Type="http://schemas.openxmlformats.org/officeDocument/2006/relationships/worksheet" Target="/xl/worksheets/sheet10.xml" Id="R63ae6aa49c7245e5" /><Relationship Type="http://schemas.openxmlformats.org/officeDocument/2006/relationships/worksheet" Target="/xl/worksheets/sheet11.xml" Id="R0869a00829c140d3" /><Relationship Type="http://schemas.openxmlformats.org/officeDocument/2006/relationships/worksheet" Target="/xl/worksheets/sheet12.xml" Id="R21abca95c9dc41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e5aa12017847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Technical defects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'00_Сводка'!$A$26:$A$29</c:f>
              <c:strCache>
                <c:ptCount val="0"/>
              </c:strCache>
            </c:strRef>
          </c:cat>
          <c:val>
            <c:numRef>
              <c:f>'00_Сводка'!$B$26:$B$29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e5aa12017847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fd73ea0b014b9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5" t="str">
        <x:v>ЭТАП 21 — ПОЛЕВОЙ LINEAGE, РЕМЕДИАЦИЯ И RETEST СВЯЗЕЙ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4" t="str">
        <x:v>В Excel — управленческий контроль; полный детальный уровень находится в CSV-регистрах и Visio.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>
      <x:c r="A4" s="24" t="str">
        <x:v>3093
Поля</x:v>
      </x:c>
      <x:c r="B4" s="24"/>
      <x:c r="C4" s="24"/>
      <x:c r="D4" s="24" t="str">
        <x:v>491
Ключи</x:v>
      </x:c>
      <x:c r="E4" s="24"/>
      <x:c r="F4" s="24"/>
      <x:c r="G4" s="24" t="str">
        <x:v>199
Связи</x:v>
      </x:c>
      <x:c r="H4" s="24"/>
      <x:c r="I4" s="24"/>
      <x:c r="J4" s="24" t="str">
        <x:v>644
Field lineage</x:v>
      </x:c>
      <x:c r="K4" s="24"/>
      <x:c r="L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</x:row>
    <x:row r="9">
      <x:c r="A9" s="24" t="str">
        <x:v>557
Ошибки</x:v>
      </x:c>
      <x:c r="B9" s="24"/>
      <x:c r="C9" s="24"/>
      <x:c r="D9" s="24" t="str">
        <x:v>14
#REF!</x:v>
      </x:c>
      <x:c r="E9" s="24"/>
      <x:c r="F9" s="24"/>
      <x:c r="G9" s="24" t="str">
        <x:v>543
#DIV/0!</x:v>
      </x:c>
      <x:c r="H9" s="24"/>
      <x:c r="I9" s="24"/>
      <x:c r="J9" s="24" t="str">
        <x:v>24
Gaps</x:v>
      </x:c>
      <x:c r="K9" s="24"/>
      <x:c r="L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</x:row>
    <x:row r="15">
      <x:c r="A15" s="31" t="str">
        <x:v>Статус links</x:v>
      </x:c>
      <x:c r="B15" s="31" t="str">
        <x:v>Count</x:v>
      </x:c>
      <x:c r="C15" s="31" t="str">
        <x:v>Share</x:v>
      </x:c>
      <x:c r="D15" s="31" t="str">
        <x:v>Interpretation</x:v>
      </x:c>
      <x:c r="F15" s="40" t="str">
        <x:v>Техническая ремедиация подготовлена на уровне каждой ячейки и каждого link. Оригиналы не изменены. 14 #REF нельзя восстанавливать автоматически; 543 #DIV/0 разделены на root/shared/propagated. После исправления новой версии нужно повторно тестировать все затронутые связи. Техническое исправление не закрывает missing business registries.</x:v>
      </x:c>
      <x:c r="G15" s="40"/>
      <x:c r="H15" s="40"/>
      <x:c r="I15" s="40"/>
      <x:c r="J15" s="40"/>
      <x:c r="K15" s="40"/>
      <x:c r="L15" s="40"/>
      <x:c r="M15" s="40"/>
      <x:c r="N15" s="40"/>
    </x:row>
    <x:row r="16">
      <x:c r="A16" t="str">
        <x:v>Подтверждено</x:v>
      </x:c>
      <x:c r="B16" t="n">
        <x:v>50</x:v>
      </x:c>
      <x:c r="C16" s="34" t="n">
        <x:f>B16/$B$19</x:f>
        <x:v>0.25125628140703515</x:v>
      </x:c>
      <x:c r="D16" t="str">
        <x:v>Current grain only</x:v>
      </x:c>
      <x:c r="F16" s="40"/>
      <x:c r="G16" s="40"/>
      <x:c r="H16" s="40"/>
      <x:c r="I16" s="40"/>
      <x:c r="J16" s="40"/>
      <x:c r="K16" s="40"/>
      <x:c r="L16" s="40"/>
      <x:c r="M16" s="40"/>
      <x:c r="N16" s="40"/>
    </x:row>
    <x:row r="17">
      <x:c r="A17" t="str">
        <x:v>Частично</x:v>
      </x:c>
      <x:c r="B17" t="n">
        <x:v>142</x:v>
      </x:c>
      <x:c r="C17" s="34" t="n">
        <x:f>B17/$B$19</x:f>
        <x:v>0.7135678391959799</x:v>
      </x:c>
      <x:c r="D17" t="str">
        <x:v>Missing primary ID/register</x:v>
      </x:c>
      <x:c r="F17" s="40"/>
      <x:c r="G17" s="40"/>
      <x:c r="H17" s="40"/>
      <x:c r="I17" s="40"/>
      <x:c r="J17" s="40"/>
      <x:c r="K17" s="40"/>
      <x:c r="L17" s="40"/>
      <x:c r="M17" s="40"/>
      <x:c r="N17" s="40"/>
    </x:row>
    <x:row r="18">
      <x:c r="A18" t="str">
        <x:v>Отсутствует</x:v>
      </x:c>
      <x:c r="B18" t="n">
        <x:v>7</x:v>
      </x:c>
      <x:c r="C18" s="34" t="n">
        <x:f>B18/$B$19</x:f>
        <x:v>0.035175879396984924</x:v>
      </x:c>
      <x:c r="D18" t="str">
        <x:v>Not evidenced</x:v>
      </x:c>
      <x:c r="F18" s="40"/>
      <x:c r="G18" s="40"/>
      <x:c r="H18" s="40"/>
      <x:c r="I18" s="40"/>
      <x:c r="J18" s="40"/>
      <x:c r="K18" s="40"/>
      <x:c r="L18" s="40"/>
      <x:c r="M18" s="40"/>
      <x:c r="N18" s="40"/>
    </x:row>
    <x:row r="19">
      <x:c r="A19" t="str">
        <x:v>Итого</x:v>
      </x:c>
      <x:c r="B19" t="n">
        <x:v>199</x:v>
      </x:c>
      <x:c r="C19" s="34" t="n">
        <x:f>SUM(C16:C18)</x:f>
        <x:v>1</x:v>
      </x:c>
      <x:c r="D19" t="str"/>
      <x:c r="F19" s="40"/>
      <x:c r="G19" s="40"/>
      <x:c r="H19" s="40"/>
      <x:c r="I19" s="40"/>
      <x:c r="J19" s="40"/>
      <x:c r="K19" s="40"/>
      <x:c r="L19" s="40"/>
      <x:c r="M19" s="40"/>
      <x:c r="N19" s="40"/>
    </x:row>
    <x:row r="20">
      <x:c r="F20" s="40"/>
      <x:c r="G20" s="40"/>
      <x:c r="H20" s="40"/>
      <x:c r="I20" s="40"/>
      <x:c r="J20" s="40"/>
      <x:c r="K20" s="40"/>
      <x:c r="L20" s="40"/>
      <x:c r="M20" s="40"/>
      <x:c r="N20" s="40"/>
    </x:row>
    <x:row r="21">
      <x:c r="F21" s="40"/>
      <x:c r="G21" s="40"/>
      <x:c r="H21" s="40"/>
      <x:c r="I21" s="40"/>
      <x:c r="J21" s="40"/>
      <x:c r="K21" s="40"/>
      <x:c r="L21" s="40"/>
      <x:c r="M21" s="40"/>
      <x:c r="N21" s="40"/>
    </x:row>
    <x:row r="22">
      <x:c r="F22" s="40"/>
      <x:c r="G22" s="40"/>
      <x:c r="H22" s="40"/>
      <x:c r="I22" s="40"/>
      <x:c r="J22" s="40"/>
      <x:c r="K22" s="40"/>
      <x:c r="L22" s="40"/>
      <x:c r="M22" s="40"/>
      <x:c r="N22" s="40"/>
    </x:row>
    <x:row r="25">
      <x:c r="A25" t="str">
        <x:v>Type</x:v>
      </x:c>
      <x:c r="B25" t="str">
        <x:v>Count</x:v>
      </x:c>
    </x:row>
    <x:row r="26">
      <x:c r="A26" t="str">
        <x:v>#REF!</x:v>
      </x:c>
      <x:c r="B26" t="n">
        <x:v>14</x:v>
      </x:c>
    </x:row>
    <x:row r="27">
      <x:c r="A27" t="str">
        <x:v>#DIV/0!</x:v>
      </x:c>
      <x:c r="B27" t="n">
        <x:v>543</x:v>
      </x:c>
    </x:row>
    <x:row r="28">
      <x:c r="A28" t="str">
        <x:v>External</x:v>
      </x:c>
      <x:c r="B28" t="n">
        <x:v>9</x:v>
      </x:c>
    </x:row>
    <x:row r="29">
      <x:c r="A29" t="str">
        <x:v>Hidden</x:v>
      </x:c>
      <x:c r="B29" t="n">
        <x:v>1</x:v>
      </x:c>
    </x:row>
  </x:sheetData>
  <x:mergeCells>
    <x:mergeCell ref="A1:N1"/>
    <x:mergeCell ref="A2:N2"/>
    <x:mergeCell ref="A4:C7"/>
    <x:mergeCell ref="D4:F7"/>
    <x:mergeCell ref="G4:I7"/>
    <x:mergeCell ref="J4:L7"/>
    <x:mergeCell ref="A9:C12"/>
    <x:mergeCell ref="D9:F12"/>
    <x:mergeCell ref="G9:I12"/>
    <x:mergeCell ref="J9:L12"/>
    <x:mergeCell ref="F15:N22"/>
  </x:mergeCells>
  <x:pageMargins left="0.7" right="0.7" top="0.75" bottom="0.75" header="0.3" footer="0.3"/>
  <x:drawing xmlns:r="http://schemas.openxmlformats.org/officeDocument/2006/relationships" r:id="R9cfd73ea0b014b97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22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24" hidden="0" customWidth="1"/>
    <x:col min="14" max="14" width="62" hidden="0" customWidth="1"/>
    <x:col min="15" max="15" width="62" hidden="0" customWidth="1"/>
  </x:cols>
  <x:sheetData>
    <x:row r="1" ht="30" customHeight="1">
      <x:c r="A1" s="5" t="str">
        <x:v>93 SOURCES — FIELD/TECHNICAL COVERAGE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14" t="str">
        <x:v>Fields, keys, errors, target registers and link impact by file.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4" ht="32" customHeight="1">
      <x:c r="A4" s="49" t="str">
        <x:v>source_file_id</x:v>
      </x:c>
      <x:c r="B4" s="49" t="str">
        <x:v>version_id</x:v>
      </x:c>
      <x:c r="C4" s="49" t="str">
        <x:v>file_name</x:v>
      </x:c>
      <x:c r="D4" s="49" t="str">
        <x:v>domain</x:v>
      </x:c>
      <x:c r="E4" s="49" t="str">
        <x:v>fields</x:v>
      </x:c>
      <x:c r="F4" s="49" t="str">
        <x:v>key_candidates</x:v>
      </x:c>
      <x:c r="G4" s="49" t="str">
        <x:v>mapped</x:v>
      </x:c>
      <x:c r="H4" s="49" t="str">
        <x:v>unclassified</x:v>
      </x:c>
      <x:c r="I4" s="49" t="str">
        <x:v>formula_errors</x:v>
      </x:c>
      <x:c r="J4" s="49" t="str">
        <x:v>external_dependencies</x:v>
      </x:c>
      <x:c r="K4" s="49" t="str">
        <x:v>hidden_sheets</x:v>
      </x:c>
      <x:c r="L4" s="49" t="str">
        <x:v>links_impacted</x:v>
      </x:c>
      <x:c r="M4" s="49" t="str">
        <x:v>technical_status</x:v>
      </x:c>
      <x:c r="N4" s="49" t="str">
        <x:v>production_use_rule</x:v>
      </x:c>
      <x:c r="O4" s="49" t="str">
        <x:v>missing_for_closure</x:v>
      </x:c>
    </x:row>
    <x:row r="5">
      <x:c r="A5" s="56" t="str">
        <x:v>FILE-001</x:v>
      </x:c>
      <x:c r="B5" s="56" t="str">
        <x:v>VER-001-001</x:v>
      </x:c>
      <x:c r="C5" s="56" t="str">
        <x:v>6-НДФЛ (с 2021 года) за 2024 г. (ДЕКОР ООО).pdf</x:v>
      </x:c>
      <x:c r="D5" s="56" t="str">
        <x:v>Налоги и обязательная отчётность</x:v>
      </x:c>
      <x:c r="E5" s="56" t="n">
        <x:v>0</x:v>
      </x:c>
      <x:c r="F5" s="56" t="n">
        <x:v>0</x:v>
      </x:c>
      <x:c r="G5" s="56" t="n">
        <x:v>0</x:v>
      </x:c>
      <x:c r="H5" s="56" t="n">
        <x:v>0</x:v>
      </x:c>
      <x:c r="I5" s="56" t="n">
        <x:v>0</x:v>
      </x:c>
      <x:c r="J5" s="56" t="n">
        <x:v>0</x:v>
      </x:c>
      <x:c r="K5" s="56" t="n">
        <x:v>0</x:v>
      </x:c>
      <x:c r="L5" s="56" t="n">
        <x:v>2</x:v>
      </x:c>
      <x:c r="M5" s="56" t="str">
        <x:v>Clean in current scan</x:v>
      </x:c>
      <x:c r="N5" s="56" t="str">
        <x:v>Allowed only under stated grain/controls</x:v>
      </x:c>
      <x:c r="O5" s="56" t="str">
        <x:v>Owner sign-off and periodic test</x:v>
      </x:c>
    </x:row>
    <x:row r="6">
      <x:c r="A6" s="56" t="str">
        <x:v>FILE-003</x:v>
      </x:c>
      <x:c r="B6" s="56" t="str">
        <x:v>VER-001-002</x:v>
      </x:c>
      <x:c r="C6" s="56" t="str">
        <x:v>6-НДФЛ (с 2021 года) за 2025 г. (ДЕКОР ООО).pdf</x:v>
      </x:c>
      <x:c r="D6" s="56" t="str">
        <x:v>Налоги и обязательная отчётность</x:v>
      </x:c>
      <x:c r="E6" s="56" t="n">
        <x:v>0</x:v>
      </x:c>
      <x:c r="F6" s="56" t="n">
        <x:v>0</x:v>
      </x:c>
      <x:c r="G6" s="56" t="n">
        <x:v>0</x:v>
      </x:c>
      <x:c r="H6" s="56" t="n">
        <x:v>0</x:v>
      </x:c>
      <x:c r="I6" s="56" t="n">
        <x:v>0</x:v>
      </x:c>
      <x:c r="J6" s="56" t="n">
        <x:v>0</x:v>
      </x:c>
      <x:c r="K6" s="56" t="n">
        <x:v>0</x:v>
      </x:c>
      <x:c r="L6" s="56" t="n">
        <x:v>8</x:v>
      </x:c>
      <x:c r="M6" s="56" t="str">
        <x:v>Clean in current scan</x:v>
      </x:c>
      <x:c r="N6" s="56" t="str">
        <x:v>Allowed only under stated grain/controls</x:v>
      </x:c>
      <x:c r="O6" s="56" t="str">
        <x:v>Owner sign-off and periodic test</x:v>
      </x:c>
    </x:row>
    <x:row r="7">
      <x:c r="A7" s="56" t="str">
        <x:v>FILE-002</x:v>
      </x:c>
      <x:c r="B7" s="56" t="str">
        <x:v>VER-002-001</x:v>
      </x:c>
      <x:c r="C7" s="56" t="str">
        <x:v>6-НДФЛ (с 2021 года) за 2024 г. (Янина Ю. Ф. ИП).pdf</x:v>
      </x:c>
      <x:c r="D7" s="56" t="str">
        <x:v>Налоги и обязательная отчётность</x:v>
      </x:c>
      <x:c r="E7" s="56" t="n">
        <x:v>0</x:v>
      </x:c>
      <x:c r="F7" s="56" t="n">
        <x:v>0</x:v>
      </x:c>
      <x:c r="G7" s="56" t="n">
        <x:v>0</x:v>
      </x:c>
      <x:c r="H7" s="56" t="n">
        <x:v>0</x:v>
      </x:c>
      <x:c r="I7" s="56" t="n">
        <x:v>0</x:v>
      </x:c>
      <x:c r="J7" s="56" t="n">
        <x:v>0</x:v>
      </x:c>
      <x:c r="K7" s="56" t="n">
        <x:v>0</x:v>
      </x:c>
      <x:c r="L7" s="56" t="n">
        <x:v>2</x:v>
      </x:c>
      <x:c r="M7" s="56" t="str">
        <x:v>Clean in current scan</x:v>
      </x:c>
      <x:c r="N7" s="56" t="str">
        <x:v>Allowed only under stated grain/controls</x:v>
      </x:c>
      <x:c r="O7" s="56" t="str">
        <x:v>Owner sign-off and periodic test</x:v>
      </x:c>
    </x:row>
    <x:row r="8">
      <x:c r="A8" s="56" t="str">
        <x:v>FILE-004</x:v>
      </x:c>
      <x:c r="B8" s="56" t="str">
        <x:v>VER-002-002</x:v>
      </x:c>
      <x:c r="C8" s="56" t="str">
        <x:v>6-НДФЛ (с 2021 года) за 2025 г. (Янина Ю. Ф. ИП)(1).pdf</x:v>
      </x:c>
      <x:c r="D8" s="56" t="str">
        <x:v>Налоги и обязательная отчётность</x:v>
      </x:c>
      <x:c r="E8" s="56" t="n">
        <x:v>0</x:v>
      </x:c>
      <x:c r="F8" s="56" t="n">
        <x:v>0</x:v>
      </x:c>
      <x:c r="G8" s="56" t="n">
        <x:v>0</x:v>
      </x:c>
      <x:c r="H8" s="56" t="n">
        <x:v>0</x:v>
      </x:c>
      <x:c r="I8" s="56" t="n">
        <x:v>0</x:v>
      </x:c>
      <x:c r="J8" s="56" t="n">
        <x:v>0</x:v>
      </x:c>
      <x:c r="K8" s="56" t="n">
        <x:v>0</x:v>
      </x:c>
      <x:c r="L8" s="56" t="n">
        <x:v>0</x:v>
      </x:c>
      <x:c r="M8" s="56" t="str">
        <x:v>Remediation required</x:v>
      </x:c>
      <x:c r="N8" s="56" t="str">
        <x:v>Quarantine or controlled use until new version + retest</x:v>
      </x:c>
      <x:c r="O8" s="56" t="str">
        <x:v>Owner approval, evidence location, approved version, test result</x:v>
      </x:c>
    </x:row>
    <x:row r="9">
      <x:c r="A9" s="56" t="str">
        <x:v>FILE-005</x:v>
      </x:c>
      <x:c r="B9" s="56" t="str">
        <x:v>VER-002-003</x:v>
      </x:c>
      <x:c r="C9" s="56" t="str">
        <x:v>6-НДФЛ (с 2021 года) за 2025 г. (Янина Ю. Ф. ИП).pdf</x:v>
      </x:c>
      <x:c r="D9" s="56" t="str">
        <x:v>Налоги и обязательная отчётность</x:v>
      </x:c>
      <x:c r="E9" s="56" t="n">
        <x:v>0</x:v>
      </x:c>
      <x:c r="F9" s="56" t="n">
        <x:v>0</x:v>
      </x:c>
      <x:c r="G9" s="56" t="n">
        <x:v>0</x:v>
      </x:c>
      <x:c r="H9" s="56" t="n">
        <x:v>0</x:v>
      </x:c>
      <x:c r="I9" s="56" t="n">
        <x:v>0</x:v>
      </x:c>
      <x:c r="J9" s="56" t="n">
        <x:v>0</x:v>
      </x:c>
      <x:c r="K9" s="56" t="n">
        <x:v>0</x:v>
      </x:c>
      <x:c r="L9" s="56" t="n">
        <x:v>8</x:v>
      </x:c>
      <x:c r="M9" s="56" t="str">
        <x:v>Remediation required</x:v>
      </x:c>
      <x:c r="N9" s="56" t="str">
        <x:v>Quarantine or controlled use until new version + retest</x:v>
      </x:c>
      <x:c r="O9" s="56" t="str">
        <x:v>Owner approval, evidence location, approved version, test result</x:v>
      </x:c>
    </x:row>
    <x:row r="10">
      <x:c r="A10" s="56" t="str">
        <x:v>FILE-008</x:v>
      </x:c>
      <x:c r="B10" s="56" t="str">
        <x:v>VER-003-001</x:v>
      </x:c>
      <x:c r="C10" s="56" t="str">
        <x:v>VTB_BankStatement_40702810804000008482_01.01.2024-22.06.2026_376277.pdf</x:v>
      </x:c>
      <x:c r="D10" s="56" t="str">
        <x:v>Финансы и денежные потоки</x:v>
      </x:c>
      <x:c r="E10" s="56" t="n">
        <x:v>0</x:v>
      </x:c>
      <x:c r="F10" s="56" t="n">
        <x:v>0</x:v>
      </x:c>
      <x:c r="G10" s="56" t="n">
        <x:v>0</x:v>
      </x:c>
      <x:c r="H10" s="56" t="n">
        <x:v>0</x:v>
      </x:c>
      <x:c r="I10" s="56" t="n">
        <x:v>0</x:v>
      </x:c>
      <x:c r="J10" s="56" t="n">
        <x:v>0</x:v>
      </x:c>
      <x:c r="K10" s="56" t="n">
        <x:v>0</x:v>
      </x:c>
      <x:c r="L10" s="56" t="n">
        <x:v>19</x:v>
      </x:c>
      <x:c r="M10" s="56" t="str">
        <x:v>Clean in current scan</x:v>
      </x:c>
      <x:c r="N10" s="56" t="str">
        <x:v>Allowed only under stated grain/controls</x:v>
      </x:c>
      <x:c r="O10" s="56" t="str">
        <x:v>Owner sign-off and periodic test</x:v>
      </x:c>
    </x:row>
    <x:row r="11">
      <x:c r="A11" s="56" t="str">
        <x:v>FILE-013</x:v>
      </x:c>
      <x:c r="B11" s="56" t="str">
        <x:v>VER-004-001</x:v>
      </x:c>
      <x:c r="C11" s="56" t="str">
        <x:v>Выписка_40802810202620002686_01.01.2024–31.12.2024.xlsx</x:v>
      </x:c>
      <x:c r="D11" s="56" t="str">
        <x:v>Финансы и денежные потоки</x:v>
      </x:c>
      <x:c r="E11" s="56" t="n">
        <x:v>8</x:v>
      </x:c>
      <x:c r="F11" s="56" t="n">
        <x:v>8</x:v>
      </x:c>
      <x:c r="G11" s="56" t="n">
        <x:v>6</x:v>
      </x:c>
      <x:c r="H11" s="56" t="n">
        <x:v>2</x:v>
      </x:c>
      <x:c r="I11" s="56" t="n">
        <x:v>0</x:v>
      </x:c>
      <x:c r="J11" s="56" t="n">
        <x:v>0</x:v>
      </x:c>
      <x:c r="K11" s="56" t="n">
        <x:v>0</x:v>
      </x:c>
      <x:c r="L11" s="56" t="n">
        <x:v>0</x:v>
      </x:c>
      <x:c r="M11" s="56" t="str">
        <x:v>Clean in current scan</x:v>
      </x:c>
      <x:c r="N11" s="56" t="str">
        <x:v>Allowed only under stated grain/controls</x:v>
      </x:c>
      <x:c r="O11" s="56" t="str">
        <x:v>Owner sign-off and periodic test</x:v>
      </x:c>
    </x:row>
    <x:row r="12">
      <x:c r="A12" s="56" t="str">
        <x:v>FILE-014</x:v>
      </x:c>
      <x:c r="B12" s="56" t="str">
        <x:v>VER-004-002</x:v>
      </x:c>
      <x:c r="C12" s="56" t="str">
        <x:v>Выписка_40802810202620002686_01.01.2025–31.12.2025.xlsx</x:v>
      </x:c>
      <x:c r="D12" s="56" t="str">
        <x:v>Финансы и денежные потоки</x:v>
      </x:c>
      <x:c r="E12" s="56" t="n">
        <x:v>8</x:v>
      </x:c>
      <x:c r="F12" s="56" t="n">
        <x:v>8</x:v>
      </x:c>
      <x:c r="G12" s="56" t="n">
        <x:v>6</x:v>
      </x:c>
      <x:c r="H12" s="56" t="n">
        <x:v>2</x:v>
      </x:c>
      <x:c r="I12" s="56" t="n">
        <x:v>0</x:v>
      </x:c>
      <x:c r="J12" s="56" t="n">
        <x:v>0</x:v>
      </x:c>
      <x:c r="K12" s="56" t="n">
        <x:v>0</x:v>
      </x:c>
      <x:c r="L12" s="56" t="n">
        <x:v>0</x:v>
      </x:c>
      <x:c r="M12" s="56" t="str">
        <x:v>Clean in current scan</x:v>
      </x:c>
      <x:c r="N12" s="56" t="str">
        <x:v>Allowed only under stated grain/controls</x:v>
      </x:c>
      <x:c r="O12" s="56" t="str">
        <x:v>Owner sign-off and periodic test</x:v>
      </x:c>
    </x:row>
    <x:row r="13">
      <x:c r="A13" s="56" t="str">
        <x:v>FILE-015</x:v>
      </x:c>
      <x:c r="B13" s="56" t="str">
        <x:v>VER-004-003</x:v>
      </x:c>
      <x:c r="C13" s="56" t="str">
        <x:v>Выписка_40802810202620002686_01.01.2026–23.06.2026.xlsx</x:v>
      </x:c>
      <x:c r="D13" s="56" t="str">
        <x:v>Финансы и денежные потоки</x:v>
      </x:c>
      <x:c r="E13" s="56" t="n">
        <x:v>8</x:v>
      </x:c>
      <x:c r="F13" s="56" t="n">
        <x:v>8</x:v>
      </x:c>
      <x:c r="G13" s="56" t="n">
        <x:v>6</x:v>
      </x:c>
      <x:c r="H13" s="56" t="n">
        <x:v>2</x:v>
      </x:c>
      <x:c r="I13" s="56" t="n">
        <x:v>0</x:v>
      </x:c>
      <x:c r="J13" s="56" t="n">
        <x:v>0</x:v>
      </x:c>
      <x:c r="K13" s="56" t="n">
        <x:v>0</x:v>
      </x:c>
      <x:c r="L13" s="56" t="n">
        <x:v>0</x:v>
      </x:c>
      <x:c r="M13" s="56" t="str">
        <x:v>Clean in current scan</x:v>
      </x:c>
      <x:c r="N13" s="56" t="str">
        <x:v>Allowed only under stated grain/controls</x:v>
      </x:c>
      <x:c r="O13" s="56" t="str">
        <x:v>Owner sign-off and periodic test</x:v>
      </x:c>
    </x:row>
    <x:row r="14">
      <x:c r="A14" s="56" t="str">
        <x:v>FILE-009</x:v>
      </x:c>
      <x:c r="B14" s="56" t="str">
        <x:v>VER-005-001</x:v>
      </x:c>
      <x:c r="C14" s="56" t="str">
        <x:v>VTB_BankStatement_40802810404000000049_01.01.2024-22.06.2026_417016.pdf</x:v>
      </x:c>
      <x:c r="D14" s="56" t="str">
        <x:v>Финансы и денежные потоки</x:v>
      </x:c>
      <x:c r="E14" s="56" t="n">
        <x:v>0</x:v>
      </x:c>
      <x:c r="F14" s="56" t="n">
        <x:v>0</x:v>
      </x:c>
      <x:c r="G14" s="56" t="n">
        <x:v>0</x:v>
      </x:c>
      <x:c r="H14" s="56" t="n">
        <x:v>0</x:v>
      </x:c>
      <x:c r="I14" s="56" t="n">
        <x:v>0</x:v>
      </x:c>
      <x:c r="J14" s="56" t="n">
        <x:v>0</x:v>
      </x:c>
      <x:c r="K14" s="56" t="n">
        <x:v>0</x:v>
      </x:c>
      <x:c r="L14" s="56" t="n">
        <x:v>1</x:v>
      </x:c>
      <x:c r="M14" s="56" t="str">
        <x:v>Clean in current scan</x:v>
      </x:c>
      <x:c r="N14" s="56" t="str">
        <x:v>Allowed only under stated grain/controls</x:v>
      </x:c>
      <x:c r="O14" s="56" t="str">
        <x:v>Owner sign-off and periodic test</x:v>
      </x:c>
    </x:row>
    <x:row r="15">
      <x:c r="A15" s="56" t="str">
        <x:v>FILE-010</x:v>
      </x:c>
      <x:c r="B15" s="56" t="str">
        <x:v>VER-006-001</x:v>
      </x:c>
      <x:c r="C15" s="56" t="str">
        <x:v>VTB_BankStatement_40802810500000006196_01.01.2024-22.06.2026_417014.pdf</x:v>
      </x:c>
      <x:c r="D15" s="56" t="str">
        <x:v>Финансы и денежные потоки</x:v>
      </x:c>
      <x:c r="E15" s="56" t="n">
        <x:v>0</x:v>
      </x:c>
      <x:c r="F15" s="56" t="n">
        <x:v>0</x:v>
      </x:c>
      <x:c r="G15" s="56" t="n">
        <x:v>0</x:v>
      </x:c>
      <x:c r="H15" s="56" t="n">
        <x:v>0</x:v>
      </x:c>
      <x:c r="I15" s="56" t="n">
        <x:v>0</x:v>
      </x:c>
      <x:c r="J15" s="56" t="n">
        <x:v>0</x:v>
      </x:c>
      <x:c r="K15" s="56" t="n">
        <x:v>0</x:v>
      </x:c>
      <x:c r="L15" s="56" t="n">
        <x:v>22</x:v>
      </x:c>
      <x:c r="M15" s="56" t="str">
        <x:v>Clean in current scan</x:v>
      </x:c>
      <x:c r="N15" s="56" t="str">
        <x:v>Allowed only under stated grain/controls</x:v>
      </x:c>
      <x:c r="O15" s="56" t="str">
        <x:v>Owner sign-off and periodic test</x:v>
      </x:c>
    </x:row>
    <x:row r="16">
      <x:c r="A16" s="56" t="str">
        <x:v>FILE-017</x:v>
      </x:c>
      <x:c r="B16" s="56" t="str">
        <x:v>VER-007-001</x:v>
      </x:c>
      <x:c r="C16" s="56" t="str">
        <x:v>ДДС 2024.xlsx</x:v>
      </x:c>
      <x:c r="D16" s="56" t="str">
        <x:v>Финансы и денежные потоки</x:v>
      </x:c>
      <x:c r="E16" s="56" t="n">
        <x:v>94</x:v>
      </x:c>
      <x:c r="F16" s="56" t="n">
        <x:v>94</x:v>
      </x:c>
      <x:c r="G16" s="56" t="n">
        <x:v>25</x:v>
      </x:c>
      <x:c r="H16" s="56" t="n">
        <x:v>69</x:v>
      </x:c>
      <x:c r="I16" s="56" t="n">
        <x:v>0</x:v>
      </x:c>
      <x:c r="J16" s="56" t="n">
        <x:v>2</x:v>
      </x:c>
      <x:c r="K16" s="56" t="n">
        <x:v>0</x:v>
      </x:c>
      <x:c r="L16" s="56" t="n">
        <x:v>3</x:v>
      </x:c>
      <x:c r="M16" s="56" t="str">
        <x:v>Remediation required</x:v>
      </x:c>
      <x:c r="N16" s="56" t="str">
        <x:v>Quarantine or controlled use until new version + retest</x:v>
      </x:c>
      <x:c r="O16" s="56" t="str">
        <x:v>Owner approval, evidence location, approved version, test result</x:v>
      </x:c>
    </x:row>
    <x:row r="17">
      <x:c r="A17" s="56" t="str">
        <x:v>FILE-018</x:v>
      </x:c>
      <x:c r="B17" s="56" t="str">
        <x:v>VER-007-002</x:v>
      </x:c>
      <x:c r="C17" s="56" t="str">
        <x:v>ДДС 2025.xlsx</x:v>
      </x:c>
      <x:c r="D17" s="56" t="str">
        <x:v>Финансы и денежные потоки</x:v>
      </x:c>
      <x:c r="E17" s="56" t="n">
        <x:v>135</x:v>
      </x:c>
      <x:c r="F17" s="56" t="n">
        <x:v>135</x:v>
      </x:c>
      <x:c r="G17" s="56" t="n">
        <x:v>23</x:v>
      </x:c>
      <x:c r="H17" s="56" t="n">
        <x:v>112</x:v>
      </x:c>
      <x:c r="I17" s="56" t="n">
        <x:v>0</x:v>
      </x:c>
      <x:c r="J17" s="56" t="n">
        <x:v>0</x:v>
      </x:c>
      <x:c r="K17" s="56" t="n">
        <x:v>0</x:v>
      </x:c>
      <x:c r="L17" s="56" t="n">
        <x:v>15</x:v>
      </x:c>
      <x:c r="M17" s="56" t="str">
        <x:v>Clean in current scan</x:v>
      </x:c>
      <x:c r="N17" s="56" t="str">
        <x:v>Allowed only under stated grain/controls</x:v>
      </x:c>
      <x:c r="O17" s="56" t="str">
        <x:v>Owner sign-off and periodic test</x:v>
      </x:c>
    </x:row>
    <x:row r="18">
      <x:c r="A18" s="56" t="str">
        <x:v>FILE-019</x:v>
      </x:c>
      <x:c r="B18" s="56" t="str">
        <x:v>VER-007-003</x:v>
      </x:c>
      <x:c r="C18" s="56" t="str">
        <x:v>ДДС 2026.xlxs.xlsx</x:v>
      </x:c>
      <x:c r="D18" s="56" t="str">
        <x:v>Финансы и денежные потоки</x:v>
      </x:c>
      <x:c r="E18" s="56" t="n">
        <x:v>61</x:v>
      </x:c>
      <x:c r="F18" s="56" t="n">
        <x:v>61</x:v>
      </x:c>
      <x:c r="G18" s="56" t="n">
        <x:v>19</x:v>
      </x:c>
      <x:c r="H18" s="56" t="n">
        <x:v>42</x:v>
      </x:c>
      <x:c r="I18" s="56" t="n">
        <x:v>0</x:v>
      </x:c>
      <x:c r="J18" s="56" t="n">
        <x:v>2</x:v>
      </x:c>
      <x:c r="K18" s="56" t="n">
        <x:v>0</x:v>
      </x:c>
      <x:c r="L18" s="56" t="n">
        <x:v>8</x:v>
      </x:c>
      <x:c r="M18" s="56" t="str">
        <x:v>Remediation required</x:v>
      </x:c>
      <x:c r="N18" s="56" t="str">
        <x:v>Quarantine or controlled use until new version + retest</x:v>
      </x:c>
      <x:c r="O18" s="56" t="str">
        <x:v>Owner approval, evidence location, approved version, test result</x:v>
      </x:c>
    </x:row>
    <x:row r="19">
      <x:c r="A19" s="56" t="str">
        <x:v>FILE-070</x:v>
      </x:c>
      <x:c r="B19" s="56" t="str">
        <x:v>VER-008-001</x:v>
      </x:c>
      <x:c r="C19" s="56" t="str">
        <x:v>результат кол-я 43 (янв 2024).xlsx</x:v>
      </x:c>
      <x:c r="D19" s="56" t="str">
        <x:v>Коллекции и продукт</x:v>
      </x:c>
      <x:c r="E19" s="56" t="n">
        <x:v>9</x:v>
      </x:c>
      <x:c r="F19" s="56" t="n">
        <x:v>9</x:v>
      </x:c>
      <x:c r="G19" s="56" t="n">
        <x:v>5</x:v>
      </x:c>
      <x:c r="H19" s="56" t="n">
        <x:v>4</x:v>
      </x:c>
      <x:c r="I19" s="56" t="n">
        <x:v>0</x:v>
      </x:c>
      <x:c r="J19" s="56" t="n">
        <x:v>1</x:v>
      </x:c>
      <x:c r="K19" s="56" t="n">
        <x:v>0</x:v>
      </x:c>
      <x:c r="L19" s="56" t="n">
        <x:v>1</x:v>
      </x:c>
      <x:c r="M19" s="56" t="str">
        <x:v>Remediation required</x:v>
      </x:c>
      <x:c r="N19" s="56" t="str">
        <x:v>Quarantine or controlled use until new version + retest</x:v>
      </x:c>
      <x:c r="O19" s="56" t="str">
        <x:v>Owner approval, evidence location, approved version, test result</x:v>
      </x:c>
    </x:row>
    <x:row r="20">
      <x:c r="A20" s="56" t="str">
        <x:v>FILE-071</x:v>
      </x:c>
      <x:c r="B20" s="56" t="str">
        <x:v>VER-009-001</x:v>
      </x:c>
      <x:c r="C20" s="56" t="str">
        <x:v>результат кол-я 44 (июнь 2024).xlsx</x:v>
      </x:c>
      <x:c r="D20" s="56" t="str">
        <x:v>Коллекции и продукт</x:v>
      </x:c>
      <x:c r="E20" s="56" t="n">
        <x:v>9</x:v>
      </x:c>
      <x:c r="F20" s="56" t="n">
        <x:v>9</x:v>
      </x:c>
      <x:c r="G20" s="56" t="n">
        <x:v>5</x:v>
      </x:c>
      <x:c r="H20" s="56" t="n">
        <x:v>4</x:v>
      </x:c>
      <x:c r="I20" s="56" t="n">
        <x:v>0</x:v>
      </x:c>
      <x:c r="J20" s="56" t="n">
        <x:v>1</x:v>
      </x:c>
      <x:c r="K20" s="56" t="n">
        <x:v>0</x:v>
      </x:c>
      <x:c r="L20" s="56" t="n">
        <x:v>1</x:v>
      </x:c>
      <x:c r="M20" s="56" t="str">
        <x:v>Remediation required</x:v>
      </x:c>
      <x:c r="N20" s="56" t="str">
        <x:v>Quarantine or controlled use until new version + retest</x:v>
      </x:c>
      <x:c r="O20" s="56" t="str">
        <x:v>Owner approval, evidence location, approved version, test result</x:v>
      </x:c>
    </x:row>
    <x:row r="21">
      <x:c r="A21" s="56" t="str">
        <x:v>FILE-072</x:v>
      </x:c>
      <x:c r="B21" s="56" t="str">
        <x:v>VER-010-001</x:v>
      </x:c>
      <x:c r="C21" s="56" t="str">
        <x:v>результат кол-я 45 (янв 2025).xlsx</x:v>
      </x:c>
      <x:c r="D21" s="56" t="str">
        <x:v>Коллекции и продукт</x:v>
      </x:c>
      <x:c r="E21" s="56" t="n">
        <x:v>9</x:v>
      </x:c>
      <x:c r="F21" s="56" t="n">
        <x:v>9</x:v>
      </x:c>
      <x:c r="G21" s="56" t="n">
        <x:v>5</x:v>
      </x:c>
      <x:c r="H21" s="56" t="n">
        <x:v>4</x:v>
      </x:c>
      <x:c r="I21" s="56" t="n">
        <x:v>0</x:v>
      </x:c>
      <x:c r="J21" s="56" t="n">
        <x:v>1</x:v>
      </x:c>
      <x:c r="K21" s="56" t="n">
        <x:v>0</x:v>
      </x:c>
      <x:c r="L21" s="56" t="n">
        <x:v>1</x:v>
      </x:c>
      <x:c r="M21" s="56" t="str">
        <x:v>Remediation required</x:v>
      </x:c>
      <x:c r="N21" s="56" t="str">
        <x:v>Quarantine or controlled use until new version + retest</x:v>
      </x:c>
      <x:c r="O21" s="56" t="str">
        <x:v>Owner approval, evidence location, approved version, test result</x:v>
      </x:c>
    </x:row>
    <x:row r="22">
      <x:c r="A22" s="56" t="str">
        <x:v>FILE-073</x:v>
      </x:c>
      <x:c r="B22" s="56" t="str">
        <x:v>VER-011-001</x:v>
      </x:c>
      <x:c r="C22" s="56" t="str">
        <x:v>результат кол-я 46 (июль 2025).xlsx</x:v>
      </x:c>
      <x:c r="D22" s="56" t="str">
        <x:v>Коллекции и продукт</x:v>
      </x:c>
      <x:c r="E22" s="56" t="n">
        <x:v>9</x:v>
      </x:c>
      <x:c r="F22" s="56" t="n">
        <x:v>9</x:v>
      </x:c>
      <x:c r="G22" s="56" t="n">
        <x:v>5</x:v>
      </x:c>
      <x:c r="H22" s="56" t="n">
        <x:v>4</x:v>
      </x:c>
      <x:c r="I22" s="56" t="n">
        <x:v>0</x:v>
      </x:c>
      <x:c r="J22" s="56" t="n">
        <x:v>1</x:v>
      </x:c>
      <x:c r="K22" s="56" t="n">
        <x:v>0</x:v>
      </x:c>
      <x:c r="L22" s="56" t="n">
        <x:v>1</x:v>
      </x:c>
      <x:c r="M22" s="56" t="str">
        <x:v>Remediation required</x:v>
      </x:c>
      <x:c r="N22" s="56" t="str">
        <x:v>Quarantine or controlled use until new version + retest</x:v>
      </x:c>
      <x:c r="O22" s="56" t="str">
        <x:v>Owner approval, evidence location, approved version, test result</x:v>
      </x:c>
    </x:row>
    <x:row r="23">
      <x:c r="A23" s="56" t="str">
        <x:v>FILE-074</x:v>
      </x:c>
      <x:c r="B23" s="56" t="str">
        <x:v>VER-012-001</x:v>
      </x:c>
      <x:c r="C23" s="56" t="str">
        <x:v>результат кол-я 47 (янв 2026).xlsx</x:v>
      </x:c>
      <x:c r="D23" s="56" t="str">
        <x:v>Коллекции и продукт</x:v>
      </x:c>
      <x:c r="E23" s="56" t="n">
        <x:v>9</x:v>
      </x:c>
      <x:c r="F23" s="56" t="n">
        <x:v>9</x:v>
      </x:c>
      <x:c r="G23" s="56" t="n">
        <x:v>5</x:v>
      </x:c>
      <x:c r="H23" s="56" t="n">
        <x:v>4</x:v>
      </x:c>
      <x:c r="I23" s="56" t="n">
        <x:v>0</x:v>
      </x:c>
      <x:c r="J23" s="56" t="n">
        <x:v>1</x:v>
      </x:c>
      <x:c r="K23" s="56" t="n">
        <x:v>0</x:v>
      </x:c>
      <x:c r="L23" s="56" t="n">
        <x:v>1</x:v>
      </x:c>
      <x:c r="M23" s="56" t="str">
        <x:v>Remediation required</x:v>
      </x:c>
      <x:c r="N23" s="56" t="str">
        <x:v>Quarantine or controlled use until new version + retest</x:v>
      </x:c>
      <x:c r="O23" s="56" t="str">
        <x:v>Owner approval, evidence location, approved version, test result</x:v>
      </x:c>
    </x:row>
    <x:row r="24">
      <x:c r="A24" s="56" t="str">
        <x:v>FILE-068</x:v>
      </x:c>
      <x:c r="B24" s="56" t="str">
        <x:v>VER-013-001</x:v>
      </x:c>
      <x:c r="C24" s="56" t="str">
        <x:v>результат капсула 2024.xlsx</x:v>
      </x:c>
      <x:c r="D24" s="56" t="str">
        <x:v>Коллекции и продукт</x:v>
      </x:c>
      <x:c r="E24" s="56" t="n">
        <x:v>15</x:v>
      </x:c>
      <x:c r="F24" s="56" t="n">
        <x:v>15</x:v>
      </x:c>
      <x:c r="G24" s="56" t="n">
        <x:v>7</x:v>
      </x:c>
      <x:c r="H24" s="56" t="n">
        <x:v>8</x:v>
      </x:c>
      <x:c r="I24" s="56" t="n">
        <x:v>0</x:v>
      </x:c>
      <x:c r="J24" s="56" t="n">
        <x:v>0</x:v>
      </x:c>
      <x:c r="K24" s="56" t="n">
        <x:v>0</x:v>
      </x:c>
      <x:c r="L24" s="56" t="n">
        <x:v>1</x:v>
      </x:c>
      <x:c r="M24" s="56" t="str">
        <x:v>Clean in current scan</x:v>
      </x:c>
      <x:c r="N24" s="56" t="str">
        <x:v>Allowed only under stated grain/controls</x:v>
      </x:c>
      <x:c r="O24" s="56" t="str">
        <x:v>Owner sign-off and periodic test</x:v>
      </x:c>
    </x:row>
    <x:row r="25">
      <x:c r="A25" s="56" t="str">
        <x:v>FILE-069</x:v>
      </x:c>
      <x:c r="B25" s="56" t="str">
        <x:v>VER-013-002</x:v>
      </x:c>
      <x:c r="C25" s="56" t="str">
        <x:v>результат капсула 2025.xlsx</x:v>
      </x:c>
      <x:c r="D25" s="56" t="str">
        <x:v>Коллекции и продукт</x:v>
      </x:c>
      <x:c r="E25" s="56" t="n">
        <x:v>15</x:v>
      </x:c>
      <x:c r="F25" s="56" t="n">
        <x:v>15</x:v>
      </x:c>
      <x:c r="G25" s="56" t="n">
        <x:v>7</x:v>
      </x:c>
      <x:c r="H25" s="56" t="n">
        <x:v>8</x:v>
      </x:c>
      <x:c r="I25" s="56" t="n">
        <x:v>0</x:v>
      </x:c>
      <x:c r="J25" s="56" t="n">
        <x:v>0</x:v>
      </x:c>
      <x:c r="K25" s="56" t="n">
        <x:v>0</x:v>
      </x:c>
      <x:c r="L25" s="56" t="n">
        <x:v>1</x:v>
      </x:c>
      <x:c r="M25" s="56" t="str">
        <x:v>Clean in current scan</x:v>
      </x:c>
      <x:c r="N25" s="56" t="str">
        <x:v>Allowed only under stated grain/controls</x:v>
      </x:c>
      <x:c r="O25" s="56" t="str">
        <x:v>Owner sign-off and periodic test</x:v>
      </x:c>
    </x:row>
    <x:row r="26">
      <x:c r="A26" s="56" t="str">
        <x:v>FILE-077</x:v>
      </x:c>
      <x:c r="B26" s="56" t="str">
        <x:v>VER-014-001</x:v>
      </x:c>
      <x:c r="C26" s="56" t="str">
        <x:v>результат круиз 22.04.24.xlsx</x:v>
      </x:c>
      <x:c r="D26" s="56" t="str">
        <x:v>Коллекции и продукт</x:v>
      </x:c>
      <x:c r="E26" s="56" t="n">
        <x:v>10</x:v>
      </x:c>
      <x:c r="F26" s="56" t="n">
        <x:v>10</x:v>
      </x:c>
      <x:c r="G26" s="56" t="n">
        <x:v>5</x:v>
      </x:c>
      <x:c r="H26" s="56" t="n">
        <x:v>5</x:v>
      </x:c>
      <x:c r="I26" s="56" t="n">
        <x:v>0</x:v>
      </x:c>
      <x:c r="J26" s="56" t="n">
        <x:v>0</x:v>
      </x:c>
      <x:c r="K26" s="56" t="n">
        <x:v>0</x:v>
      </x:c>
      <x:c r="L26" s="56" t="n">
        <x:v>1</x:v>
      </x:c>
      <x:c r="M26" s="56" t="str">
        <x:v>Clean in current scan</x:v>
      </x:c>
      <x:c r="N26" s="56" t="str">
        <x:v>Allowed only under stated grain/controls</x:v>
      </x:c>
      <x:c r="O26" s="56" t="str">
        <x:v>Owner sign-off and periodic test</x:v>
      </x:c>
    </x:row>
    <x:row r="27">
      <x:c r="A27" s="56" t="str">
        <x:v>FILE-075</x:v>
      </x:c>
      <x:c r="B27" s="56" t="str">
        <x:v>VER-014-002</x:v>
      </x:c>
      <x:c r="C27" s="56" t="str">
        <x:v>результат круиз 09.04.25.xlsx</x:v>
      </x:c>
      <x:c r="D27" s="56" t="str">
        <x:v>Коллекции и продукт</x:v>
      </x:c>
      <x:c r="E27" s="56" t="n">
        <x:v>10</x:v>
      </x:c>
      <x:c r="F27" s="56" t="n">
        <x:v>10</x:v>
      </x:c>
      <x:c r="G27" s="56" t="n">
        <x:v>5</x:v>
      </x:c>
      <x:c r="H27" s="56" t="n">
        <x:v>5</x:v>
      </x:c>
      <x:c r="I27" s="56" t="n">
        <x:v>0</x:v>
      </x:c>
      <x:c r="J27" s="56" t="n">
        <x:v>0</x:v>
      </x:c>
      <x:c r="K27" s="56" t="n">
        <x:v>0</x:v>
      </x:c>
      <x:c r="L27" s="56" t="n">
        <x:v>1</x:v>
      </x:c>
      <x:c r="M27" s="56" t="str">
        <x:v>Clean in current scan</x:v>
      </x:c>
      <x:c r="N27" s="56" t="str">
        <x:v>Allowed only under stated grain/controls</x:v>
      </x:c>
      <x:c r="O27" s="56" t="str">
        <x:v>Owner sign-off and periodic test</x:v>
      </x:c>
    </x:row>
    <x:row r="28">
      <x:c r="A28" s="56" t="str">
        <x:v>FILE-076</x:v>
      </x:c>
      <x:c r="B28" s="56" t="str">
        <x:v>VER-014-003</x:v>
      </x:c>
      <x:c r="C28" s="56" t="str">
        <x:v>результат круиз 14.04.26.xlsx</x:v>
      </x:c>
      <x:c r="D28" s="56" t="str">
        <x:v>Коллекции и продукт</x:v>
      </x:c>
      <x:c r="E28" s="56" t="n">
        <x:v>23</x:v>
      </x:c>
      <x:c r="F28" s="56" t="n">
        <x:v>23</x:v>
      </x:c>
      <x:c r="G28" s="56" t="n">
        <x:v>12</x:v>
      </x:c>
      <x:c r="H28" s="56" t="n">
        <x:v>11</x:v>
      </x:c>
      <x:c r="I28" s="56" t="n">
        <x:v>0</x:v>
      </x:c>
      <x:c r="J28" s="56" t="n">
        <x:v>0</x:v>
      </x:c>
      <x:c r="K28" s="56" t="n">
        <x:v>0</x:v>
      </x:c>
      <x:c r="L28" s="56" t="n">
        <x:v>1</x:v>
      </x:c>
      <x:c r="M28" s="56" t="str">
        <x:v>Clean in current scan</x:v>
      </x:c>
      <x:c r="N28" s="56" t="str">
        <x:v>Allowed only under stated grain/controls</x:v>
      </x:c>
      <x:c r="O28" s="56" t="str">
        <x:v>Owner sign-off and periodic test</x:v>
      </x:c>
    </x:row>
    <x:row r="29">
      <x:c r="A29" s="56" t="str">
        <x:v>FILE-078</x:v>
      </x:c>
      <x:c r="B29" s="56" t="str">
        <x:v>VER-015-001</x:v>
      </x:c>
      <x:c r="C29" s="56" t="str">
        <x:v>результат НГ 2024.xlsx</x:v>
      </x:c>
      <x:c r="D29" s="56" t="str">
        <x:v>Коллекции и продукт</x:v>
      </x:c>
      <x:c r="E29" s="56" t="n">
        <x:v>15</x:v>
      </x:c>
      <x:c r="F29" s="56" t="n">
        <x:v>15</x:v>
      </x:c>
      <x:c r="G29" s="56" t="n">
        <x:v>7</x:v>
      </x:c>
      <x:c r="H29" s="56" t="n">
        <x:v>8</x:v>
      </x:c>
      <x:c r="I29" s="56" t="n">
        <x:v>0</x:v>
      </x:c>
      <x:c r="J29" s="56" t="n">
        <x:v>0</x:v>
      </x:c>
      <x:c r="K29" s="56" t="n">
        <x:v>0</x:v>
      </x:c>
      <x:c r="L29" s="56" t="n">
        <x:v>1</x:v>
      </x:c>
      <x:c r="M29" s="56" t="str">
        <x:v>Clean in current scan</x:v>
      </x:c>
      <x:c r="N29" s="56" t="str">
        <x:v>Allowed only under stated grain/controls</x:v>
      </x:c>
      <x:c r="O29" s="56" t="str">
        <x:v>Owner sign-off and periodic test</x:v>
      </x:c>
    </x:row>
    <x:row r="30">
      <x:c r="A30" s="56" t="str">
        <x:v>FILE-079</x:v>
      </x:c>
      <x:c r="B30" s="56" t="str">
        <x:v>VER-015-002</x:v>
      </x:c>
      <x:c r="C30" s="56" t="str">
        <x:v>результат НГ 24.11.25.xlsx</x:v>
      </x:c>
      <x:c r="D30" s="56" t="str">
        <x:v>Коллекции и продукт</x:v>
      </x:c>
      <x:c r="E30" s="56" t="n">
        <x:v>10</x:v>
      </x:c>
      <x:c r="F30" s="56" t="n">
        <x:v>10</x:v>
      </x:c>
      <x:c r="G30" s="56" t="n">
        <x:v>5</x:v>
      </x:c>
      <x:c r="H30" s="56" t="n">
        <x:v>5</x:v>
      </x:c>
      <x:c r="I30" s="56" t="n">
        <x:v>0</x:v>
      </x:c>
      <x:c r="J30" s="56" t="n">
        <x:v>0</x:v>
      </x:c>
      <x:c r="K30" s="56" t="n">
        <x:v>0</x:v>
      </x:c>
      <x:c r="L30" s="56" t="n">
        <x:v>1</x:v>
      </x:c>
      <x:c r="M30" s="56" t="str">
        <x:v>Clean in current scan</x:v>
      </x:c>
      <x:c r="N30" s="56" t="str">
        <x:v>Allowed only under stated grain/controls</x:v>
      </x:c>
      <x:c r="O30" s="56" t="str">
        <x:v>Owner sign-off and periodic test</x:v>
      </x:c>
    </x:row>
    <x:row r="31">
      <x:c r="A31" s="56" t="str">
        <x:v>FILE-083</x:v>
      </x:c>
      <x:c r="B31" s="56" t="str">
        <x:v>VER-016-001</x:v>
      </x:c>
      <x:c r="C31" s="56" t="str">
        <x:v>себестоимость Мокеева 2025.xlsx</x:v>
      </x:c>
      <x:c r="D31" s="56" t="str">
        <x:v>Себестоимость и производство</x:v>
      </x:c>
      <x:c r="E31" s="56" t="n">
        <x:v>26</x:v>
      </x:c>
      <x:c r="F31" s="56" t="n">
        <x:v>26</x:v>
      </x:c>
      <x:c r="G31" s="56" t="n">
        <x:v>11</x:v>
      </x:c>
      <x:c r="H31" s="56" t="n">
        <x:v>15</x:v>
      </x:c>
      <x:c r="I31" s="56" t="n">
        <x:v>0</x:v>
      </x:c>
      <x:c r="J31" s="56" t="n">
        <x:v>0</x:v>
      </x:c>
      <x:c r="K31" s="56" t="n">
        <x:v>0</x:v>
      </x:c>
      <x:c r="L31" s="56" t="n">
        <x:v>1</x:v>
      </x:c>
      <x:c r="M31" s="56" t="str">
        <x:v>Clean in current scan</x:v>
      </x:c>
      <x:c r="N31" s="56" t="str">
        <x:v>Allowed only under stated grain/controls</x:v>
      </x:c>
      <x:c r="O31" s="56" t="str">
        <x:v>Owner sign-off and periodic test</x:v>
      </x:c>
    </x:row>
    <x:row r="32">
      <x:c r="A32" s="56" t="str">
        <x:v>FILE-084</x:v>
      </x:c>
      <x:c r="B32" s="56" t="str">
        <x:v>VER-016-002</x:v>
      </x:c>
      <x:c r="C32" s="56" t="str">
        <x:v>себестоимость Мокеева 2026.xlsx</x:v>
      </x:c>
      <x:c r="D32" s="56" t="str">
        <x:v>Себестоимость и производство</x:v>
      </x:c>
      <x:c r="E32" s="56" t="n">
        <x:v>26</x:v>
      </x:c>
      <x:c r="F32" s="56" t="n">
        <x:v>26</x:v>
      </x:c>
      <x:c r="G32" s="56" t="n">
        <x:v>11</x:v>
      </x:c>
      <x:c r="H32" s="56" t="n">
        <x:v>15</x:v>
      </x:c>
      <x:c r="I32" s="56" t="n">
        <x:v>0</x:v>
      </x:c>
      <x:c r="J32" s="56" t="n">
        <x:v>0</x:v>
      </x:c>
      <x:c r="K32" s="56" t="n">
        <x:v>0</x:v>
      </x:c>
      <x:c r="L32" s="56" t="n">
        <x:v>1</x:v>
      </x:c>
      <x:c r="M32" s="56" t="str">
        <x:v>Clean in current scan</x:v>
      </x:c>
      <x:c r="N32" s="56" t="str">
        <x:v>Allowed only under stated grain/controls</x:v>
      </x:c>
      <x:c r="O32" s="56" t="str">
        <x:v>Owner sign-off and periodic test</x:v>
      </x:c>
    </x:row>
    <x:row r="33">
      <x:c r="A33" s="56" t="str">
        <x:v>FILE-060</x:v>
      </x:c>
      <x:c r="B33" s="56" t="str">
        <x:v>VER-017-001</x:v>
      </x:c>
      <x:c r="C33" s="56" t="str">
        <x:v>Расходы 2024.xlsx</x:v>
      </x:c>
      <x:c r="D33" s="56" t="str">
        <x:v>Финансы и денежные потоки</x:v>
      </x:c>
      <x:c r="E33" s="56" t="n">
        <x:v>118</x:v>
      </x:c>
      <x:c r="F33" s="56" t="n">
        <x:v>118</x:v>
      </x:c>
      <x:c r="G33" s="56" t="n">
        <x:v>46</x:v>
      </x:c>
      <x:c r="H33" s="56" t="n">
        <x:v>72</x:v>
      </x:c>
      <x:c r="I33" s="56" t="n">
        <x:v>0</x:v>
      </x:c>
      <x:c r="J33" s="56" t="n">
        <x:v>0</x:v>
      </x:c>
      <x:c r="K33" s="56" t="n">
        <x:v>0</x:v>
      </x:c>
      <x:c r="L33" s="56" t="n">
        <x:v>1</x:v>
      </x:c>
      <x:c r="M33" s="56" t="str">
        <x:v>Clean in current scan</x:v>
      </x:c>
      <x:c r="N33" s="56" t="str">
        <x:v>Allowed only under stated grain/controls</x:v>
      </x:c>
      <x:c r="O33" s="56" t="str">
        <x:v>Owner sign-off and periodic test</x:v>
      </x:c>
    </x:row>
    <x:row r="34">
      <x:c r="A34" s="56" t="str">
        <x:v>FILE-061</x:v>
      </x:c>
      <x:c r="B34" s="56" t="str">
        <x:v>VER-017-002</x:v>
      </x:c>
      <x:c r="C34" s="56" t="str">
        <x:v>Расходы 2025.xlsx</x:v>
      </x:c>
      <x:c r="D34" s="56" t="str">
        <x:v>Финансы и денежные потоки</x:v>
      </x:c>
      <x:c r="E34" s="56" t="n">
        <x:v>76</x:v>
      </x:c>
      <x:c r="F34" s="56" t="n">
        <x:v>76</x:v>
      </x:c>
      <x:c r="G34" s="56" t="n">
        <x:v>40</x:v>
      </x:c>
      <x:c r="H34" s="56" t="n">
        <x:v>36</x:v>
      </x:c>
      <x:c r="I34" s="56" t="n">
        <x:v>0</x:v>
      </x:c>
      <x:c r="J34" s="56" t="n">
        <x:v>0</x:v>
      </x:c>
      <x:c r="K34" s="56" t="n">
        <x:v>0</x:v>
      </x:c>
      <x:c r="L34" s="56" t="n">
        <x:v>2</x:v>
      </x:c>
      <x:c r="M34" s="56" t="str">
        <x:v>Clean in current scan</x:v>
      </x:c>
      <x:c r="N34" s="56" t="str">
        <x:v>Allowed only under stated grain/controls</x:v>
      </x:c>
      <x:c r="O34" s="56" t="str">
        <x:v>Owner sign-off and periodic test</x:v>
      </x:c>
    </x:row>
    <x:row r="35">
      <x:c r="A35" s="56" t="str">
        <x:v>FILE-062</x:v>
      </x:c>
      <x:c r="B35" s="56" t="str">
        <x:v>VER-017-003</x:v>
      </x:c>
      <x:c r="C35" s="56" t="str">
        <x:v>Расходы 2026.xlsx</x:v>
      </x:c>
      <x:c r="D35" s="56" t="str">
        <x:v>Финансы и денежные потоки</x:v>
      </x:c>
      <x:c r="E35" s="56" t="n">
        <x:v>42</x:v>
      </x:c>
      <x:c r="F35" s="56" t="n">
        <x:v>42</x:v>
      </x:c>
      <x:c r="G35" s="56" t="n">
        <x:v>24</x:v>
      </x:c>
      <x:c r="H35" s="56" t="n">
        <x:v>18</x:v>
      </x:c>
      <x:c r="I35" s="56" t="n">
        <x:v>0</x:v>
      </x:c>
      <x:c r="J35" s="56" t="n">
        <x:v>0</x:v>
      </x:c>
      <x:c r="K35" s="56" t="n">
        <x:v>0</x:v>
      </x:c>
      <x:c r="L35" s="56" t="n">
        <x:v>1</x:v>
      </x:c>
      <x:c r="M35" s="56" t="str">
        <x:v>Clean in current scan</x:v>
      </x:c>
      <x:c r="N35" s="56" t="str">
        <x:v>Allowed only under stated grain/controls</x:v>
      </x:c>
      <x:c r="O35" s="56" t="str">
        <x:v>Owner sign-off and periodic test</x:v>
      </x:c>
    </x:row>
    <x:row r="36">
      <x:c r="A36" s="56" t="str">
        <x:v>FILE-006</x:v>
      </x:c>
      <x:c r="B36" s="56" t="str">
        <x:v>VER-018-001</x:v>
      </x:c>
      <x:c r="C36" s="56" t="str">
        <x:v>NDA_ИП_Янина + паспорт.docx</x:v>
      </x:c>
      <x:c r="D36" s="56" t="str">
        <x:v>Договоры и проектные документы</x:v>
      </x:c>
      <x:c r="E36" s="56" t="n">
        <x:v>0</x:v>
      </x:c>
      <x:c r="F36" s="56" t="n">
        <x:v>0</x:v>
      </x:c>
      <x:c r="G36" s="56" t="n">
        <x:v>0</x:v>
      </x:c>
      <x:c r="H36" s="56" t="n">
        <x:v>0</x:v>
      </x:c>
      <x:c r="I36" s="56" t="n">
        <x:v>0</x:v>
      </x:c>
      <x:c r="J36" s="56" t="n">
        <x:v>0</x:v>
      </x:c>
      <x:c r="K36" s="56" t="n">
        <x:v>0</x:v>
      </x:c>
      <x:c r="L36" s="56" t="n">
        <x:v>0</x:v>
      </x:c>
      <x:c r="M36" s="56" t="str">
        <x:v>Clean in current scan</x:v>
      </x:c>
      <x:c r="N36" s="56" t="str">
        <x:v>Allowed only under stated grain/controls</x:v>
      </x:c>
      <x:c r="O36" s="56" t="str">
        <x:v>Owner sign-off and periodic test</x:v>
      </x:c>
    </x:row>
    <x:row r="37">
      <x:c r="A37" s="56" t="str">
        <x:v>FILE-039</x:v>
      </x:c>
      <x:c r="B37" s="56" t="str">
        <x:v>VER-019-001</x:v>
      </x:c>
      <x:c r="C37" s="56" t="str">
        <x:v>ЗП за январь 2025.xlsx</x:v>
      </x:c>
      <x:c r="D37" s="56" t="str">
        <x:v>Персонал и оплата труда</x:v>
      </x:c>
      <x:c r="E37" s="56" t="n">
        <x:v>119</x:v>
      </x:c>
      <x:c r="F37" s="56" t="n">
        <x:v>119</x:v>
      </x:c>
      <x:c r="G37" s="56" t="n">
        <x:v>46</x:v>
      </x:c>
      <x:c r="H37" s="56" t="n">
        <x:v>73</x:v>
      </x:c>
      <x:c r="I37" s="56" t="n">
        <x:v>0</x:v>
      </x:c>
      <x:c r="J37" s="56" t="n">
        <x:v>0</x:v>
      </x:c>
      <x:c r="K37" s="56" t="n">
        <x:v>0</x:v>
      </x:c>
      <x:c r="L37" s="56" t="n">
        <x:v>10</x:v>
      </x:c>
      <x:c r="M37" s="56" t="str">
        <x:v>Clean in current scan</x:v>
      </x:c>
      <x:c r="N37" s="56" t="str">
        <x:v>Allowed only under stated grain/controls</x:v>
      </x:c>
      <x:c r="O37" s="56" t="str">
        <x:v>Owner sign-off and periodic test</x:v>
      </x:c>
    </x:row>
    <x:row r="38">
      <x:c r="A38" s="56" t="str">
        <x:v>FILE-037</x:v>
      </x:c>
      <x:c r="B38" s="56" t="str">
        <x:v>VER-019-002</x:v>
      </x:c>
      <x:c r="C38" s="56" t="str">
        <x:v>ЗП за февраль 2025.xlsx</x:v>
      </x:c>
      <x:c r="D38" s="56" t="str">
        <x:v>Персонал и оплата труда</x:v>
      </x:c>
      <x:c r="E38" s="56" t="n">
        <x:v>117</x:v>
      </x:c>
      <x:c r="F38" s="56" t="n">
        <x:v>117</x:v>
      </x:c>
      <x:c r="G38" s="56" t="n">
        <x:v>46</x:v>
      </x:c>
      <x:c r="H38" s="56" t="n">
        <x:v>71</x:v>
      </x:c>
      <x:c r="I38" s="56" t="n">
        <x:v>0</x:v>
      </x:c>
      <x:c r="J38" s="56" t="n">
        <x:v>0</x:v>
      </x:c>
      <x:c r="K38" s="56" t="n">
        <x:v>0</x:v>
      </x:c>
      <x:c r="L38" s="56" t="n">
        <x:v>10</x:v>
      </x:c>
      <x:c r="M38" s="56" t="str">
        <x:v>Clean in current scan</x:v>
      </x:c>
      <x:c r="N38" s="56" t="str">
        <x:v>Allowed only under stated grain/controls</x:v>
      </x:c>
      <x:c r="O38" s="56" t="str">
        <x:v>Owner sign-off and periodic test</x:v>
      </x:c>
    </x:row>
    <x:row r="39">
      <x:c r="A39" s="56" t="str">
        <x:v>FILE-035</x:v>
      </x:c>
      <x:c r="B39" s="56" t="str">
        <x:v>VER-019-003</x:v>
      </x:c>
      <x:c r="C39" s="56" t="str">
        <x:v>ЗП за март 2025.xlsx</x:v>
      </x:c>
      <x:c r="D39" s="56" t="str">
        <x:v>Персонал и оплата труда</x:v>
      </x:c>
      <x:c r="E39" s="56" t="n">
        <x:v>120</x:v>
      </x:c>
      <x:c r="F39" s="56" t="n">
        <x:v>120</x:v>
      </x:c>
      <x:c r="G39" s="56" t="n">
        <x:v>46</x:v>
      </x:c>
      <x:c r="H39" s="56" t="n">
        <x:v>74</x:v>
      </x:c>
      <x:c r="I39" s="56" t="n">
        <x:v>0</x:v>
      </x:c>
      <x:c r="J39" s="56" t="n">
        <x:v>0</x:v>
      </x:c>
      <x:c r="K39" s="56" t="n">
        <x:v>0</x:v>
      </x:c>
      <x:c r="L39" s="56" t="n">
        <x:v>10</x:v>
      </x:c>
      <x:c r="M39" s="56" t="str">
        <x:v>Clean in current scan</x:v>
      </x:c>
      <x:c r="N39" s="56" t="str">
        <x:v>Allowed only under stated grain/controls</x:v>
      </x:c>
      <x:c r="O39" s="56" t="str">
        <x:v>Owner sign-off and periodic test</x:v>
      </x:c>
    </x:row>
    <x:row r="40">
      <x:c r="A40" s="56" t="str">
        <x:v>FILE-030</x:v>
      </x:c>
      <x:c r="B40" s="56" t="str">
        <x:v>VER-019-004</x:v>
      </x:c>
      <x:c r="C40" s="56" t="str">
        <x:v>ЗП за апрель 2025.xlsx</x:v>
      </x:c>
      <x:c r="D40" s="56" t="str">
        <x:v>Персонал и оплата труда</x:v>
      </x:c>
      <x:c r="E40" s="56" t="n">
        <x:v>119</x:v>
      </x:c>
      <x:c r="F40" s="56" t="n">
        <x:v>119</x:v>
      </x:c>
      <x:c r="G40" s="56" t="n">
        <x:v>46</x:v>
      </x:c>
      <x:c r="H40" s="56" t="n">
        <x:v>73</x:v>
      </x:c>
      <x:c r="I40" s="56" t="n">
        <x:v>0</x:v>
      </x:c>
      <x:c r="J40" s="56" t="n">
        <x:v>0</x:v>
      </x:c>
      <x:c r="K40" s="56" t="n">
        <x:v>0</x:v>
      </x:c>
      <x:c r="L40" s="56" t="n">
        <x:v>10</x:v>
      </x:c>
      <x:c r="M40" s="56" t="str">
        <x:v>Clean in current scan</x:v>
      </x:c>
      <x:c r="N40" s="56" t="str">
        <x:v>Allowed only under stated grain/controls</x:v>
      </x:c>
      <x:c r="O40" s="56" t="str">
        <x:v>Owner sign-off and periodic test</x:v>
      </x:c>
    </x:row>
    <x:row r="41">
      <x:c r="A41" s="56" t="str">
        <x:v>FILE-033</x:v>
      </x:c>
      <x:c r="B41" s="56" t="str">
        <x:v>VER-019-005</x:v>
      </x:c>
      <x:c r="C41" s="56" t="str">
        <x:v>ЗП за май 2025.xlsx</x:v>
      </x:c>
      <x:c r="D41" s="56" t="str">
        <x:v>Персонал и оплата труда</x:v>
      </x:c>
      <x:c r="E41" s="56" t="n">
        <x:v>125</x:v>
      </x:c>
      <x:c r="F41" s="56" t="n">
        <x:v>125</x:v>
      </x:c>
      <x:c r="G41" s="56" t="n">
        <x:v>47</x:v>
      </x:c>
      <x:c r="H41" s="56" t="n">
        <x:v>78</x:v>
      </x:c>
      <x:c r="I41" s="56" t="n">
        <x:v>0</x:v>
      </x:c>
      <x:c r="J41" s="56" t="n">
        <x:v>0</x:v>
      </x:c>
      <x:c r="K41" s="56" t="n">
        <x:v>0</x:v>
      </x:c>
      <x:c r="L41" s="56" t="n">
        <x:v>10</x:v>
      </x:c>
      <x:c r="M41" s="56" t="str">
        <x:v>Clean in current scan</x:v>
      </x:c>
      <x:c r="N41" s="56" t="str">
        <x:v>Allowed only under stated grain/controls</x:v>
      </x:c>
      <x:c r="O41" s="56" t="str">
        <x:v>Owner sign-off and periodic test</x:v>
      </x:c>
    </x:row>
    <x:row r="42">
      <x:c r="A42" s="56" t="str">
        <x:v>FILE-032</x:v>
      </x:c>
      <x:c r="B42" s="56" t="str">
        <x:v>VER-019-006</x:v>
      </x:c>
      <x:c r="C42" s="56" t="str">
        <x:v>ЗП за июнь 2025.xlsx</x:v>
      </x:c>
      <x:c r="D42" s="56" t="str">
        <x:v>Персонал и оплата труда</x:v>
      </x:c>
      <x:c r="E42" s="56" t="n">
        <x:v>127</x:v>
      </x:c>
      <x:c r="F42" s="56" t="n">
        <x:v>127</x:v>
      </x:c>
      <x:c r="G42" s="56" t="n">
        <x:v>46</x:v>
      </x:c>
      <x:c r="H42" s="56" t="n">
        <x:v>81</x:v>
      </x:c>
      <x:c r="I42" s="56" t="n">
        <x:v>0</x:v>
      </x:c>
      <x:c r="J42" s="56" t="n">
        <x:v>0</x:v>
      </x:c>
      <x:c r="K42" s="56" t="n">
        <x:v>0</x:v>
      </x:c>
      <x:c r="L42" s="56" t="n">
        <x:v>10</x:v>
      </x:c>
      <x:c r="M42" s="56" t="str">
        <x:v>Clean in current scan</x:v>
      </x:c>
      <x:c r="N42" s="56" t="str">
        <x:v>Allowed only under stated grain/controls</x:v>
      </x:c>
      <x:c r="O42" s="56" t="str">
        <x:v>Owner sign-off and periodic test</x:v>
      </x:c>
    </x:row>
    <x:row r="43">
      <x:c r="A43" s="56" t="str">
        <x:v>FILE-040</x:v>
      </x:c>
      <x:c r="B43" s="56" t="str">
        <x:v>VER-019-007</x:v>
      </x:c>
      <x:c r="C43" s="56" t="str">
        <x:v>ЗП за январь 2026.xlsx</x:v>
      </x:c>
      <x:c r="D43" s="56" t="str">
        <x:v>Персонал и оплата труда</x:v>
      </x:c>
      <x:c r="E43" s="56" t="n">
        <x:v>133</x:v>
      </x:c>
      <x:c r="F43" s="56" t="n">
        <x:v>133</x:v>
      </x:c>
      <x:c r="G43" s="56" t="n">
        <x:v>49</x:v>
      </x:c>
      <x:c r="H43" s="56" t="n">
        <x:v>84</x:v>
      </x:c>
      <x:c r="I43" s="56" t="n">
        <x:v>4</x:v>
      </x:c>
      <x:c r="J43" s="56" t="n">
        <x:v>0</x:v>
      </x:c>
      <x:c r="K43" s="56" t="n">
        <x:v>0</x:v>
      </x:c>
      <x:c r="L43" s="56" t="n">
        <x:v>8</x:v>
      </x:c>
      <x:c r="M43" s="56" t="str">
        <x:v>Remediation required</x:v>
      </x:c>
      <x:c r="N43" s="56" t="str">
        <x:v>Quarantine or controlled use until new version + retest</x:v>
      </x:c>
      <x:c r="O43" s="56" t="str">
        <x:v>Owner approval, evidence location, approved version, test result</x:v>
      </x:c>
    </x:row>
    <x:row r="44">
      <x:c r="A44" s="56" t="str">
        <x:v>FILE-038</x:v>
      </x:c>
      <x:c r="B44" s="56" t="str">
        <x:v>VER-019-008</x:v>
      </x:c>
      <x:c r="C44" s="56" t="str">
        <x:v>ЗП за февраль 2026.xlsx</x:v>
      </x:c>
      <x:c r="D44" s="56" t="str">
        <x:v>Персонал и оплата труда</x:v>
      </x:c>
      <x:c r="E44" s="56" t="n">
        <x:v>129</x:v>
      </x:c>
      <x:c r="F44" s="56" t="n">
        <x:v>129</x:v>
      </x:c>
      <x:c r="G44" s="56" t="n">
        <x:v>51</x:v>
      </x:c>
      <x:c r="H44" s="56" t="n">
        <x:v>78</x:v>
      </x:c>
      <x:c r="I44" s="56" t="n">
        <x:v>10</x:v>
      </x:c>
      <x:c r="J44" s="56" t="n">
        <x:v>0</x:v>
      </x:c>
      <x:c r="K44" s="56" t="n">
        <x:v>0</x:v>
      </x:c>
      <x:c r="L44" s="56" t="n">
        <x:v>8</x:v>
      </x:c>
      <x:c r="M44" s="56" t="str">
        <x:v>Remediation required</x:v>
      </x:c>
      <x:c r="N44" s="56" t="str">
        <x:v>Quarantine or controlled use until new version + retest</x:v>
      </x:c>
      <x:c r="O44" s="56" t="str">
        <x:v>Owner approval, evidence location, approved version, test result</x:v>
      </x:c>
    </x:row>
    <x:row r="45">
      <x:c r="A45" s="56" t="str">
        <x:v>FILE-036</x:v>
      </x:c>
      <x:c r="B45" s="56" t="str">
        <x:v>VER-019-009</x:v>
      </x:c>
      <x:c r="C45" s="56" t="str">
        <x:v>ЗП за март 2026.xlsx</x:v>
      </x:c>
      <x:c r="D45" s="56" t="str">
        <x:v>Персонал и оплата труда</x:v>
      </x:c>
      <x:c r="E45" s="56" t="n">
        <x:v>132</x:v>
      </x:c>
      <x:c r="F45" s="56" t="n">
        <x:v>132</x:v>
      </x:c>
      <x:c r="G45" s="56" t="n">
        <x:v>45</x:v>
      </x:c>
      <x:c r="H45" s="56" t="n">
        <x:v>87</x:v>
      </x:c>
      <x:c r="I45" s="56" t="n">
        <x:v>0</x:v>
      </x:c>
      <x:c r="J45" s="56" t="n">
        <x:v>0</x:v>
      </x:c>
      <x:c r="K45" s="56" t="n">
        <x:v>0</x:v>
      </x:c>
      <x:c r="L45" s="56" t="n">
        <x:v>8</x:v>
      </x:c>
      <x:c r="M45" s="56" t="str">
        <x:v>Clean in current scan</x:v>
      </x:c>
      <x:c r="N45" s="56" t="str">
        <x:v>Allowed only under stated grain/controls</x:v>
      </x:c>
      <x:c r="O45" s="56" t="str">
        <x:v>Owner sign-off and periodic test</x:v>
      </x:c>
    </x:row>
    <x:row r="46">
      <x:c r="A46" s="56" t="str">
        <x:v>FILE-031</x:v>
      </x:c>
      <x:c r="B46" s="56" t="str">
        <x:v>VER-019-010</x:v>
      </x:c>
      <x:c r="C46" s="56" t="str">
        <x:v>ЗП за апрель 2026.xlsx</x:v>
      </x:c>
      <x:c r="D46" s="56" t="str">
        <x:v>Персонал и оплата труда</x:v>
      </x:c>
      <x:c r="E46" s="56" t="n">
        <x:v>133</x:v>
      </x:c>
      <x:c r="F46" s="56" t="n">
        <x:v>133</x:v>
      </x:c>
      <x:c r="G46" s="56" t="n">
        <x:v>49</x:v>
      </x:c>
      <x:c r="H46" s="56" t="n">
        <x:v>84</x:v>
      </x:c>
      <x:c r="I46" s="56" t="n">
        <x:v>0</x:v>
      </x:c>
      <x:c r="J46" s="56" t="n">
        <x:v>0</x:v>
      </x:c>
      <x:c r="K46" s="56" t="n">
        <x:v>0</x:v>
      </x:c>
      <x:c r="L46" s="56" t="n">
        <x:v>8</x:v>
      </x:c>
      <x:c r="M46" s="56" t="str">
        <x:v>Clean in current scan</x:v>
      </x:c>
      <x:c r="N46" s="56" t="str">
        <x:v>Allowed only under stated grain/controls</x:v>
      </x:c>
      <x:c r="O46" s="56" t="str">
        <x:v>Owner sign-off and periodic test</x:v>
      </x:c>
    </x:row>
    <x:row r="47">
      <x:c r="A47" s="56" t="str">
        <x:v>FILE-034</x:v>
      </x:c>
      <x:c r="B47" s="56" t="str">
        <x:v>VER-019-011</x:v>
      </x:c>
      <x:c r="C47" s="56" t="str">
        <x:v>ЗП за май 2026.xlsx</x:v>
      </x:c>
      <x:c r="D47" s="56" t="str">
        <x:v>Персонал и оплата труда</x:v>
      </x:c>
      <x:c r="E47" s="56" t="n">
        <x:v>135</x:v>
      </x:c>
      <x:c r="F47" s="56" t="n">
        <x:v>135</x:v>
      </x:c>
      <x:c r="G47" s="56" t="n">
        <x:v>50</x:v>
      </x:c>
      <x:c r="H47" s="56" t="n">
        <x:v>85</x:v>
      </x:c>
      <x:c r="I47" s="56" t="n">
        <x:v>0</x:v>
      </x:c>
      <x:c r="J47" s="56" t="n">
        <x:v>0</x:v>
      </x:c>
      <x:c r="K47" s="56" t="n">
        <x:v>0</x:v>
      </x:c>
      <x:c r="L47" s="56" t="n">
        <x:v>8</x:v>
      </x:c>
      <x:c r="M47" s="56" t="str">
        <x:v>Clean in current scan</x:v>
      </x:c>
      <x:c r="N47" s="56" t="str">
        <x:v>Allowed only under stated grain/controls</x:v>
      </x:c>
      <x:c r="O47" s="56" t="str">
        <x:v>Owner sign-off and periodic test</x:v>
      </x:c>
    </x:row>
    <x:row r="48">
      <x:c r="A48" s="56" t="str">
        <x:v>FILE-064</x:v>
      </x:c>
      <x:c r="B48" s="56" t="str">
        <x:v>VER-020-001</x:v>
      </x:c>
      <x:c r="C48" s="56" t="str">
        <x:v>Расчет по страховым взносам за 2024 г. (ДЕКОР ООО).pdf</x:v>
      </x:c>
      <x:c r="D48" s="56" t="str">
        <x:v>Налоги и обязательная отчётность</x:v>
      </x:c>
      <x:c r="E48" s="56" t="n">
        <x:v>0</x:v>
      </x:c>
      <x:c r="F48" s="56" t="n">
        <x:v>0</x:v>
      </x:c>
      <x:c r="G48" s="56" t="n">
        <x:v>0</x:v>
      </x:c>
      <x:c r="H48" s="56" t="n">
        <x:v>0</x:v>
      </x:c>
      <x:c r="I48" s="56" t="n">
        <x:v>0</x:v>
      </x:c>
      <x:c r="J48" s="56" t="n">
        <x:v>0</x:v>
      </x:c>
      <x:c r="K48" s="56" t="n">
        <x:v>0</x:v>
      </x:c>
      <x:c r="L48" s="56" t="n">
        <x:v>2</x:v>
      </x:c>
      <x:c r="M48" s="56" t="str">
        <x:v>Clean in current scan</x:v>
      </x:c>
      <x:c r="N48" s="56" t="str">
        <x:v>Allowed only under stated grain/controls</x:v>
      </x:c>
      <x:c r="O48" s="56" t="str">
        <x:v>Owner sign-off and periodic test</x:v>
      </x:c>
    </x:row>
    <x:row r="49">
      <x:c r="A49" s="56" t="str">
        <x:v>FILE-066</x:v>
      </x:c>
      <x:c r="B49" s="56" t="str">
        <x:v>VER-020-002</x:v>
      </x:c>
      <x:c r="C49" s="56" t="str">
        <x:v>Расчет по страховым взносам за 2025 г. (ДЕКОР ООО).pdf</x:v>
      </x:c>
      <x:c r="D49" s="56" t="str">
        <x:v>Налоги и обязательная отчётность</x:v>
      </x:c>
      <x:c r="E49" s="56" t="n">
        <x:v>0</x:v>
      </x:c>
      <x:c r="F49" s="56" t="n">
        <x:v>0</x:v>
      </x:c>
      <x:c r="G49" s="56" t="n">
        <x:v>0</x:v>
      </x:c>
      <x:c r="H49" s="56" t="n">
        <x:v>0</x:v>
      </x:c>
      <x:c r="I49" s="56" t="n">
        <x:v>0</x:v>
      </x:c>
      <x:c r="J49" s="56" t="n">
        <x:v>0</x:v>
      </x:c>
      <x:c r="K49" s="56" t="n">
        <x:v>0</x:v>
      </x:c>
      <x:c r="L49" s="56" t="n">
        <x:v>14</x:v>
      </x:c>
      <x:c r="M49" s="56" t="str">
        <x:v>Clean in current scan</x:v>
      </x:c>
      <x:c r="N49" s="56" t="str">
        <x:v>Allowed only under stated grain/controls</x:v>
      </x:c>
      <x:c r="O49" s="56" t="str">
        <x:v>Owner sign-off and periodic test</x:v>
      </x:c>
    </x:row>
    <x:row r="50">
      <x:c r="A50" s="56" t="str">
        <x:v>FILE-065</x:v>
      </x:c>
      <x:c r="B50" s="56" t="str">
        <x:v>VER-021-001</x:v>
      </x:c>
      <x:c r="C50" s="56" t="str">
        <x:v>Расчет по страховым взносам за 2024 г. (Янина Ю. Ф. ИП).pdf</x:v>
      </x:c>
      <x:c r="D50" s="56" t="str">
        <x:v>Налоги и обязательная отчётность</x:v>
      </x:c>
      <x:c r="E50" s="56" t="n">
        <x:v>0</x:v>
      </x:c>
      <x:c r="F50" s="56" t="n">
        <x:v>0</x:v>
      </x:c>
      <x:c r="G50" s="56" t="n">
        <x:v>0</x:v>
      </x:c>
      <x:c r="H50" s="56" t="n">
        <x:v>0</x:v>
      </x:c>
      <x:c r="I50" s="56" t="n">
        <x:v>0</x:v>
      </x:c>
      <x:c r="J50" s="56" t="n">
        <x:v>0</x:v>
      </x:c>
      <x:c r="K50" s="56" t="n">
        <x:v>0</x:v>
      </x:c>
      <x:c r="L50" s="56" t="n">
        <x:v>2</x:v>
      </x:c>
      <x:c r="M50" s="56" t="str">
        <x:v>Clean in current scan</x:v>
      </x:c>
      <x:c r="N50" s="56" t="str">
        <x:v>Allowed only under stated grain/controls</x:v>
      </x:c>
      <x:c r="O50" s="56" t="str">
        <x:v>Owner sign-off and periodic test</x:v>
      </x:c>
    </x:row>
    <x:row r="51">
      <x:c r="A51" s="56" t="str">
        <x:v>FILE-067</x:v>
      </x:c>
      <x:c r="B51" s="56" t="str">
        <x:v>VER-021-002</x:v>
      </x:c>
      <x:c r="C51" s="56" t="str">
        <x:v>Расчет по страховым взносам за 2025 г. (Янина Ю. Ф. ИП).pdf</x:v>
      </x:c>
      <x:c r="D51" s="56" t="str">
        <x:v>Налоги и обязательная отчётность</x:v>
      </x:c>
      <x:c r="E51" s="56" t="n">
        <x:v>0</x:v>
      </x:c>
      <x:c r="F51" s="56" t="n">
        <x:v>0</x:v>
      </x:c>
      <x:c r="G51" s="56" t="n">
        <x:v>0</x:v>
      </x:c>
      <x:c r="H51" s="56" t="n">
        <x:v>0</x:v>
      </x:c>
      <x:c r="I51" s="56" t="n">
        <x:v>0</x:v>
      </x:c>
      <x:c r="J51" s="56" t="n">
        <x:v>0</x:v>
      </x:c>
      <x:c r="K51" s="56" t="n">
        <x:v>0</x:v>
      </x:c>
      <x:c r="L51" s="56" t="n">
        <x:v>14</x:v>
      </x:c>
      <x:c r="M51" s="56" t="str">
        <x:v>Clean in current scan</x:v>
      </x:c>
      <x:c r="N51" s="56" t="str">
        <x:v>Allowed only under stated grain/controls</x:v>
      </x:c>
      <x:c r="O51" s="56" t="str">
        <x:v>Owner sign-off and periodic test</x:v>
      </x:c>
    </x:row>
    <x:row r="52">
      <x:c r="A52" s="56" t="str">
        <x:v>FILE-063</x:v>
      </x:c>
      <x:c r="B52" s="56" t="str">
        <x:v>VER-021-003</x:v>
      </x:c>
      <x:c r="C52" s="56" t="str">
        <x:v>Расчет по страховым взносам за 1 квартал 2026 г. (Янина Ю. Ф. ИП).pdf</x:v>
      </x:c>
      <x:c r="D52" s="56" t="str">
        <x:v>Налоги и обязательная отчётность</x:v>
      </x:c>
      <x:c r="E52" s="56" t="n">
        <x:v>0</x:v>
      </x:c>
      <x:c r="F52" s="56" t="n">
        <x:v>0</x:v>
      </x:c>
      <x:c r="G52" s="56" t="n">
        <x:v>0</x:v>
      </x:c>
      <x:c r="H52" s="56" t="n">
        <x:v>0</x:v>
      </x:c>
      <x:c r="I52" s="56" t="n">
        <x:v>0</x:v>
      </x:c>
      <x:c r="J52" s="56" t="n">
        <x:v>0</x:v>
      </x:c>
      <x:c r="K52" s="56" t="n">
        <x:v>0</x:v>
      </x:c>
      <x:c r="L52" s="56" t="n">
        <x:v>11</x:v>
      </x:c>
      <x:c r="M52" s="56" t="str">
        <x:v>Clean in current scan</x:v>
      </x:c>
      <x:c r="N52" s="56" t="str">
        <x:v>Allowed only under stated grain/controls</x:v>
      </x:c>
      <x:c r="O52" s="56" t="str">
        <x:v>Owner sign-off and periodic test</x:v>
      </x:c>
    </x:row>
    <x:row r="53">
      <x:c r="A53" s="56" t="str">
        <x:v>FILE-007</x:v>
      </x:c>
      <x:c r="B53" s="56" t="str">
        <x:v>VER-022-001</x:v>
      </x:c>
      <x:c r="C53" s="56" t="str">
        <x:v>SALES 2024-2026.xlsx</x:v>
      </x:c>
      <x:c r="D53" s="56" t="str">
        <x:v>Финансы и денежные потоки</x:v>
      </x:c>
      <x:c r="E53" s="56" t="n">
        <x:v>52</x:v>
      </x:c>
      <x:c r="F53" s="56" t="n">
        <x:v>52</x:v>
      </x:c>
      <x:c r="G53" s="56" t="n">
        <x:v>13</x:v>
      </x:c>
      <x:c r="H53" s="56" t="n">
        <x:v>39</x:v>
      </x:c>
      <x:c r="I53" s="56" t="n">
        <x:v>0</x:v>
      </x:c>
      <x:c r="J53" s="56" t="n">
        <x:v>0</x:v>
      </x:c>
      <x:c r="K53" s="56" t="n">
        <x:v>1</x:v>
      </x:c>
      <x:c r="L53" s="56" t="n">
        <x:v>30</x:v>
      </x:c>
      <x:c r="M53" s="56" t="str">
        <x:v>Remediation required</x:v>
      </x:c>
      <x:c r="N53" s="56" t="str">
        <x:v>Quarantine or controlled use until new version + retest</x:v>
      </x:c>
      <x:c r="O53" s="56" t="str">
        <x:v>Owner approval, evidence location, approved version, test result</x:v>
      </x:c>
    </x:row>
    <x:row r="54">
      <x:c r="A54" s="56" t="str">
        <x:v>FILE-091</x:v>
      </x:c>
      <x:c r="B54" s="56" t="str">
        <x:v>VER-023-001</x:v>
      </x:c>
      <x:c r="C54" s="56" t="str">
        <x:v>Факт анализ продаж B2B 2025.xlsx</x:v>
      </x:c>
      <x:c r="D54" s="56" t="str">
        <x:v>Продажи и каналы</x:v>
      </x:c>
      <x:c r="E54" s="56" t="n">
        <x:v>33</x:v>
      </x:c>
      <x:c r="F54" s="56" t="n">
        <x:v>33</x:v>
      </x:c>
      <x:c r="G54" s="56" t="n">
        <x:v>4</x:v>
      </x:c>
      <x:c r="H54" s="56" t="n">
        <x:v>29</x:v>
      </x:c>
      <x:c r="I54" s="56" t="n">
        <x:v>0</x:v>
      </x:c>
      <x:c r="J54" s="56" t="n">
        <x:v>0</x:v>
      </x:c>
      <x:c r="K54" s="56" t="n">
        <x:v>0</x:v>
      </x:c>
      <x:c r="L54" s="56" t="n">
        <x:v>1</x:v>
      </x:c>
      <x:c r="M54" s="56" t="str">
        <x:v>Clean in current scan</x:v>
      </x:c>
      <x:c r="N54" s="56" t="str">
        <x:v>Allowed only under stated grain/controls</x:v>
      </x:c>
      <x:c r="O54" s="56" t="str">
        <x:v>Owner sign-off and periodic test</x:v>
      </x:c>
    </x:row>
    <x:row r="55">
      <x:c r="A55" s="56" t="str">
        <x:v>FILE-092</x:v>
      </x:c>
      <x:c r="B55" s="56" t="str">
        <x:v>VER-023-002</x:v>
      </x:c>
      <x:c r="C55" s="56" t="str">
        <x:v>Факт анализ продаж B2B 2026.xlsx</x:v>
      </x:c>
      <x:c r="D55" s="56" t="str">
        <x:v>Продажи и каналы</x:v>
      </x:c>
      <x:c r="E55" s="56" t="n">
        <x:v>35</x:v>
      </x:c>
      <x:c r="F55" s="56" t="n">
        <x:v>35</x:v>
      </x:c>
      <x:c r="G55" s="56" t="n">
        <x:v>16</x:v>
      </x:c>
      <x:c r="H55" s="56" t="n">
        <x:v>19</x:v>
      </x:c>
      <x:c r="I55" s="56" t="n">
        <x:v>40</x:v>
      </x:c>
      <x:c r="J55" s="56" t="n">
        <x:v>0</x:v>
      </x:c>
      <x:c r="K55" s="56" t="n">
        <x:v>0</x:v>
      </x:c>
      <x:c r="L55" s="56" t="n">
        <x:v>1</x:v>
      </x:c>
      <x:c r="M55" s="56" t="str">
        <x:v>Remediation required</x:v>
      </x:c>
      <x:c r="N55" s="56" t="str">
        <x:v>Quarantine or controlled use until new version + retest</x:v>
      </x:c>
      <x:c r="O55" s="56" t="str">
        <x:v>Owner approval, evidence location, approved version, test result</x:v>
      </x:c>
    </x:row>
    <x:row r="56">
      <x:c r="A56" s="56" t="str">
        <x:v>FILE-057</x:v>
      </x:c>
      <x:c r="B56" s="56" t="str">
        <x:v>VER-024-001</x:v>
      </x:c>
      <x:c r="C56" s="56" t="str">
        <x:v>Продажи ЦУМ 2024.xlsx</x:v>
      </x:c>
      <x:c r="D56" s="56" t="str">
        <x:v>Продажи и каналы</x:v>
      </x:c>
      <x:c r="E56" s="56" t="n">
        <x:v>11</x:v>
      </x:c>
      <x:c r="F56" s="56" t="n">
        <x:v>11</x:v>
      </x:c>
      <x:c r="G56" s="56" t="n">
        <x:v>3</x:v>
      </x:c>
      <x:c r="H56" s="56" t="n">
        <x:v>8</x:v>
      </x:c>
      <x:c r="I56" s="56" t="n">
        <x:v>0</x:v>
      </x:c>
      <x:c r="J56" s="56" t="n">
        <x:v>0</x:v>
      </x:c>
      <x:c r="K56" s="56" t="n">
        <x:v>0</x:v>
      </x:c>
      <x:c r="L56" s="56" t="n">
        <x:v>4</x:v>
      </x:c>
      <x:c r="M56" s="56" t="str">
        <x:v>Clean in current scan</x:v>
      </x:c>
      <x:c r="N56" s="56" t="str">
        <x:v>Allowed only under stated grain/controls</x:v>
      </x:c>
      <x:c r="O56" s="56" t="str">
        <x:v>Owner sign-off and periodic test</x:v>
      </x:c>
    </x:row>
    <x:row r="57">
      <x:c r="A57" s="56" t="str">
        <x:v>FILE-058</x:v>
      </x:c>
      <x:c r="B57" s="56" t="str">
        <x:v>VER-024-002</x:v>
      </x:c>
      <x:c r="C57" s="56" t="str">
        <x:v>Продажи ЦУМ 2025.xlsx</x:v>
      </x:c>
      <x:c r="D57" s="56" t="str">
        <x:v>Продажи и каналы</x:v>
      </x:c>
      <x:c r="E57" s="56" t="n">
        <x:v>11</x:v>
      </x:c>
      <x:c r="F57" s="56" t="n">
        <x:v>11</x:v>
      </x:c>
      <x:c r="G57" s="56" t="n">
        <x:v>3</x:v>
      </x:c>
      <x:c r="H57" s="56" t="n">
        <x:v>8</x:v>
      </x:c>
      <x:c r="I57" s="56" t="n">
        <x:v>0</x:v>
      </x:c>
      <x:c r="J57" s="56" t="n">
        <x:v>0</x:v>
      </x:c>
      <x:c r="K57" s="56" t="n">
        <x:v>0</x:v>
      </x:c>
      <x:c r="L57" s="56" t="n">
        <x:v>4</x:v>
      </x:c>
      <x:c r="M57" s="56" t="str">
        <x:v>Clean in current scan</x:v>
      </x:c>
      <x:c r="N57" s="56" t="str">
        <x:v>Allowed only under stated grain/controls</x:v>
      </x:c>
      <x:c r="O57" s="56" t="str">
        <x:v>Owner sign-off and periodic test</x:v>
      </x:c>
    </x:row>
    <x:row r="58">
      <x:c r="A58" s="56" t="str">
        <x:v>FILE-059</x:v>
      </x:c>
      <x:c r="B58" s="56" t="str">
        <x:v>VER-024-003</x:v>
      </x:c>
      <x:c r="C58" s="56" t="str">
        <x:v>Продажи ЦУМ 2026.xlsx</x:v>
      </x:c>
      <x:c r="D58" s="56" t="str">
        <x:v>Продажи и каналы</x:v>
      </x:c>
      <x:c r="E58" s="56" t="n">
        <x:v>11</x:v>
      </x:c>
      <x:c r="F58" s="56" t="n">
        <x:v>11</x:v>
      </x:c>
      <x:c r="G58" s="56" t="n">
        <x:v>3</x:v>
      </x:c>
      <x:c r="H58" s="56" t="n">
        <x:v>8</x:v>
      </x:c>
      <x:c r="I58" s="56" t="n">
        <x:v>0</x:v>
      </x:c>
      <x:c r="J58" s="56" t="n">
        <x:v>0</x:v>
      </x:c>
      <x:c r="K58" s="56" t="n">
        <x:v>0</x:v>
      </x:c>
      <x:c r="L58" s="56" t="n">
        <x:v>4</x:v>
      </x:c>
      <x:c r="M58" s="56" t="str">
        <x:v>Clean in current scan</x:v>
      </x:c>
      <x:c r="N58" s="56" t="str">
        <x:v>Allowed only under stated grain/controls</x:v>
      </x:c>
      <x:c r="O58" s="56" t="str">
        <x:v>Owner sign-off and periodic test</x:v>
      </x:c>
    </x:row>
    <x:row r="59">
      <x:c r="A59" s="56" t="str">
        <x:v>FILE-012</x:v>
      </x:c>
      <x:c r="B59" s="56" t="str">
        <x:v>VER-025-001</x:v>
      </x:c>
      <x:c r="C59" s="56" t="str">
        <x:v>Бюджет 2026.xlsx</x:v>
      </x:c>
      <x:c r="D59" s="56" t="str">
        <x:v>Финансы и денежные потоки</x:v>
      </x:c>
      <x:c r="E59" s="56" t="n">
        <x:v>30</x:v>
      </x:c>
      <x:c r="F59" s="56" t="n">
        <x:v>30</x:v>
      </x:c>
      <x:c r="G59" s="56" t="n">
        <x:v>28</x:v>
      </x:c>
      <x:c r="H59" s="56" t="n">
        <x:v>2</x:v>
      </x:c>
      <x:c r="I59" s="56" t="n">
        <x:v>0</x:v>
      </x:c>
      <x:c r="J59" s="56" t="n">
        <x:v>0</x:v>
      </x:c>
      <x:c r="K59" s="56" t="n">
        <x:v>0</x:v>
      </x:c>
      <x:c r="L59" s="56" t="n">
        <x:v>1</x:v>
      </x:c>
      <x:c r="M59" s="56" t="str">
        <x:v>Clean in current scan</x:v>
      </x:c>
      <x:c r="N59" s="56" t="str">
        <x:v>Allowed only under stated grain/controls</x:v>
      </x:c>
      <x:c r="O59" s="56" t="str">
        <x:v>Owner sign-off and periodic test</x:v>
      </x:c>
    </x:row>
    <x:row r="60">
      <x:c r="A60" s="56" t="str">
        <x:v>FILE-011</x:v>
      </x:c>
      <x:c r="B60" s="56" t="str">
        <x:v>VER-026-001</x:v>
      </x:c>
      <x:c r="C60" s="56" t="str">
        <x:v>Бюджет 2-е полугодие 2025(1).xlsx</x:v>
      </x:c>
      <x:c r="D60" s="56" t="str">
        <x:v>Финансы и денежные потоки</x:v>
      </x:c>
      <x:c r="E60" s="56" t="n">
        <x:v>15</x:v>
      </x:c>
      <x:c r="F60" s="56" t="n">
        <x:v>15</x:v>
      </x:c>
      <x:c r="G60" s="56" t="n">
        <x:v>14</x:v>
      </x:c>
      <x:c r="H60" s="56" t="n">
        <x:v>1</x:v>
      </x:c>
      <x:c r="I60" s="56" t="n">
        <x:v>0</x:v>
      </x:c>
      <x:c r="J60" s="56" t="n">
        <x:v>0</x:v>
      </x:c>
      <x:c r="K60" s="56" t="n">
        <x:v>0</x:v>
      </x:c>
      <x:c r="L60" s="56" t="n">
        <x:v>1</x:v>
      </x:c>
      <x:c r="M60" s="56" t="str">
        <x:v>Clean in current scan</x:v>
      </x:c>
      <x:c r="N60" s="56" t="str">
        <x:v>Allowed only under stated grain/controls</x:v>
      </x:c>
      <x:c r="O60" s="56" t="str">
        <x:v>Owner sign-off and periodic test</x:v>
      </x:c>
    </x:row>
    <x:row r="61">
      <x:c r="A61" s="56" t="str">
        <x:v>FILE-016</x:v>
      </x:c>
      <x:c r="B61" s="56" t="str">
        <x:v>VER-027-001</x:v>
      </x:c>
      <x:c r="C61" s="56" t="str">
        <x:v>Вышивка себестоимость 2024-2026.xlsx</x:v>
      </x:c>
      <x:c r="D61" s="56" t="str">
        <x:v>Себестоимость и производство</x:v>
      </x:c>
      <x:c r="E61" s="56" t="n">
        <x:v>225</x:v>
      </x:c>
      <x:c r="F61" s="56" t="n">
        <x:v>225</x:v>
      </x:c>
      <x:c r="G61" s="56" t="n">
        <x:v>20</x:v>
      </x:c>
      <x:c r="H61" s="56" t="n">
        <x:v>205</x:v>
      </x:c>
      <x:c r="I61" s="56" t="n">
        <x:v>0</x:v>
      </x:c>
      <x:c r="J61" s="56" t="n">
        <x:v>0</x:v>
      </x:c>
      <x:c r="K61" s="56" t="n">
        <x:v>0</x:v>
      </x:c>
      <x:c r="L61" s="56" t="n">
        <x:v>3</x:v>
      </x:c>
      <x:c r="M61" s="56" t="str">
        <x:v>Clean in current scan</x:v>
      </x:c>
      <x:c r="N61" s="56" t="str">
        <x:v>Allowed only under stated grain/controls</x:v>
      </x:c>
      <x:c r="O61" s="56" t="str">
        <x:v>Owner sign-off and periodic test</x:v>
      </x:c>
    </x:row>
    <x:row r="62">
      <x:c r="A62" s="56" t="str">
        <x:v>FILE-020</x:v>
      </x:c>
      <x:c r="B62" s="56" t="str">
        <x:v>VER-028-001</x:v>
      </x:c>
      <x:c r="C62" s="56" t="str">
        <x:v>Декларация по НДС за 1 квартал 2025 г. (Янина Ю. Ф. ИП).pdf</x:v>
      </x:c>
      <x:c r="D62" s="56" t="str">
        <x:v>Налоги и обязательная отчётность</x:v>
      </x:c>
      <x:c r="E62" s="56" t="n">
        <x:v>0</x:v>
      </x:c>
      <x:c r="F62" s="56" t="n">
        <x:v>0</x:v>
      </x:c>
      <x:c r="G62" s="56" t="n">
        <x:v>0</x:v>
      </x:c>
      <x:c r="H62" s="56" t="n">
        <x:v>0</x:v>
      </x:c>
      <x:c r="I62" s="56" t="n">
        <x:v>0</x:v>
      </x:c>
      <x:c r="J62" s="56" t="n">
        <x:v>0</x:v>
      </x:c>
      <x:c r="K62" s="56" t="n">
        <x:v>0</x:v>
      </x:c>
      <x:c r="L62" s="56" t="n">
        <x:v>0</x:v>
      </x:c>
      <x:c r="M62" s="56" t="str">
        <x:v>Clean in current scan</x:v>
      </x:c>
      <x:c r="N62" s="56" t="str">
        <x:v>Allowed only under stated grain/controls</x:v>
      </x:c>
      <x:c r="O62" s="56" t="str">
        <x:v>Owner sign-off and periodic test</x:v>
      </x:c>
    </x:row>
    <x:row r="63">
      <x:c r="A63" s="56" t="str">
        <x:v>FILE-021</x:v>
      </x:c>
      <x:c r="B63" s="56" t="str">
        <x:v>VER-028-002</x:v>
      </x:c>
      <x:c r="C63" s="56" t="str">
        <x:v>Декларация по НДС за 1 квартал 2026 г. (Янина Ю. Ф. ИП).pdf</x:v>
      </x:c>
      <x:c r="D63" s="56" t="str">
        <x:v>Налоги и обязательная отчётность</x:v>
      </x:c>
      <x:c r="E63" s="56" t="n">
        <x:v>0</x:v>
      </x:c>
      <x:c r="F63" s="56" t="n">
        <x:v>0</x:v>
      </x:c>
      <x:c r="G63" s="56" t="n">
        <x:v>0</x:v>
      </x:c>
      <x:c r="H63" s="56" t="n">
        <x:v>0</x:v>
      </x:c>
      <x:c r="I63" s="56" t="n">
        <x:v>0</x:v>
      </x:c>
      <x:c r="J63" s="56" t="n">
        <x:v>0</x:v>
      </x:c>
      <x:c r="K63" s="56" t="n">
        <x:v>0</x:v>
      </x:c>
      <x:c r="L63" s="56" t="n">
        <x:v>0</x:v>
      </x:c>
      <x:c r="M63" s="56" t="str">
        <x:v>Clean in current scan</x:v>
      </x:c>
      <x:c r="N63" s="56" t="str">
        <x:v>Allowed only under stated grain/controls</x:v>
      </x:c>
      <x:c r="O63" s="56" t="str">
        <x:v>Owner sign-off and periodic test</x:v>
      </x:c>
    </x:row>
    <x:row r="64">
      <x:c r="A64" s="56" t="str">
        <x:v>FILE-022</x:v>
      </x:c>
      <x:c r="B64" s="56" t="str">
        <x:v>VER-029-001</x:v>
      </x:c>
      <x:c r="C64" s="56" t="str">
        <x:v>Декларация по НДС за 2 квартал 2025 г. (Янина Ю. Ф. ИП).pdf</x:v>
      </x:c>
      <x:c r="D64" s="56" t="str">
        <x:v>Налоги и обязательная отчётность</x:v>
      </x:c>
      <x:c r="E64" s="56" t="n">
        <x:v>0</x:v>
      </x:c>
      <x:c r="F64" s="56" t="n">
        <x:v>0</x:v>
      </x:c>
      <x:c r="G64" s="56" t="n">
        <x:v>0</x:v>
      </x:c>
      <x:c r="H64" s="56" t="n">
        <x:v>0</x:v>
      </x:c>
      <x:c r="I64" s="56" t="n">
        <x:v>0</x:v>
      </x:c>
      <x:c r="J64" s="56" t="n">
        <x:v>0</x:v>
      </x:c>
      <x:c r="K64" s="56" t="n">
        <x:v>0</x:v>
      </x:c>
      <x:c r="L64" s="56" t="n">
        <x:v>0</x:v>
      </x:c>
      <x:c r="M64" s="56" t="str">
        <x:v>Clean in current scan</x:v>
      </x:c>
      <x:c r="N64" s="56" t="str">
        <x:v>Allowed only under stated grain/controls</x:v>
      </x:c>
      <x:c r="O64" s="56" t="str">
        <x:v>Owner sign-off and periodic test</x:v>
      </x:c>
    </x:row>
    <x:row r="65">
      <x:c r="A65" s="56" t="str">
        <x:v>FILE-023</x:v>
      </x:c>
      <x:c r="B65" s="56" t="str">
        <x:v>VER-030-001</x:v>
      </x:c>
      <x:c r="C65" s="56" t="str">
        <x:v>Декларация по НДС за 3 квартал 2025 г. (Янина Ю. Ф. ИП).pdf</x:v>
      </x:c>
      <x:c r="D65" s="56" t="str">
        <x:v>Налоги и обязательная отчётность</x:v>
      </x:c>
      <x:c r="E65" s="56" t="n">
        <x:v>0</x:v>
      </x:c>
      <x:c r="F65" s="56" t="n">
        <x:v>0</x:v>
      </x:c>
      <x:c r="G65" s="56" t="n">
        <x:v>0</x:v>
      </x:c>
      <x:c r="H65" s="56" t="n">
        <x:v>0</x:v>
      </x:c>
      <x:c r="I65" s="56" t="n">
        <x:v>0</x:v>
      </x:c>
      <x:c r="J65" s="56" t="n">
        <x:v>0</x:v>
      </x:c>
      <x:c r="K65" s="56" t="n">
        <x:v>0</x:v>
      </x:c>
      <x:c r="L65" s="56" t="n">
        <x:v>0</x:v>
      </x:c>
      <x:c r="M65" s="56" t="str">
        <x:v>Clean in current scan</x:v>
      </x:c>
      <x:c r="N65" s="56" t="str">
        <x:v>Allowed only under stated grain/controls</x:v>
      </x:c>
      <x:c r="O65" s="56" t="str">
        <x:v>Owner sign-off and periodic test</x:v>
      </x:c>
    </x:row>
    <x:row r="66">
      <x:c r="A66" s="56" t="str">
        <x:v>FILE-024</x:v>
      </x:c>
      <x:c r="B66" s="56" t="str">
        <x:v>VER-031-001</x:v>
      </x:c>
      <x:c r="C66" s="56" t="str">
        <x:v>Декларация по НДС за 4 квартал 2025 г. (Янина Ю. Ф. ИП).pdf</x:v>
      </x:c>
      <x:c r="D66" s="56" t="str">
        <x:v>Налоги и обязательная отчётность</x:v>
      </x:c>
      <x:c r="E66" s="56" t="n">
        <x:v>0</x:v>
      </x:c>
      <x:c r="F66" s="56" t="n">
        <x:v>0</x:v>
      </x:c>
      <x:c r="G66" s="56" t="n">
        <x:v>0</x:v>
      </x:c>
      <x:c r="H66" s="56" t="n">
        <x:v>0</x:v>
      </x:c>
      <x:c r="I66" s="56" t="n">
        <x:v>0</x:v>
      </x:c>
      <x:c r="J66" s="56" t="n">
        <x:v>0</x:v>
      </x:c>
      <x:c r="K66" s="56" t="n">
        <x:v>0</x:v>
      </x:c>
      <x:c r="L66" s="56" t="n">
        <x:v>0</x:v>
      </x:c>
      <x:c r="M66" s="56" t="str">
        <x:v>Clean in current scan</x:v>
      </x:c>
      <x:c r="N66" s="56" t="str">
        <x:v>Allowed only under stated grain/controls</x:v>
      </x:c>
      <x:c r="O66" s="56" t="str">
        <x:v>Owner sign-off and periodic test</x:v>
      </x:c>
    </x:row>
    <x:row r="67">
      <x:c r="A67" s="56" t="str">
        <x:v>FILE-025</x:v>
      </x:c>
      <x:c r="B67" s="56" t="str">
        <x:v>VER-032-001</x:v>
      </x:c>
      <x:c r="C67" s="56" t="str">
        <x:v>Декларация по УСН за 2024 г. (ДЕКОР ООО).pdf</x:v>
      </x:c>
      <x:c r="D67" s="56" t="str">
        <x:v>Налоги и обязательная отчётность</x:v>
      </x:c>
      <x:c r="E67" s="56" t="n">
        <x:v>0</x:v>
      </x:c>
      <x:c r="F67" s="56" t="n">
        <x:v>0</x:v>
      </x:c>
      <x:c r="G67" s="56" t="n">
        <x:v>0</x:v>
      </x:c>
      <x:c r="H67" s="56" t="n">
        <x:v>0</x:v>
      </x:c>
      <x:c r="I67" s="56" t="n">
        <x:v>0</x:v>
      </x:c>
      <x:c r="J67" s="56" t="n">
        <x:v>0</x:v>
      </x:c>
      <x:c r="K67" s="56" t="n">
        <x:v>0</x:v>
      </x:c>
      <x:c r="L67" s="56" t="n">
        <x:v>0</x:v>
      </x:c>
      <x:c r="M67" s="56" t="str">
        <x:v>Clean in current scan</x:v>
      </x:c>
      <x:c r="N67" s="56" t="str">
        <x:v>Allowed only under stated grain/controls</x:v>
      </x:c>
      <x:c r="O67" s="56" t="str">
        <x:v>Owner sign-off and periodic test</x:v>
      </x:c>
    </x:row>
    <x:row r="68">
      <x:c r="A68" s="56" t="str">
        <x:v>FILE-027</x:v>
      </x:c>
      <x:c r="B68" s="56" t="str">
        <x:v>VER-032-002</x:v>
      </x:c>
      <x:c r="C68" s="56" t="str">
        <x:v>Декларация по УСН за 2025 г. (ДЕКОР ООО)(1).pdf</x:v>
      </x:c>
      <x:c r="D68" s="56" t="str">
        <x:v>Налоги и обязательная отчётность</x:v>
      </x:c>
      <x:c r="E68" s="56" t="n">
        <x:v>0</x:v>
      </x:c>
      <x:c r="F68" s="56" t="n">
        <x:v>0</x:v>
      </x:c>
      <x:c r="G68" s="56" t="n">
        <x:v>0</x:v>
      </x:c>
      <x:c r="H68" s="56" t="n">
        <x:v>0</x:v>
      </x:c>
      <x:c r="I68" s="56" t="n">
        <x:v>0</x:v>
      </x:c>
      <x:c r="J68" s="56" t="n">
        <x:v>0</x:v>
      </x:c>
      <x:c r="K68" s="56" t="n">
        <x:v>0</x:v>
      </x:c>
      <x:c r="L68" s="56" t="n">
        <x:v>0</x:v>
      </x:c>
      <x:c r="M68" s="56" t="str">
        <x:v>Clean in current scan</x:v>
      </x:c>
      <x:c r="N68" s="56" t="str">
        <x:v>Allowed only under stated grain/controls</x:v>
      </x:c>
      <x:c r="O68" s="56" t="str">
        <x:v>Owner sign-off and periodic test</x:v>
      </x:c>
    </x:row>
    <x:row r="69">
      <x:c r="A69" s="56" t="str">
        <x:v>FILE-026</x:v>
      </x:c>
      <x:c r="B69" s="56" t="str">
        <x:v>VER-033-001</x:v>
      </x:c>
      <x:c r="C69" s="56" t="str">
        <x:v>Декларация по УСН за 2024 г. (Янина Ю. Ф. ИП).pdf</x:v>
      </x:c>
      <x:c r="D69" s="56" t="str">
        <x:v>Налоги и обязательная отчётность</x:v>
      </x:c>
      <x:c r="E69" s="56" t="n">
        <x:v>0</x:v>
      </x:c>
      <x:c r="F69" s="56" t="n">
        <x:v>0</x:v>
      </x:c>
      <x:c r="G69" s="56" t="n">
        <x:v>0</x:v>
      </x:c>
      <x:c r="H69" s="56" t="n">
        <x:v>0</x:v>
      </x:c>
      <x:c r="I69" s="56" t="n">
        <x:v>0</x:v>
      </x:c>
      <x:c r="J69" s="56" t="n">
        <x:v>0</x:v>
      </x:c>
      <x:c r="K69" s="56" t="n">
        <x:v>0</x:v>
      </x:c>
      <x:c r="L69" s="56" t="n">
        <x:v>0</x:v>
      </x:c>
      <x:c r="M69" s="56" t="str">
        <x:v>Clean in current scan</x:v>
      </x:c>
      <x:c r="N69" s="56" t="str">
        <x:v>Allowed only under stated grain/controls</x:v>
      </x:c>
      <x:c r="O69" s="56" t="str">
        <x:v>Owner sign-off and periodic test</x:v>
      </x:c>
    </x:row>
    <x:row r="70">
      <x:c r="A70" s="56" t="str">
        <x:v>FILE-028</x:v>
      </x:c>
      <x:c r="B70" s="56" t="str">
        <x:v>VER-033-002</x:v>
      </x:c>
      <x:c r="C70" s="56" t="str">
        <x:v>Декларация по УСН за 2025 г. (Янина Ю. Ф. ИП)(1).pdf</x:v>
      </x:c>
      <x:c r="D70" s="56" t="str">
        <x:v>Налоги и обязательная отчётность</x:v>
      </x:c>
      <x:c r="E70" s="56" t="n">
        <x:v>0</x:v>
      </x:c>
      <x:c r="F70" s="56" t="n">
        <x:v>0</x:v>
      </x:c>
      <x:c r="G70" s="56" t="n">
        <x:v>0</x:v>
      </x:c>
      <x:c r="H70" s="56" t="n">
        <x:v>0</x:v>
      </x:c>
      <x:c r="I70" s="56" t="n">
        <x:v>0</x:v>
      </x:c>
      <x:c r="J70" s="56" t="n">
        <x:v>0</x:v>
      </x:c>
      <x:c r="K70" s="56" t="n">
        <x:v>0</x:v>
      </x:c>
      <x:c r="L70" s="56" t="n">
        <x:v>0</x:v>
      </x:c>
      <x:c r="M70" s="56" t="str">
        <x:v>Clean in current scan</x:v>
      </x:c>
      <x:c r="N70" s="56" t="str">
        <x:v>Allowed only under stated grain/controls</x:v>
      </x:c>
      <x:c r="O70" s="56" t="str">
        <x:v>Owner sign-off and periodic test</x:v>
      </x:c>
    </x:row>
    <x:row r="71">
      <x:c r="A71" s="56" t="str">
        <x:v>FILE-029</x:v>
      </x:c>
      <x:c r="B71" s="56" t="str">
        <x:v>VER-034-001</x:v>
      </x:c>
      <x:c r="C71" s="56" t="str">
        <x:v>Договор_комплексной_диагностики_ИП_Янина_+_паспорт.docx</x:v>
      </x:c>
      <x:c r="D71" s="56" t="str">
        <x:v>Договоры и проектные документы</x:v>
      </x:c>
      <x:c r="E71" s="56" t="n">
        <x:v>0</x:v>
      </x:c>
      <x:c r="F71" s="56" t="n">
        <x:v>0</x:v>
      </x:c>
      <x:c r="G71" s="56" t="n">
        <x:v>0</x:v>
      </x:c>
      <x:c r="H71" s="56" t="n">
        <x:v>0</x:v>
      </x:c>
      <x:c r="I71" s="56" t="n">
        <x:v>0</x:v>
      </x:c>
      <x:c r="J71" s="56" t="n">
        <x:v>0</x:v>
      </x:c>
      <x:c r="K71" s="56" t="n">
        <x:v>0</x:v>
      </x:c>
      <x:c r="L71" s="56" t="n">
        <x:v>0</x:v>
      </x:c>
      <x:c r="M71" s="56" t="str">
        <x:v>Clean in current scan</x:v>
      </x:c>
      <x:c r="N71" s="56" t="str">
        <x:v>Allowed only under stated grain/controls</x:v>
      </x:c>
      <x:c r="O71" s="56" t="str">
        <x:v>Owner sign-off and periodic test</x:v>
      </x:c>
    </x:row>
    <x:row r="72">
      <x:c r="A72" s="56" t="str">
        <x:v>FILE-041</x:v>
      </x:c>
      <x:c r="B72" s="56" t="str">
        <x:v>VER-035-001</x:v>
      </x:c>
      <x:c r="C72" s="56" t="str">
        <x:v>зп_конструкторы_01.26.xlsx</x:v>
      </x:c>
      <x:c r="D72" s="56" t="str">
        <x:v>Персонал и оплата труда</x:v>
      </x:c>
      <x:c r="E72" s="56" t="n">
        <x:v>39</x:v>
      </x:c>
      <x:c r="F72" s="56" t="n">
        <x:v>39</x:v>
      </x:c>
      <x:c r="G72" s="56" t="n">
        <x:v>11</x:v>
      </x:c>
      <x:c r="H72" s="56" t="n">
        <x:v>28</x:v>
      </x:c>
      <x:c r="I72" s="56" t="n">
        <x:v>0</x:v>
      </x:c>
      <x:c r="J72" s="56" t="n">
        <x:v>0</x:v>
      </x:c>
      <x:c r="K72" s="56" t="n">
        <x:v>0</x:v>
      </x:c>
      <x:c r="L72" s="56" t="n">
        <x:v>1</x:v>
      </x:c>
      <x:c r="M72" s="56" t="str">
        <x:v>Clean in current scan</x:v>
      </x:c>
      <x:c r="N72" s="56" t="str">
        <x:v>Allowed only under stated grain/controls</x:v>
      </x:c>
      <x:c r="O72" s="56" t="str">
        <x:v>Owner sign-off and periodic test</x:v>
      </x:c>
    </x:row>
    <x:row r="73">
      <x:c r="A73" s="56" t="str">
        <x:v>FILE-042</x:v>
      </x:c>
      <x:c r="B73" s="56" t="str">
        <x:v>VER-036-001</x:v>
      </x:c>
      <x:c r="C73" s="56" t="str">
        <x:v>зп_конструкторы_02.26.xlsx</x:v>
      </x:c>
      <x:c r="D73" s="56" t="str">
        <x:v>Персонал и оплата труда</x:v>
      </x:c>
      <x:c r="E73" s="56" t="n">
        <x:v>39</x:v>
      </x:c>
      <x:c r="F73" s="56" t="n">
        <x:v>39</x:v>
      </x:c>
      <x:c r="G73" s="56" t="n">
        <x:v>11</x:v>
      </x:c>
      <x:c r="H73" s="56" t="n">
        <x:v>28</x:v>
      </x:c>
      <x:c r="I73" s="56" t="n">
        <x:v>0</x:v>
      </x:c>
      <x:c r="J73" s="56" t="n">
        <x:v>0</x:v>
      </x:c>
      <x:c r="K73" s="56" t="n">
        <x:v>0</x:v>
      </x:c>
      <x:c r="L73" s="56" t="n">
        <x:v>1</x:v>
      </x:c>
      <x:c r="M73" s="56" t="str">
        <x:v>Clean in current scan</x:v>
      </x:c>
      <x:c r="N73" s="56" t="str">
        <x:v>Allowed only under stated grain/controls</x:v>
      </x:c>
      <x:c r="O73" s="56" t="str">
        <x:v>Owner sign-off and periodic test</x:v>
      </x:c>
    </x:row>
    <x:row r="74">
      <x:c r="A74" s="56" t="str">
        <x:v>FILE-043</x:v>
      </x:c>
      <x:c r="B74" s="56" t="str">
        <x:v>VER-037-001</x:v>
      </x:c>
      <x:c r="C74" s="56" t="str">
        <x:v>зп_конструкторы_03.26.xlsx</x:v>
      </x:c>
      <x:c r="D74" s="56" t="str">
        <x:v>Персонал и оплата труда</x:v>
      </x:c>
      <x:c r="E74" s="56" t="n">
        <x:v>39</x:v>
      </x:c>
      <x:c r="F74" s="56" t="n">
        <x:v>39</x:v>
      </x:c>
      <x:c r="G74" s="56" t="n">
        <x:v>11</x:v>
      </x:c>
      <x:c r="H74" s="56" t="n">
        <x:v>28</x:v>
      </x:c>
      <x:c r="I74" s="56" t="n">
        <x:v>0</x:v>
      </x:c>
      <x:c r="J74" s="56" t="n">
        <x:v>0</x:v>
      </x:c>
      <x:c r="K74" s="56" t="n">
        <x:v>0</x:v>
      </x:c>
      <x:c r="L74" s="56" t="n">
        <x:v>1</x:v>
      </x:c>
      <x:c r="M74" s="56" t="str">
        <x:v>Clean in current scan</x:v>
      </x:c>
      <x:c r="N74" s="56" t="str">
        <x:v>Allowed only under stated grain/controls</x:v>
      </x:c>
      <x:c r="O74" s="56" t="str">
        <x:v>Owner sign-off and periodic test</x:v>
      </x:c>
    </x:row>
    <x:row r="75">
      <x:c r="A75" s="56" t="str">
        <x:v>FILE-044</x:v>
      </x:c>
      <x:c r="B75" s="56" t="str">
        <x:v>VER-038-001</x:v>
      </x:c>
      <x:c r="C75" s="56" t="str">
        <x:v>зп_конструкторы_04.26.xlsx</x:v>
      </x:c>
      <x:c r="D75" s="56" t="str">
        <x:v>Персонал и оплата труда</x:v>
      </x:c>
      <x:c r="E75" s="56" t="n">
        <x:v>39</x:v>
      </x:c>
      <x:c r="F75" s="56" t="n">
        <x:v>39</x:v>
      </x:c>
      <x:c r="G75" s="56" t="n">
        <x:v>11</x:v>
      </x:c>
      <x:c r="H75" s="56" t="n">
        <x:v>28</x:v>
      </x:c>
      <x:c r="I75" s="56" t="n">
        <x:v>0</x:v>
      </x:c>
      <x:c r="J75" s="56" t="n">
        <x:v>0</x:v>
      </x:c>
      <x:c r="K75" s="56" t="n">
        <x:v>0</x:v>
      </x:c>
      <x:c r="L75" s="56" t="n">
        <x:v>1</x:v>
      </x:c>
      <x:c r="M75" s="56" t="str">
        <x:v>Clean in current scan</x:v>
      </x:c>
      <x:c r="N75" s="56" t="str">
        <x:v>Allowed only under stated grain/controls</x:v>
      </x:c>
      <x:c r="O75" s="56" t="str">
        <x:v>Owner sign-off and periodic test</x:v>
      </x:c>
    </x:row>
    <x:row r="76">
      <x:c r="A76" s="56" t="str">
        <x:v>FILE-045</x:v>
      </x:c>
      <x:c r="B76" s="56" t="str">
        <x:v>VER-039-001</x:v>
      </x:c>
      <x:c r="C76" s="56" t="str">
        <x:v>зп_конструкторы_05.26.xlsx</x:v>
      </x:c>
      <x:c r="D76" s="56" t="str">
        <x:v>Персонал и оплата труда</x:v>
      </x:c>
      <x:c r="E76" s="56" t="n">
        <x:v>39</x:v>
      </x:c>
      <x:c r="F76" s="56" t="n">
        <x:v>39</x:v>
      </x:c>
      <x:c r="G76" s="56" t="n">
        <x:v>11</x:v>
      </x:c>
      <x:c r="H76" s="56" t="n">
        <x:v>28</x:v>
      </x:c>
      <x:c r="I76" s="56" t="n">
        <x:v>0</x:v>
      </x:c>
      <x:c r="J76" s="56" t="n">
        <x:v>0</x:v>
      </x:c>
      <x:c r="K76" s="56" t="n">
        <x:v>0</x:v>
      </x:c>
      <x:c r="L76" s="56" t="n">
        <x:v>1</x:v>
      </x:c>
      <x:c r="M76" s="56" t="str">
        <x:v>Clean in current scan</x:v>
      </x:c>
      <x:c r="N76" s="56" t="str">
        <x:v>Allowed only under stated grain/controls</x:v>
      </x:c>
      <x:c r="O76" s="56" t="str">
        <x:v>Owner sign-off and periodic test</x:v>
      </x:c>
    </x:row>
    <x:row r="77">
      <x:c r="A77" s="56" t="str">
        <x:v>FILE-046</x:v>
      </x:c>
      <x:c r="B77" s="56" t="str">
        <x:v>VER-040-001</x:v>
      </x:c>
      <x:c r="C77" s="56" t="str">
        <x:v>ЗП_ЦЕХ 01.26.xlsx</x:v>
      </x:c>
      <x:c r="D77" s="56" t="str">
        <x:v>Персонал и оплата труда</x:v>
      </x:c>
      <x:c r="E77" s="56" t="n">
        <x:v>25</x:v>
      </x:c>
      <x:c r="F77" s="56" t="n">
        <x:v>25</x:v>
      </x:c>
      <x:c r="G77" s="56" t="n">
        <x:v>13</x:v>
      </x:c>
      <x:c r="H77" s="56" t="n">
        <x:v>12</x:v>
      </x:c>
      <x:c r="I77" s="56" t="n">
        <x:v>0</x:v>
      </x:c>
      <x:c r="J77" s="56" t="n">
        <x:v>0</x:v>
      </x:c>
      <x:c r="K77" s="56" t="n">
        <x:v>0</x:v>
      </x:c>
      <x:c r="L77" s="56" t="n">
        <x:v>1</x:v>
      </x:c>
      <x:c r="M77" s="56" t="str">
        <x:v>Clean in current scan</x:v>
      </x:c>
      <x:c r="N77" s="56" t="str">
        <x:v>Allowed only under stated grain/controls</x:v>
      </x:c>
      <x:c r="O77" s="56" t="str">
        <x:v>Owner sign-off and periodic test</x:v>
      </x:c>
    </x:row>
    <x:row r="78">
      <x:c r="A78" s="56" t="str">
        <x:v>FILE-047</x:v>
      </x:c>
      <x:c r="B78" s="56" t="str">
        <x:v>VER-041-001</x:v>
      </x:c>
      <x:c r="C78" s="56" t="str">
        <x:v>ЗП_ЦЕХ 02.26.xlsx</x:v>
      </x:c>
      <x:c r="D78" s="56" t="str">
        <x:v>Персонал и оплата труда</x:v>
      </x:c>
      <x:c r="E78" s="56" t="n">
        <x:v>25</x:v>
      </x:c>
      <x:c r="F78" s="56" t="n">
        <x:v>25</x:v>
      </x:c>
      <x:c r="G78" s="56" t="n">
        <x:v>13</x:v>
      </x:c>
      <x:c r="H78" s="56" t="n">
        <x:v>12</x:v>
      </x:c>
      <x:c r="I78" s="56" t="n">
        <x:v>0</x:v>
      </x:c>
      <x:c r="J78" s="56" t="n">
        <x:v>0</x:v>
      </x:c>
      <x:c r="K78" s="56" t="n">
        <x:v>0</x:v>
      </x:c>
      <x:c r="L78" s="56" t="n">
        <x:v>1</x:v>
      </x:c>
      <x:c r="M78" s="56" t="str">
        <x:v>Clean in current scan</x:v>
      </x:c>
      <x:c r="N78" s="56" t="str">
        <x:v>Allowed only under stated grain/controls</x:v>
      </x:c>
      <x:c r="O78" s="56" t="str">
        <x:v>Owner sign-off and periodic test</x:v>
      </x:c>
    </x:row>
    <x:row r="79">
      <x:c r="A79" s="56" t="str">
        <x:v>FILE-048</x:v>
      </x:c>
      <x:c r="B79" s="56" t="str">
        <x:v>VER-042-001</x:v>
      </x:c>
      <x:c r="C79" s="56" t="str">
        <x:v>ЗП_ЦЕХ 03.26.xlsx</x:v>
      </x:c>
      <x:c r="D79" s="56" t="str">
        <x:v>Персонал и оплата труда</x:v>
      </x:c>
      <x:c r="E79" s="56" t="n">
        <x:v>25</x:v>
      </x:c>
      <x:c r="F79" s="56" t="n">
        <x:v>25</x:v>
      </x:c>
      <x:c r="G79" s="56" t="n">
        <x:v>13</x:v>
      </x:c>
      <x:c r="H79" s="56" t="n">
        <x:v>12</x:v>
      </x:c>
      <x:c r="I79" s="56" t="n">
        <x:v>0</x:v>
      </x:c>
      <x:c r="J79" s="56" t="n">
        <x:v>0</x:v>
      </x:c>
      <x:c r="K79" s="56" t="n">
        <x:v>0</x:v>
      </x:c>
      <x:c r="L79" s="56" t="n">
        <x:v>1</x:v>
      </x:c>
      <x:c r="M79" s="56" t="str">
        <x:v>Clean in current scan</x:v>
      </x:c>
      <x:c r="N79" s="56" t="str">
        <x:v>Allowed only under stated grain/controls</x:v>
      </x:c>
      <x:c r="O79" s="56" t="str">
        <x:v>Owner sign-off and periodic test</x:v>
      </x:c>
    </x:row>
    <x:row r="80">
      <x:c r="A80" s="56" t="str">
        <x:v>FILE-049</x:v>
      </x:c>
      <x:c r="B80" s="56" t="str">
        <x:v>VER-043-001</x:v>
      </x:c>
      <x:c r="C80" s="56" t="str">
        <x:v>ЗП_ЦЕХ 04.26.xlsx</x:v>
      </x:c>
      <x:c r="D80" s="56" t="str">
        <x:v>Персонал и оплата труда</x:v>
      </x:c>
      <x:c r="E80" s="56" t="n">
        <x:v>25</x:v>
      </x:c>
      <x:c r="F80" s="56" t="n">
        <x:v>25</x:v>
      </x:c>
      <x:c r="G80" s="56" t="n">
        <x:v>13</x:v>
      </x:c>
      <x:c r="H80" s="56" t="n">
        <x:v>12</x:v>
      </x:c>
      <x:c r="I80" s="56" t="n">
        <x:v>0</x:v>
      </x:c>
      <x:c r="J80" s="56" t="n">
        <x:v>0</x:v>
      </x:c>
      <x:c r="K80" s="56" t="n">
        <x:v>0</x:v>
      </x:c>
      <x:c r="L80" s="56" t="n">
        <x:v>1</x:v>
      </x:c>
      <x:c r="M80" s="56" t="str">
        <x:v>Clean in current scan</x:v>
      </x:c>
      <x:c r="N80" s="56" t="str">
        <x:v>Allowed only under stated grain/controls</x:v>
      </x:c>
      <x:c r="O80" s="56" t="str">
        <x:v>Owner sign-off and periodic test</x:v>
      </x:c>
    </x:row>
    <x:row r="81">
      <x:c r="A81" s="56" t="str">
        <x:v>FILE-050</x:v>
      </x:c>
      <x:c r="B81" s="56" t="str">
        <x:v>VER-044-001</x:v>
      </x:c>
      <x:c r="C81" s="56" t="str">
        <x:v>ЗП_ЦЕХ 05.26.xlsx</x:v>
      </x:c>
      <x:c r="D81" s="56" t="str">
        <x:v>Персонал и оплата труда</x:v>
      </x:c>
      <x:c r="E81" s="56" t="n">
        <x:v>25</x:v>
      </x:c>
      <x:c r="F81" s="56" t="n">
        <x:v>25</x:v>
      </x:c>
      <x:c r="G81" s="56" t="n">
        <x:v>13</x:v>
      </x:c>
      <x:c r="H81" s="56" t="n">
        <x:v>12</x:v>
      </x:c>
      <x:c r="I81" s="56" t="n">
        <x:v>0</x:v>
      </x:c>
      <x:c r="J81" s="56" t="n">
        <x:v>0</x:v>
      </x:c>
      <x:c r="K81" s="56" t="n">
        <x:v>0</x:v>
      </x:c>
      <x:c r="L81" s="56" t="n">
        <x:v>1</x:v>
      </x:c>
      <x:c r="M81" s="56" t="str">
        <x:v>Clean in current scan</x:v>
      </x:c>
      <x:c r="N81" s="56" t="str">
        <x:v>Allowed only under stated grain/controls</x:v>
      </x:c>
      <x:c r="O81" s="56" t="str">
        <x:v>Owner sign-off and periodic test</x:v>
      </x:c>
    </x:row>
    <x:row r="82">
      <x:c r="A82" s="56" t="str">
        <x:v>FILE-051</x:v>
      </x:c>
      <x:c r="B82" s="56" t="str">
        <x:v>VER-045-001</x:v>
      </x:c>
      <x:c r="C82" s="56" t="str">
        <x:v>МД — копия.xlsx</x:v>
      </x:c>
      <x:c r="D82" s="56" t="str">
        <x:v>Себестоимость и производство</x:v>
      </x:c>
      <x:c r="E82" s="56" t="n">
        <x:v>27</x:v>
      </x:c>
      <x:c r="F82" s="56" t="n">
        <x:v>27</x:v>
      </x:c>
      <x:c r="G82" s="56" t="n">
        <x:v>15</x:v>
      </x:c>
      <x:c r="H82" s="56" t="n">
        <x:v>12</x:v>
      </x:c>
      <x:c r="I82" s="56" t="n">
        <x:v>0</x:v>
      </x:c>
      <x:c r="J82" s="56" t="n">
        <x:v>0</x:v>
      </x:c>
      <x:c r="K82" s="56" t="n">
        <x:v>0</x:v>
      </x:c>
      <x:c r="L82" s="56" t="n">
        <x:v>1</x:v>
      </x:c>
      <x:c r="M82" s="56" t="str">
        <x:v>Clean in current scan</x:v>
      </x:c>
      <x:c r="N82" s="56" t="str">
        <x:v>Allowed only under stated grain/controls</x:v>
      </x:c>
      <x:c r="O82" s="56" t="str">
        <x:v>Owner sign-off and periodic test</x:v>
      </x:c>
    </x:row>
    <x:row r="83">
      <x:c r="A83" s="56" t="str">
        <x:v>FILE-052</x:v>
      </x:c>
      <x:c r="B83" s="56" t="str">
        <x:v>VER-046-001</x:v>
      </x:c>
      <x:c r="C83" s="56" t="str">
        <x:v>Орг. структура на 28.05.2026.pdf</x:v>
      </x:c>
      <x:c r="D83" s="56" t="str">
        <x:v>Персонал и оплата труда</x:v>
      </x:c>
      <x:c r="E83" s="56" t="n">
        <x:v>0</x:v>
      </x:c>
      <x:c r="F83" s="56" t="n">
        <x:v>0</x:v>
      </x:c>
      <x:c r="G83" s="56" t="n">
        <x:v>0</x:v>
      </x:c>
      <x:c r="H83" s="56" t="n">
        <x:v>0</x:v>
      </x:c>
      <x:c r="I83" s="56" t="n">
        <x:v>0</x:v>
      </x:c>
      <x:c r="J83" s="56" t="n">
        <x:v>0</x:v>
      </x:c>
      <x:c r="K83" s="56" t="n">
        <x:v>0</x:v>
      </x:c>
      <x:c r="L83" s="56" t="n">
        <x:v>0</x:v>
      </x:c>
      <x:c r="M83" s="56" t="str">
        <x:v>Clean in current scan</x:v>
      </x:c>
      <x:c r="N83" s="56" t="str">
        <x:v>Allowed only under stated grain/controls</x:v>
      </x:c>
      <x:c r="O83" s="56" t="str">
        <x:v>Owner sign-off and periodic test</x:v>
      </x:c>
    </x:row>
    <x:row r="84">
      <x:c r="A84" s="56" t="str">
        <x:v>FILE-053</x:v>
      </x:c>
      <x:c r="B84" s="56" t="str">
        <x:v>VER-047-001</x:v>
      </x:c>
      <x:c r="C84" s="56" t="str">
        <x:v>Остатки ткани из 1С на 31.05.2026.xlsx</x:v>
      </x:c>
      <x:c r="D84" s="56" t="str">
        <x:v>Закупки и запасы</x:v>
      </x:c>
      <x:c r="E84" s="56" t="n">
        <x:v>4</x:v>
      </x:c>
      <x:c r="F84" s="56" t="n">
        <x:v>4</x:v>
      </x:c>
      <x:c r="G84" s="56" t="n">
        <x:v>3</x:v>
      </x:c>
      <x:c r="H84" s="56" t="n">
        <x:v>1</x:v>
      </x:c>
      <x:c r="I84" s="56" t="n">
        <x:v>0</x:v>
      </x:c>
      <x:c r="J84" s="56" t="n">
        <x:v>0</x:v>
      </x:c>
      <x:c r="K84" s="56" t="n">
        <x:v>0</x:v>
      </x:c>
      <x:c r="L84" s="56" t="n">
        <x:v>4</x:v>
      </x:c>
      <x:c r="M84" s="56" t="str">
        <x:v>Clean in current scan</x:v>
      </x:c>
      <x:c r="N84" s="56" t="str">
        <x:v>Allowed only under stated grain/controls</x:v>
      </x:c>
      <x:c r="O84" s="56" t="str">
        <x:v>Owner sign-off and periodic test</x:v>
      </x:c>
    </x:row>
    <x:row r="85">
      <x:c r="A85" s="56" t="str">
        <x:v>FILE-054</x:v>
      </x:c>
      <x:c r="B85" s="56" t="str">
        <x:v>VER-048-001</x:v>
      </x:c>
      <x:c r="C85" s="56" t="str">
        <x:v>план работы.docx</x:v>
      </x:c>
      <x:c r="D85" s="56" t="str">
        <x:v>Договоры и проектные документы</x:v>
      </x:c>
      <x:c r="E85" s="56" t="n">
        <x:v>0</x:v>
      </x:c>
      <x:c r="F85" s="56" t="n">
        <x:v>0</x:v>
      </x:c>
      <x:c r="G85" s="56" t="n">
        <x:v>0</x:v>
      </x:c>
      <x:c r="H85" s="56" t="n">
        <x:v>0</x:v>
      </x:c>
      <x:c r="I85" s="56" t="n">
        <x:v>0</x:v>
      </x:c>
      <x:c r="J85" s="56" t="n">
        <x:v>0</x:v>
      </x:c>
      <x:c r="K85" s="56" t="n">
        <x:v>0</x:v>
      </x:c>
      <x:c r="L85" s="56" t="n">
        <x:v>0</x:v>
      </x:c>
      <x:c r="M85" s="56" t="str">
        <x:v>Clean in current scan</x:v>
      </x:c>
      <x:c r="N85" s="56" t="str">
        <x:v>Allowed only under stated grain/controls</x:v>
      </x:c>
      <x:c r="O85" s="56" t="str">
        <x:v>Owner sign-off and periodic test</x:v>
      </x:c>
    </x:row>
    <x:row r="86">
      <x:c r="A86" s="56" t="str">
        <x:v>FILE-055</x:v>
      </x:c>
      <x:c r="B86" s="56" t="str">
        <x:v>VER-049-001</x:v>
      </x:c>
      <x:c r="C86" s="56" t="str">
        <x:v>Положение об оплате труда и премировании в ИП Янина.doc</x:v>
      </x:c>
      <x:c r="D86" s="56" t="str">
        <x:v>Персонал и оплата труда</x:v>
      </x:c>
      <x:c r="E86" s="56" t="n">
        <x:v>0</x:v>
      </x:c>
      <x:c r="F86" s="56" t="n">
        <x:v>0</x:v>
      </x:c>
      <x:c r="G86" s="56" t="n">
        <x:v>0</x:v>
      </x:c>
      <x:c r="H86" s="56" t="n">
        <x:v>0</x:v>
      </x:c>
      <x:c r="I86" s="56" t="n">
        <x:v>0</x:v>
      </x:c>
      <x:c r="J86" s="56" t="n">
        <x:v>0</x:v>
      </x:c>
      <x:c r="K86" s="56" t="n">
        <x:v>0</x:v>
      </x:c>
      <x:c r="L86" s="56" t="n">
        <x:v>0</x:v>
      </x:c>
      <x:c r="M86" s="56" t="str">
        <x:v>Clean in current scan</x:v>
      </x:c>
      <x:c r="N86" s="56" t="str">
        <x:v>Allowed only under stated grain/controls</x:v>
      </x:c>
      <x:c r="O86" s="56" t="str">
        <x:v>Owner sign-off and periodic test</x:v>
      </x:c>
    </x:row>
    <x:row r="87">
      <x:c r="A87" s="56" t="str">
        <x:v>FILE-056</x:v>
      </x:c>
      <x:c r="B87" s="56" t="str">
        <x:v>VER-050-001</x:v>
      </x:c>
      <x:c r="C87" s="56" t="str">
        <x:v>Приложение 1 к положению.docx</x:v>
      </x:c>
      <x:c r="D87" s="56" t="str">
        <x:v>Персонал и оплата труда</x:v>
      </x:c>
      <x:c r="E87" s="56" t="n">
        <x:v>0</x:v>
      </x:c>
      <x:c r="F87" s="56" t="n">
        <x:v>0</x:v>
      </x:c>
      <x:c r="G87" s="56" t="n">
        <x:v>0</x:v>
      </x:c>
      <x:c r="H87" s="56" t="n">
        <x:v>0</x:v>
      </x:c>
      <x:c r="I87" s="56" t="n">
        <x:v>0</x:v>
      </x:c>
      <x:c r="J87" s="56" t="n">
        <x:v>0</x:v>
      </x:c>
      <x:c r="K87" s="56" t="n">
        <x:v>0</x:v>
      </x:c>
      <x:c r="L87" s="56" t="n">
        <x:v>0</x:v>
      </x:c>
      <x:c r="M87" s="56" t="str">
        <x:v>Clean in current scan</x:v>
      </x:c>
      <x:c r="N87" s="56" t="str">
        <x:v>Allowed only under stated grain/controls</x:v>
      </x:c>
      <x:c r="O87" s="56" t="str">
        <x:v>Owner sign-off and periodic test</x:v>
      </x:c>
    </x:row>
    <x:row r="88">
      <x:c r="A88" s="56" t="str">
        <x:v>FILE-080</x:v>
      </x:c>
      <x:c r="B88" s="56" t="str">
        <x:v>VER-051-001</x:v>
      </x:c>
      <x:c r="C88" s="56" t="str">
        <x:v>Сведения о наличии отрицательного сальдо ЕНС.pdf</x:v>
      </x:c>
      <x:c r="D88" s="56" t="str">
        <x:v>Налоги и обязательная отчётность</x:v>
      </x:c>
      <x:c r="E88" s="56" t="n">
        <x:v>0</x:v>
      </x:c>
      <x:c r="F88" s="56" t="n">
        <x:v>0</x:v>
      </x:c>
      <x:c r="G88" s="56" t="n">
        <x:v>0</x:v>
      </x:c>
      <x:c r="H88" s="56" t="n">
        <x:v>0</x:v>
      </x:c>
      <x:c r="I88" s="56" t="n">
        <x:v>0</x:v>
      </x:c>
      <x:c r="J88" s="56" t="n">
        <x:v>0</x:v>
      </x:c>
      <x:c r="K88" s="56" t="n">
        <x:v>0</x:v>
      </x:c>
      <x:c r="L88" s="56" t="n">
        <x:v>1</x:v>
      </x:c>
      <x:c r="M88" s="56" t="str">
        <x:v>Clean in current scan</x:v>
      </x:c>
      <x:c r="N88" s="56" t="str">
        <x:v>Allowed only under stated grain/controls</x:v>
      </x:c>
      <x:c r="O88" s="56" t="str">
        <x:v>Owner sign-off and periodic test</x:v>
      </x:c>
    </x:row>
    <x:row r="89">
      <x:c r="A89" s="56" t="str">
        <x:v>FILE-081</x:v>
      </x:c>
      <x:c r="B89" s="56" t="str">
        <x:v>VER-052-001</x:v>
      </x:c>
      <x:c r="C89" s="56" t="str">
        <x:v>Себестоимость Жукова.xlsx</x:v>
      </x:c>
      <x:c r="D89" s="56" t="str">
        <x:v>Себестоимость и производство</x:v>
      </x:c>
      <x:c r="E89" s="56" t="n">
        <x:v>80</x:v>
      </x:c>
      <x:c r="F89" s="56" t="n">
        <x:v>80</x:v>
      </x:c>
      <x:c r="G89" s="56" t="n">
        <x:v>43</x:v>
      </x:c>
      <x:c r="H89" s="56" t="n">
        <x:v>37</x:v>
      </x:c>
      <x:c r="I89" s="56" t="n">
        <x:v>488</x:v>
      </x:c>
      <x:c r="J89" s="56" t="n">
        <x:v>0</x:v>
      </x:c>
      <x:c r="K89" s="56" t="n">
        <x:v>0</x:v>
      </x:c>
      <x:c r="L89" s="56" t="n">
        <x:v>1</x:v>
      </x:c>
      <x:c r="M89" s="56" t="str">
        <x:v>Remediation required</x:v>
      </x:c>
      <x:c r="N89" s="56" t="str">
        <x:v>Quarantine or controlled use until new version + retest</x:v>
      </x:c>
      <x:c r="O89" s="56" t="str">
        <x:v>Owner approval, evidence location, approved version, test result</x:v>
      </x:c>
    </x:row>
    <x:row r="90">
      <x:c r="A90" s="56" t="str">
        <x:v>FILE-082</x:v>
      </x:c>
      <x:c r="B90" s="56" t="str">
        <x:v>VER-053-001</x:v>
      </x:c>
      <x:c r="C90" s="56" t="str">
        <x:v>Себестоимость Меркушина.xlsx</x:v>
      </x:c>
      <x:c r="D90" s="56" t="str">
        <x:v>Себестоимость и производство</x:v>
      </x:c>
      <x:c r="E90" s="56" t="n">
        <x:v>100</x:v>
      </x:c>
      <x:c r="F90" s="56" t="n">
        <x:v>100</x:v>
      </x:c>
      <x:c r="G90" s="56" t="n">
        <x:v>49</x:v>
      </x:c>
      <x:c r="H90" s="56" t="n">
        <x:v>51</x:v>
      </x:c>
      <x:c r="I90" s="56" t="n">
        <x:v>15</x:v>
      </x:c>
      <x:c r="J90" s="56" t="n">
        <x:v>0</x:v>
      </x:c>
      <x:c r="K90" s="56" t="n">
        <x:v>0</x:v>
      </x:c>
      <x:c r="L90" s="56" t="n">
        <x:v>1</x:v>
      </x:c>
      <x:c r="M90" s="56" t="str">
        <x:v>Remediation required</x:v>
      </x:c>
      <x:c r="N90" s="56" t="str">
        <x:v>Quarantine or controlled use until new version + retest</x:v>
      </x:c>
      <x:c r="O90" s="56" t="str">
        <x:v>Owner approval, evidence location, approved version, test result</x:v>
      </x:c>
    </x:row>
    <x:row r="91">
      <x:c r="A91" s="56" t="str">
        <x:v>FILE-085</x:v>
      </x:c>
      <x:c r="B91" s="56" t="str">
        <x:v>VER-054-001</x:v>
      </x:c>
      <x:c r="C91" s="56" t="str">
        <x:v>Список контрагентов по закупке.xlsx</x:v>
      </x:c>
      <x:c r="D91" s="56" t="str">
        <x:v>Закупки и запасы</x:v>
      </x:c>
      <x:c r="E91" s="56" t="n">
        <x:v>3</x:v>
      </x:c>
      <x:c r="F91" s="56" t="n">
        <x:v>3</x:v>
      </x:c>
      <x:c r="G91" s="56" t="n">
        <x:v>0</x:v>
      </x:c>
      <x:c r="H91" s="56" t="n">
        <x:v>3</x:v>
      </x:c>
      <x:c r="I91" s="56" t="n">
        <x:v>0</x:v>
      </x:c>
      <x:c r="J91" s="56" t="n">
        <x:v>0</x:v>
      </x:c>
      <x:c r="K91" s="56" t="n">
        <x:v>0</x:v>
      </x:c>
      <x:c r="L91" s="56" t="n">
        <x:v>1</x:v>
      </x:c>
      <x:c r="M91" s="56" t="str">
        <x:v>Clean in current scan</x:v>
      </x:c>
      <x:c r="N91" s="56" t="str">
        <x:v>Allowed only under stated grain/controls</x:v>
      </x:c>
      <x:c r="O91" s="56" t="str">
        <x:v>Owner sign-off and periodic test</x:v>
      </x:c>
    </x:row>
    <x:row r="92">
      <x:c r="A92" s="56" t="str">
        <x:v>FILE-086</x:v>
      </x:c>
      <x:c r="B92" s="56" t="str">
        <x:v>VER-055-001</x:v>
      </x:c>
      <x:c r="C92" s="56" t="str">
        <x:v>Список представленной отчетности за 2024.pdf</x:v>
      </x:c>
      <x:c r="D92" s="56" t="str">
        <x:v>Налоги и обязательная отчётность</x:v>
      </x:c>
      <x:c r="E92" s="56" t="n">
        <x:v>0</x:v>
      </x:c>
      <x:c r="F92" s="56" t="n">
        <x:v>0</x:v>
      </x:c>
      <x:c r="G92" s="56" t="n">
        <x:v>0</x:v>
      </x:c>
      <x:c r="H92" s="56" t="n">
        <x:v>0</x:v>
      </x:c>
      <x:c r="I92" s="56" t="n">
        <x:v>0</x:v>
      </x:c>
      <x:c r="J92" s="56" t="n">
        <x:v>0</x:v>
      </x:c>
      <x:c r="K92" s="56" t="n">
        <x:v>0</x:v>
      </x:c>
      <x:c r="L92" s="56" t="n">
        <x:v>0</x:v>
      </x:c>
      <x:c r="M92" s="56" t="str">
        <x:v>Clean in current scan</x:v>
      </x:c>
      <x:c r="N92" s="56" t="str">
        <x:v>Allowed only under stated grain/controls</x:v>
      </x:c>
      <x:c r="O92" s="56" t="str">
        <x:v>Owner sign-off and periodic test</x:v>
      </x:c>
    </x:row>
    <x:row r="93">
      <x:c r="A93" s="56" t="str">
        <x:v>FILE-087</x:v>
      </x:c>
      <x:c r="B93" s="56" t="str">
        <x:v>VER-055-002</x:v>
      </x:c>
      <x:c r="C93" s="56" t="str">
        <x:v>Список представленной отчетности за 2025.pdf</x:v>
      </x:c>
      <x:c r="D93" s="56" t="str">
        <x:v>Налоги и обязательная отчётность</x:v>
      </x:c>
      <x:c r="E93" s="56" t="n">
        <x:v>0</x:v>
      </x:c>
      <x:c r="F93" s="56" t="n">
        <x:v>0</x:v>
      </x:c>
      <x:c r="G93" s="56" t="n">
        <x:v>0</x:v>
      </x:c>
      <x:c r="H93" s="56" t="n">
        <x:v>0</x:v>
      </x:c>
      <x:c r="I93" s="56" t="n">
        <x:v>0</x:v>
      </x:c>
      <x:c r="J93" s="56" t="n">
        <x:v>0</x:v>
      </x:c>
      <x:c r="K93" s="56" t="n">
        <x:v>0</x:v>
      </x:c>
      <x:c r="L93" s="56" t="n">
        <x:v>0</x:v>
      </x:c>
      <x:c r="M93" s="56" t="str">
        <x:v>Clean in current scan</x:v>
      </x:c>
      <x:c r="N93" s="56" t="str">
        <x:v>Allowed only under stated grain/controls</x:v>
      </x:c>
      <x:c r="O93" s="56" t="str">
        <x:v>Owner sign-off and periodic test</x:v>
      </x:c>
    </x:row>
    <x:row r="94">
      <x:c r="A94" s="56" t="str">
        <x:v>FILE-088</x:v>
      </x:c>
      <x:c r="B94" s="56" t="str">
        <x:v>VER-055-003</x:v>
      </x:c>
      <x:c r="C94" s="56" t="str">
        <x:v>Список представленной отчетности за 2026.pdf</x:v>
      </x:c>
      <x:c r="D94" s="56" t="str">
        <x:v>Налоги и обязательная отчётность</x:v>
      </x:c>
      <x:c r="E94" s="56" t="n">
        <x:v>0</x:v>
      </x:c>
      <x:c r="F94" s="56" t="n">
        <x:v>0</x:v>
      </x:c>
      <x:c r="G94" s="56" t="n">
        <x:v>0</x:v>
      </x:c>
      <x:c r="H94" s="56" t="n">
        <x:v>0</x:v>
      </x:c>
      <x:c r="I94" s="56" t="n">
        <x:v>0</x:v>
      </x:c>
      <x:c r="J94" s="56" t="n">
        <x:v>0</x:v>
      </x:c>
      <x:c r="K94" s="56" t="n">
        <x:v>0</x:v>
      </x:c>
      <x:c r="L94" s="56" t="n">
        <x:v>0</x:v>
      </x:c>
      <x:c r="M94" s="56" t="str">
        <x:v>Clean in current scan</x:v>
      </x:c>
      <x:c r="N94" s="56" t="str">
        <x:v>Allowed only under stated grain/controls</x:v>
      </x:c>
      <x:c r="O94" s="56" t="str">
        <x:v>Owner sign-off and periodic test</x:v>
      </x:c>
    </x:row>
    <x:row r="95">
      <x:c r="A95" s="56" t="str">
        <x:v>FILE-089</x:v>
      </x:c>
      <x:c r="B95" s="56" t="str">
        <x:v>VER-056-001</x:v>
      </x:c>
      <x:c r="C95" s="56" t="str">
        <x:v>Справка о расчетах по взносам на несч.сл на 25.06.2026.pdf</x:v>
      </x:c>
      <x:c r="D95" s="56" t="str">
        <x:v>Налоги и обязательная отчётность</x:v>
      </x:c>
      <x:c r="E95" s="56" t="n">
        <x:v>0</x:v>
      </x:c>
      <x:c r="F95" s="56" t="n">
        <x:v>0</x:v>
      </x:c>
      <x:c r="G95" s="56" t="n">
        <x:v>0</x:v>
      </x:c>
      <x:c r="H95" s="56" t="n">
        <x:v>0</x:v>
      </x:c>
      <x:c r="I95" s="56" t="n">
        <x:v>0</x:v>
      </x:c>
      <x:c r="J95" s="56" t="n">
        <x:v>0</x:v>
      </x:c>
      <x:c r="K95" s="56" t="n">
        <x:v>0</x:v>
      </x:c>
      <x:c r="L95" s="56" t="n">
        <x:v>1</x:v>
      </x:c>
      <x:c r="M95" s="56" t="str">
        <x:v>Clean in current scan</x:v>
      </x:c>
      <x:c r="N95" s="56" t="str">
        <x:v>Allowed only under stated grain/controls</x:v>
      </x:c>
      <x:c r="O95" s="56" t="str">
        <x:v>Owner sign-off and periodic test</x:v>
      </x:c>
    </x:row>
    <x:row r="96">
      <x:c r="A96" s="56" t="str">
        <x:v>FILE-090</x:v>
      </x:c>
      <x:c r="B96" s="56" t="str">
        <x:v>VER-057-001</x:v>
      </x:c>
      <x:c r="C96" s="56" t="str">
        <x:v>Справка об исполнении обязанности по налогам.pdf</x:v>
      </x:c>
      <x:c r="D96" s="56" t="str">
        <x:v>Налоги и обязательная отчётность</x:v>
      </x:c>
      <x:c r="E96" s="56" t="n">
        <x:v>0</x:v>
      </x:c>
      <x:c r="F96" s="56" t="n">
        <x:v>0</x:v>
      </x:c>
      <x:c r="G96" s="56" t="n">
        <x:v>0</x:v>
      </x:c>
      <x:c r="H96" s="56" t="n">
        <x:v>0</x:v>
      </x:c>
      <x:c r="I96" s="56" t="n">
        <x:v>0</x:v>
      </x:c>
      <x:c r="J96" s="56" t="n">
        <x:v>0</x:v>
      </x:c>
      <x:c r="K96" s="56" t="n">
        <x:v>0</x:v>
      </x:c>
      <x:c r="L96" s="56" t="n">
        <x:v>1</x:v>
      </x:c>
      <x:c r="M96" s="56" t="str">
        <x:v>Clean in current scan</x:v>
      </x:c>
      <x:c r="N96" s="56" t="str">
        <x:v>Allowed only under stated grain/controls</x:v>
      </x:c>
      <x:c r="O96" s="56" t="str">
        <x:v>Owner sign-off and periodic test</x:v>
      </x:c>
    </x:row>
    <x:row r="97">
      <x:c r="A97" s="56" t="str">
        <x:v>FILE-093</x:v>
      </x:c>
      <x:c r="B97" s="56" t="str">
        <x:v>VER-058-001</x:v>
      </x:c>
      <x:c r="C97" s="56" t="str">
        <x:v>Штатка ИП.xlsx</x:v>
      </x:c>
      <x:c r="D97" s="56" t="str">
        <x:v>Персонал и оплата труда</x:v>
      </x:c>
      <x:c r="E97" s="56" t="n">
        <x:v>2</x:v>
      </x:c>
      <x:c r="F97" s="56" t="n">
        <x:v>2</x:v>
      </x:c>
      <x:c r="G97" s="56" t="n">
        <x:v>1</x:v>
      </x:c>
      <x:c r="H97" s="56" t="n">
        <x:v>1</x:v>
      </x:c>
      <x:c r="I97" s="56" t="n">
        <x:v>0</x:v>
      </x:c>
      <x:c r="J97" s="56" t="n">
        <x:v>0</x:v>
      </x:c>
      <x:c r="K97" s="56" t="n">
        <x:v>0</x:v>
      </x:c>
      <x:c r="L97" s="56" t="n">
        <x:v>0</x:v>
      </x:c>
      <x:c r="M97" s="56" t="str">
        <x:v>Clean in current scan</x:v>
      </x:c>
      <x:c r="N97" s="56" t="str">
        <x:v>Allowed only under stated grain/controls</x:v>
      </x:c>
      <x:c r="O97" s="56" t="str">
        <x:v>Owner sign-off and periodic test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6" hidden="0" customWidth="1"/>
    <x:col min="5" max="5" width="14" hidden="0" customWidth="1"/>
    <x:col min="6" max="6" width="16" hidden="0" customWidth="1"/>
    <x:col min="7" max="7" width="52" hidden="0" customWidth="1"/>
    <x:col min="8" max="8" width="18" hidden="0" customWidth="1"/>
  </x:cols>
  <x:sheetData>
    <x:row r="1" ht="30" customHeight="1">
      <x:c r="A1" s="5" t="str">
        <x:v>TARGET REGISTER COVERAGE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4" t="str">
        <x:v>Field concentration, key candidates, errors and unclassified fields.</x:v>
      </x:c>
      <x:c r="B2" s="14"/>
      <x:c r="C2" s="14"/>
      <x:c r="D2" s="14"/>
      <x:c r="E2" s="14"/>
      <x:c r="F2" s="14"/>
      <x:c r="G2" s="14"/>
      <x:c r="H2" s="14"/>
    </x:row>
    <x:row r="4" ht="32" customHeight="1">
      <x:c r="A4" s="49" t="str">
        <x:v>target_register</x:v>
      </x:c>
      <x:c r="B4" s="49" t="str">
        <x:v>fields</x:v>
      </x:c>
      <x:c r="C4" s="49" t="str">
        <x:v>files</x:v>
      </x:c>
      <x:c r="D4" s="49" t="str">
        <x:v>key_candidates</x:v>
      </x:c>
      <x:c r="E4" s="49" t="str">
        <x:v>error_cells</x:v>
      </x:c>
      <x:c r="F4" s="49" t="str">
        <x:v>unclassified_fields</x:v>
      </x:c>
      <x:c r="G4" s="49" t="str">
        <x:v>entities</x:v>
      </x:c>
      <x:c r="H4" s="49" t="str">
        <x:v>approval_status</x:v>
      </x:c>
    </x:row>
    <x:row r="5">
      <x:c r="A5" s="56" t="str">
        <x:v>data_quarantine</x:v>
      </x:c>
      <x:c r="B5" s="56" t="n">
        <x:v>2766</x:v>
      </x:c>
      <x:c r="C5" s="56" t="n">
        <x:v>59</x:v>
      </x:c>
      <x:c r="D5" s="56" t="n">
        <x:v>2766</x:v>
      </x:c>
      <x:c r="E5" s="56" t="n">
        <x:v>530</x:v>
      </x:c>
      <x:c r="F5" s="56" t="n">
        <x:v>1947</x:v>
      </x:c>
      <x:c r="G5" s="56" t="str">
        <x:v>SKU; Материал | SKU; Материал; ФОТ | Брак/переделка | Брак/переделка; Материал | Брак/переделка; Производственная операция | Бюджет | Бюджет; Калькуляция | Бюджет; Финансовая операция | ДДС | ДДС; Платёж | Документ | Документ; Юридическое лицо | Калькуляция | Калькуляция; Материал | Калькуляция; Финансовая операция | Клиент | Клиент; Сотрудник | Коллекция; Материал | Комментарий | Контрагент | Материал; Продажа | Материал; Статус | Материал; Финансовая операция | Не классифицировано | Операционная строка | Операционная строка; Производственная операция | Оргструктура | Остаток | Ответственный | Платёж | Платёж; Финансовая операция | Приёмка | Продажа | Продажа; Финансовая операция | Статус | ФОТ | ФОТ; Финансовая операция | Финансовая операция</x:v>
      </x:c>
      <x:c r="H5" s="56" t="str">
        <x:v>Draft</x:v>
      </x:c>
    </x:row>
    <x:row r="6">
      <x:c r="A6" s="56" t="str">
        <x:v>canonical_sku_master</x:v>
      </x:c>
      <x:c r="B6" s="56" t="n">
        <x:v>91</x:v>
      </x:c>
      <x:c r="C6" s="56" t="n">
        <x:v>42</x:v>
      </x:c>
      <x:c r="D6" s="56" t="n">
        <x:v>91</x:v>
      </x:c>
      <x:c r="E6" s="56" t="n">
        <x:v>0</x:v>
      </x:c>
      <x:c r="F6" s="56" t="n">
        <x:v>0</x:v>
      </x:c>
      <x:c r="G6" s="56" t="str">
        <x:v>SKU</x:v>
      </x:c>
      <x:c r="H6" s="56" t="str">
        <x:v>Draft</x:v>
      </x:c>
    </x:row>
    <x:row r="7">
      <x:c r="A7" s="56" t="str">
        <x:v>legal_entity_master</x:v>
      </x:c>
      <x:c r="B7" s="56" t="n">
        <x:v>87</x:v>
      </x:c>
      <x:c r="C7" s="56" t="n">
        <x:v>15</x:v>
      </x:c>
      <x:c r="D7" s="56" t="n">
        <x:v>87</x:v>
      </x:c>
      <x:c r="E7" s="56" t="n">
        <x:v>0</x:v>
      </x:c>
      <x:c r="F7" s="56" t="n">
        <x:v>0</x:v>
      </x:c>
      <x:c r="G7" s="56" t="str">
        <x:v>Юридическое лицо</x:v>
      </x:c>
      <x:c r="H7" s="56" t="str">
        <x:v>Draft</x:v>
      </x:c>
    </x:row>
    <x:row r="8">
      <x:c r="A8" s="56" t="str">
        <x:v>material_master</x:v>
      </x:c>
      <x:c r="B8" s="56" t="n">
        <x:v>74</x:v>
      </x:c>
      <x:c r="C8" s="56" t="n">
        <x:v>31</x:v>
      </x:c>
      <x:c r="D8" s="56" t="n">
        <x:v>74</x:v>
      </x:c>
      <x:c r="E8" s="56" t="n">
        <x:v>2</x:v>
      </x:c>
      <x:c r="F8" s="56" t="n">
        <x:v>0</x:v>
      </x:c>
      <x:c r="G8" s="56" t="str">
        <x:v>Материал</x:v>
      </x:c>
      <x:c r="H8" s="56" t="str">
        <x:v>Draft</x:v>
      </x:c>
    </x:row>
    <x:row r="9">
      <x:c r="A9" s="56" t="str">
        <x:v>employee_master</x:v>
      </x:c>
      <x:c r="B9" s="56" t="n">
        <x:v>27</x:v>
      </x:c>
      <x:c r="C9" s="56" t="n">
        <x:v>16</x:v>
      </x:c>
      <x:c r="D9" s="56" t="n">
        <x:v>27</x:v>
      </x:c>
      <x:c r="E9" s="56" t="n">
        <x:v>0</x:v>
      </x:c>
      <x:c r="F9" s="56" t="n">
        <x:v>0</x:v>
      </x:c>
      <x:c r="G9" s="56" t="str">
        <x:v>Сотрудник</x:v>
      </x:c>
      <x:c r="H9" s="56" t="str">
        <x:v>Draft</x:v>
      </x:c>
    </x:row>
    <x:row r="10">
      <x:c r="A10" s="56" t="str">
        <x:v>operation_ledger</x:v>
      </x:c>
      <x:c r="B10" s="56" t="n">
        <x:v>25</x:v>
      </x:c>
      <x:c r="C10" s="56" t="n">
        <x:v>22</x:v>
      </x:c>
      <x:c r="D10" s="56" t="n">
        <x:v>25</x:v>
      </x:c>
      <x:c r="E10" s="56" t="n">
        <x:v>0</x:v>
      </x:c>
      <x:c r="F10" s="56" t="n">
        <x:v>0</x:v>
      </x:c>
      <x:c r="G10" s="56" t="str">
        <x:v>Производственная операция</x:v>
      </x:c>
      <x:c r="H10" s="56" t="str">
        <x:v>Draft</x:v>
      </x:c>
    </x:row>
    <x:row r="11">
      <x:c r="A11" s="56" t="str">
        <x:v>collection_master</x:v>
      </x:c>
      <x:c r="B11" s="56" t="n">
        <x:v>16</x:v>
      </x:c>
      <x:c r="C11" s="56" t="n">
        <x:v>6</x:v>
      </x:c>
      <x:c r="D11" s="56" t="n">
        <x:v>16</x:v>
      </x:c>
      <x:c r="E11" s="56" t="n">
        <x:v>0</x:v>
      </x:c>
      <x:c r="F11" s="56" t="n">
        <x:v>0</x:v>
      </x:c>
      <x:c r="G11" s="56" t="str">
        <x:v>Коллекция</x:v>
      </x:c>
      <x:c r="H11" s="56" t="str">
        <x:v>Draft</x:v>
      </x:c>
    </x:row>
    <x:row r="12">
      <x:c r="A12" s="56" t="str">
        <x:v>production_order_ledger</x:v>
      </x:c>
      <x:c r="B12" s="56" t="n">
        <x:v>7</x:v>
      </x:c>
      <x:c r="C12" s="56" t="n">
        <x:v>2</x:v>
      </x:c>
      <x:c r="D12" s="56" t="n">
        <x:v>7</x:v>
      </x:c>
      <x:c r="E12" s="56" t="n">
        <x:v>0</x:v>
      </x:c>
      <x:c r="F12" s="56" t="n">
        <x:v>0</x:v>
      </x:c>
      <x:c r="G12" s="56" t="str">
        <x:v>Производственный заказ</x:v>
      </x:c>
      <x:c r="H12" s="56" t="str">
        <x:v>Draft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50" hidden="0" customWidth="1"/>
  </x:cols>
  <x:sheetData>
    <x:row r="1" ht="30" customHeight="1">
      <x:c r="A1" s="5" t="str">
        <x:v>LINK COVERAGE BY DOMAIN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4" t="str">
        <x:v>Confirmed/partial/missing, defective source impact and field-edge count.</x:v>
      </x:c>
      <x:c r="B2" s="14"/>
      <x:c r="C2" s="14"/>
      <x:c r="D2" s="14"/>
      <x:c r="E2" s="14"/>
      <x:c r="F2" s="14"/>
      <x:c r="G2" s="14"/>
      <x:c r="H2" s="14"/>
    </x:row>
    <x:row r="4" ht="32" customHeight="1">
      <x:c r="A4" s="49" t="str">
        <x:v>domain</x:v>
      </x:c>
      <x:c r="B4" s="49" t="str">
        <x:v>total</x:v>
      </x:c>
      <x:c r="C4" s="49" t="str">
        <x:v>confirmed</x:v>
      </x:c>
      <x:c r="D4" s="49" t="str">
        <x:v>partial</x:v>
      </x:c>
      <x:c r="E4" s="49" t="str">
        <x:v>missing</x:v>
      </x:c>
      <x:c r="F4" s="49" t="str">
        <x:v>touch_defective_sources</x:v>
      </x:c>
      <x:c r="G4" s="49" t="str">
        <x:v>field_lineage_edges</x:v>
      </x:c>
      <x:c r="H4" s="49" t="str">
        <x:v>production_rule</x:v>
      </x:c>
    </x:row>
    <x:row r="5">
      <x:c r="A5" s="56" t="str">
        <x:v>Налоги/ФОТ</x:v>
      </x:c>
      <x:c r="B5" s="56" t="n">
        <x:v>111</x:v>
      </x:c>
      <x:c r="C5" s="56" t="n">
        <x:v>13</x:v>
      </x:c>
      <x:c r="D5" s="56" t="n">
        <x:v>97</x:v>
      </x:c>
      <x:c r="E5" s="56" t="n">
        <x:v>1</x:v>
      </x:c>
      <x:c r="F5" s="56" t="n">
        <x:v>29</x:v>
      </x:c>
      <x:c r="G5" s="56" t="n">
        <x:v>366</x:v>
      </x:c>
      <x:c r="H5" s="56" t="str">
        <x:v>Only confirmed + clean + owner sign-off</x:v>
      </x:c>
    </x:row>
    <x:row r="6">
      <x:c r="A6" s="56" t="str">
        <x:v>Продукт/операции</x:v>
      </x:c>
      <x:c r="B6" s="56" t="n">
        <x:v>60</x:v>
      </x:c>
      <x:c r="C6" s="56" t="n">
        <x:v>32</x:v>
      </x:c>
      <x:c r="D6" s="56" t="n">
        <x:v>22</x:v>
      </x:c>
      <x:c r="E6" s="56" t="n">
        <x:v>6</x:v>
      </x:c>
      <x:c r="F6" s="56" t="n">
        <x:v>36</x:v>
      </x:c>
      <x:c r="G6" s="56" t="n">
        <x:v>191</x:v>
      </x:c>
      <x:c r="H6" s="56" t="str">
        <x:v>Only confirmed + clean + owner sign-off</x:v>
      </x:c>
    </x:row>
    <x:row r="7">
      <x:c r="A7" s="56" t="str">
        <x:v>Финансы/закрытие</x:v>
      </x:c>
      <x:c r="B7" s="56" t="n">
        <x:v>28</x:v>
      </x:c>
      <x:c r="C7" s="56" t="n">
        <x:v>5</x:v>
      </x:c>
      <x:c r="D7" s="56" t="n">
        <x:v>23</x:v>
      </x:c>
      <x:c r="E7" s="56" t="n">
        <x:v>0</x:v>
      </x:c>
      <x:c r="F7" s="56" t="n">
        <x:v>6</x:v>
      </x:c>
      <x:c r="G7" s="56" t="n">
        <x:v>87</x:v>
      </x:c>
      <x:c r="H7" s="56" t="str">
        <x:v>Only confirmed + clean + owner sign-off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26" hidden="0" customWidth="1"/>
    <x:col min="4" max="4" width="78" hidden="0" customWidth="1"/>
    <x:col min="5" max="5" width="70" hidden="0" customWidth="1"/>
  </x:cols>
  <x:sheetData>
    <x:row r="1" ht="30" customHeight="1">
      <x:c r="A1" s="5" t="str">
        <x:v>FORMULA DEFECT SUMMARY</x:v>
      </x:c>
      <x:c r="B1" s="5"/>
      <x:c r="C1" s="5"/>
      <x:c r="D1" s="5"/>
      <x:c r="E1" s="5"/>
    </x:row>
    <x:row r="2" ht="28" customHeight="1">
      <x:c r="A2" s="14" t="str">
        <x:v>Root/shared/propagated breakdown; full 557-cell register is attached as CSV.</x:v>
      </x:c>
      <x:c r="B2" s="14"/>
      <x:c r="C2" s="14"/>
      <x:c r="D2" s="14"/>
      <x:c r="E2" s="14"/>
    </x:row>
    <x:row r="4" ht="32" customHeight="1">
      <x:c r="A4" s="49" t="str">
        <x:v>file_name</x:v>
      </x:c>
      <x:c r="B4" s="49" t="str">
        <x:v>total_errors</x:v>
      </x:c>
      <x:c r="C4" s="49" t="str">
        <x:v>types</x:v>
      </x:c>
      <x:c r="D4" s="49" t="str">
        <x:v>classifications</x:v>
      </x:c>
      <x:c r="E4" s="49" t="str">
        <x:v>execution_rule</x:v>
      </x:c>
    </x:row>
    <x:row r="5">
      <x:c r="A5" s="56" t="str">
        <x:v>ЗП за февраль 2026.xlsx</x:v>
      </x:c>
      <x:c r="B5" s="56" t="n">
        <x:v>10</x:v>
      </x:c>
      <x:c r="C5" s="56" t="str">
        <x:v>#REF!:10</x:v>
      </x:c>
      <x:c r="D5" s="56" t="str">
        <x:v>Root structural reference error:10</x:v>
      </x:c>
      <x:c r="E5" s="56" t="str">
        <x:v>New version; root cause; totals + links retest</x:v>
      </x:c>
    </x:row>
    <x:row r="6">
      <x:c r="A6" s="56" t="str">
        <x:v>ЗП за январь 2026.xlsx</x:v>
      </x:c>
      <x:c r="B6" s="56" t="n">
        <x:v>4</x:v>
      </x:c>
      <x:c r="C6" s="56" t="str">
        <x:v>#REF!:4</x:v>
      </x:c>
      <x:c r="D6" s="56" t="str">
        <x:v>Root structural reference error:4</x:v>
      </x:c>
      <x:c r="E6" s="56" t="str">
        <x:v>New version; root cause; totals + links retest</x:v>
      </x:c>
    </x:row>
    <x:row r="7">
      <x:c r="A7" s="56" t="str">
        <x:v>Себестоимость Жукова.xlsx</x:v>
      </x:c>
      <x:c r="B7" s="56" t="n">
        <x:v>488</x:v>
      </x:c>
      <x:c r="C7" s="56" t="str">
        <x:v>#DIV/0!:488</x:v>
      </x:c>
      <x:c r="D7" s="56" t="str">
        <x:v>Root denominator error:122 | Propagated from upstream error:357 | Shared-formula error; inspect anchor:9</x:v>
      </x:c>
      <x:c r="E7" s="56" t="str">
        <x:v>New version; root cause; totals + links retest</x:v>
      </x:c>
    </x:row>
    <x:row r="8">
      <x:c r="A8" s="56" t="str">
        <x:v>Себестоимость Меркушина.xlsx</x:v>
      </x:c>
      <x:c r="B8" s="56" t="n">
        <x:v>15</x:v>
      </x:c>
      <x:c r="C8" s="56" t="str">
        <x:v>#DIV/0!:15</x:v>
      </x:c>
      <x:c r="D8" s="56" t="str">
        <x:v>Root denominator error:6 | Propagated from upstream error:9</x:v>
      </x:c>
      <x:c r="E8" s="56" t="str">
        <x:v>New version; root cause; totals + links retest</x:v>
      </x:c>
    </x:row>
    <x:row r="9">
      <x:c r="A9" s="56" t="str">
        <x:v>Факт анализ продаж B2B 2026.xlsx</x:v>
      </x:c>
      <x:c r="B9" s="56" t="n">
        <x:v>40</x:v>
      </x:c>
      <x:c r="C9" s="56" t="str">
        <x:v>#DIV/0!:40</x:v>
      </x:c>
      <x:c r="D9" s="56" t="str">
        <x:v>Root denominator error:40</x:v>
      </x:c>
      <x:c r="E9" s="56" t="str">
        <x:v>New version; root cause; totals + links retest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2" hidden="0" customWidth="1"/>
    <x:col min="5" max="5" width="24" hidden="0" customWidth="1"/>
    <x:col min="6" max="6" width="14" hidden="0" customWidth="1"/>
    <x:col min="7" max="7" width="58" hidden="0" customWidth="1"/>
    <x:col min="8" max="8" width="56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70" hidden="0" customWidth="1"/>
    <x:col min="14" max="14" width="60" hidden="0" customWidth="1"/>
    <x:col min="15" max="15" width="16" hidden="0" customWidth="1"/>
    <x:col min="16" max="16" width="48" hidden="0" customWidth="1"/>
    <x:col min="17" max="17" width="54" hidden="0" customWidth="1"/>
    <x:col min="18" max="18" width="46" hidden="0" customWidth="1"/>
    <x:col min="19" max="19" width="38" hidden="0" customWidth="1"/>
  </x:cols>
  <x:sheetData>
    <x:row r="1" ht="30" customHeight="1">
      <x:c r="A1" s="5" t="str">
        <x:v>SOURCE REMEDIATION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4" t="str">
        <x:v>All 15 source defects, impacted links, retest and closure evidence.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</x:row>
    <x:row r="4" ht="32" customHeight="1">
      <x:c r="A4" s="49" t="str">
        <x:v>defect_id</x:v>
      </x:c>
      <x:c r="B4" s="49" t="str">
        <x:v>source_file_id</x:v>
      </x:c>
      <x:c r="C4" s="49" t="str">
        <x:v>version_id</x:v>
      </x:c>
      <x:c r="D4" s="49" t="str">
        <x:v>file_name</x:v>
      </x:c>
      <x:c r="E4" s="49" t="str">
        <x:v>defect_type</x:v>
      </x:c>
      <x:c r="F4" s="49" t="str">
        <x:v>risk</x:v>
      </x:c>
      <x:c r="G4" s="49" t="str">
        <x:v>evidence</x:v>
      </x:c>
      <x:c r="H4" s="49" t="str">
        <x:v>required_action</x:v>
      </x:c>
      <x:c r="I4" s="49" t="str">
        <x:v>owner_role</x:v>
      </x:c>
      <x:c r="J4" s="49" t="str">
        <x:v>status</x:v>
      </x:c>
      <x:c r="K4" s="49" t="str">
        <x:v>closure_evidence</x:v>
      </x:c>
      <x:c r="L4" s="49" t="str">
        <x:v>formula_error_cells</x:v>
      </x:c>
      <x:c r="M4" s="49" t="str">
        <x:v>external_dependency_records</x:v>
      </x:c>
      <x:c r="N4" s="49" t="str">
        <x:v>hidden_sheets</x:v>
      </x:c>
      <x:c r="O4" s="49" t="str">
        <x:v>detailed_patch_class</x:v>
      </x:c>
      <x:c r="P4" s="49" t="str">
        <x:v>links_impacted</x:v>
      </x:c>
      <x:c r="Q4" s="49" t="str">
        <x:v>impacted_link_count</x:v>
      </x:c>
      <x:c r="R4" s="49" t="str">
        <x:v>safe_execution_status</x:v>
      </x:c>
      <x:c r="S4" s="49" t="str">
        <x:v>retest_required</x:v>
      </x:c>
      <x:c r="T4" s="49" t="str">
        <x:v>closure_status</x:v>
      </x:c>
    </x:row>
    <x:row r="5">
      <x:c r="A5" s="56" t="str">
        <x:v>DEF-001</x:v>
      </x:c>
      <x:c r="B5" s="56" t="str">
        <x:v>FILE-004</x:v>
      </x:c>
      <x:c r="C5" s="56" t="str">
        <x:v>VER-002-002</x:v>
      </x:c>
      <x:c r="D5" s="56" t="str">
        <x:v>6-НДФЛ (с 2021 года) за 2025 г. (Янина Ю. Ф. ИП)(1).pdf</x:v>
      </x:c>
      <x:c r="E5" s="56" t="str">
        <x:v>Точный дубль</x:v>
      </x:c>
      <x:c r="F5" s="56" t="str">
        <x:v>Средний</x:v>
      </x:c>
      <x:c r="G5" s="56" t="str">
        <x:v>Точный бинарный дубль: 6-НДФЛ (с 2021 года) за 2025 г. (Янина Ю. Ф. ИП).pdf</x:v>
      </x:c>
      <x:c r="H5" s="56" t="str">
        <x:v>Архивировать дубль; исключить из расчётного контура</x:v>
      </x:c>
      <x:c r="I5" s="56" t="str">
        <x:v>Бухгалтерия/налоги</x:v>
      </x:c>
      <x:c r="J5" s="56" t="str">
        <x:v>Открыто</x:v>
      </x:c>
      <x:c r="K5" s="56" t="str"/>
      <x:c r="L5" s="56" t="n">
        <x:v>0</x:v>
      </x:c>
      <x:c r="M5" s="56" t="n">
        <x:v>0</x:v>
      </x:c>
      <x:c r="N5" s="56" t="n">
        <x:v>0</x:v>
      </x:c>
      <x:c r="O5" s="56" t="str">
        <x:v>Owner review / structural remediation</x:v>
      </x:c>
      <x:c r="P5" s="56" t="str"/>
      <x:c r="Q5" s="56" t="n">
        <x:v>0</x:v>
      </x:c>
      <x:c r="R5" s="56" t="str">
        <x:v>Patch specification prepared; original source unchanged</x:v>
      </x:c>
      <x:c r="S5" s="56" t="str">
        <x:v>Formula/total checksum + affected links + owner acceptance</x:v>
      </x:c>
      <x:c r="T5" s="56" t="str">
        <x:v>Open — evidence and approved new version required</x:v>
      </x:c>
    </x:row>
    <x:row r="6">
      <x:c r="A6" s="56" t="str">
        <x:v>DEF-002</x:v>
      </x:c>
      <x:c r="B6" s="56" t="str">
        <x:v>FILE-005</x:v>
      </x:c>
      <x:c r="C6" s="56" t="str">
        <x:v>VER-002-003</x:v>
      </x:c>
      <x:c r="D6" s="56" t="str">
        <x:v>6-НДФЛ (с 2021 года) за 2025 г. (Янина Ю. Ф. ИП).pdf</x:v>
      </x:c>
      <x:c r="E6" s="56" t="str">
        <x:v>Точный дубль</x:v>
      </x:c>
      <x:c r="F6" s="56" t="str">
        <x:v>Средний</x:v>
      </x:c>
      <x:c r="G6" s="56" t="str">
        <x:v>Точный бинарный дубль: 6-НДФЛ (с 2021 года) за 2025 г. (Янина Ю. Ф. ИП)(1).pdf</x:v>
      </x:c>
      <x:c r="H6" s="56" t="str">
        <x:v>Архивировать после подтверждения; master duplicate = FILE-004</x:v>
      </x:c>
      <x:c r="I6" s="56" t="str">
        <x:v>Бухгалтерия/налоги</x:v>
      </x:c>
      <x:c r="J6" s="56" t="str">
        <x:v>Открыто</x:v>
      </x:c>
      <x:c r="K6" s="56" t="str"/>
      <x:c r="L6" s="56" t="n">
        <x:v>0</x:v>
      </x:c>
      <x:c r="M6" s="56" t="n">
        <x:v>0</x:v>
      </x:c>
      <x:c r="N6" s="56" t="n">
        <x:v>0</x:v>
      </x:c>
      <x:c r="O6" s="56" t="str">
        <x:v>Owner review / structural remediation</x:v>
      </x:c>
      <x:c r="P6" s="56" t="str">
        <x:v>LCFG-003 | LCFG-009 | LCFG-016 | LCFG-030 | LCFG-039 | LCFG-053 | LCFG-067 | LCFG-081</x:v>
      </x:c>
      <x:c r="Q6" s="56" t="n">
        <x:v>8</x:v>
      </x:c>
      <x:c r="R6" s="56" t="str">
        <x:v>Patch specification prepared; original source unchanged</x:v>
      </x:c>
      <x:c r="S6" s="56" t="str">
        <x:v>Formula/total checksum + affected links + owner acceptance</x:v>
      </x:c>
      <x:c r="T6" s="56" t="str">
        <x:v>Open — evidence and approved new version required</x:v>
      </x:c>
    </x:row>
    <x:row r="7">
      <x:c r="A7" s="56" t="str">
        <x:v>DEF-003</x:v>
      </x:c>
      <x:c r="B7" s="56" t="str">
        <x:v>FILE-017</x:v>
      </x:c>
      <x:c r="C7" s="56" t="str">
        <x:v>VER-007-001</x:v>
      </x:c>
      <x:c r="D7" s="56" t="str">
        <x:v>ДДС 2024.xlsx</x:v>
      </x:c>
      <x:c r="E7" s="56" t="str">
        <x:v>Внешние ссылки</x:v>
      </x:c>
      <x:c r="F7" s="56" t="str">
        <x:v>Средний</x:v>
      </x:c>
      <x:c r="G7" s="56" t="str">
        <x:v>Внешние ссылки на локальные пути: 2</x:v>
      </x:c>
      <x:c r="H7" s="56" t="str">
        <x:v>Заменить локальные ссылки на контролируемый источник/значения закрытого периода</x:v>
      </x:c>
      <x:c r="I7" s="56" t="str">
        <x:v>Финансы</x:v>
      </x:c>
      <x:c r="J7" s="56" t="str">
        <x:v>Открыто</x:v>
      </x:c>
      <x:c r="K7" s="56" t="str"/>
      <x:c r="L7" s="56" t="n">
        <x:v>0</x:v>
      </x:c>
      <x:c r="M7" s="56" t="n">
        <x:v>2</x:v>
      </x:c>
      <x:c r="N7" s="56" t="n">
        <x:v>0</x:v>
      </x:c>
      <x:c r="O7" s="56" t="str">
        <x:v>Owner review / structural remediation | external dependency records=3</x:v>
      </x:c>
      <x:c r="P7" s="56" t="str">
        <x:v>LCFG-102 | LCFG-108 | LCFG-172</x:v>
      </x:c>
      <x:c r="Q7" s="56" t="n">
        <x:v>3</x:v>
      </x:c>
      <x:c r="R7" s="56" t="str">
        <x:v>Patch specification prepared; original source unchanged</x:v>
      </x:c>
      <x:c r="S7" s="56" t="str">
        <x:v>Formula/total checksum + affected links + owner acceptance</x:v>
      </x:c>
      <x:c r="T7" s="56" t="str">
        <x:v>Open — evidence and approved new version required</x:v>
      </x:c>
    </x:row>
    <x:row r="8">
      <x:c r="A8" s="56" t="str">
        <x:v>DEF-004</x:v>
      </x:c>
      <x:c r="B8" s="56" t="str">
        <x:v>FILE-019</x:v>
      </x:c>
      <x:c r="C8" s="56" t="str">
        <x:v>VER-007-003</x:v>
      </x:c>
      <x:c r="D8" s="56" t="str">
        <x:v>ДДС 2026.xlxs.xlsx</x:v>
      </x:c>
      <x:c r="E8" s="56" t="str">
        <x:v>Внешние ссылки</x:v>
      </x:c>
      <x:c r="F8" s="56" t="str">
        <x:v>Средний</x:v>
      </x:c>
      <x:c r="G8" s="56" t="str">
        <x:v>Внешние ссылки на локальные пути: 2</x:v>
      </x:c>
      <x:c r="H8" s="56" t="str">
        <x:v>Заменить локальные ссылки на контролируемый источник/значения закрытого периода</x:v>
      </x:c>
      <x:c r="I8" s="56" t="str">
        <x:v>Финансы</x:v>
      </x:c>
      <x:c r="J8" s="56" t="str">
        <x:v>Открыто</x:v>
      </x:c>
      <x:c r="K8" s="56" t="str"/>
      <x:c r="L8" s="56" t="n">
        <x:v>0</x:v>
      </x:c>
      <x:c r="M8" s="56" t="n">
        <x:v>2</x:v>
      </x:c>
      <x:c r="N8" s="56" t="n">
        <x:v>0</x:v>
      </x:c>
      <x:c r="O8" s="56" t="str">
        <x:v>Owner review / structural remediation | external dependency records=2</x:v>
      </x:c>
      <x:c r="P8" s="56" t="str">
        <x:v>LCFG-022 | LCFG-045 | LCFG-059 | LCFG-073 | LCFG-087 | LCFG-104 | LCFG-110 | LCFG-174</x:v>
      </x:c>
      <x:c r="Q8" s="56" t="n">
        <x:v>8</x:v>
      </x:c>
      <x:c r="R8" s="56" t="str">
        <x:v>Patch specification prepared; original source unchanged</x:v>
      </x:c>
      <x:c r="S8" s="56" t="str">
        <x:v>Formula/total checksum + affected links + owner acceptance</x:v>
      </x:c>
      <x:c r="T8" s="56" t="str">
        <x:v>Open — evidence and approved new version required</x:v>
      </x:c>
    </x:row>
    <x:row r="9">
      <x:c r="A9" s="56" t="str">
        <x:v>DEF-005</x:v>
      </x:c>
      <x:c r="B9" s="56" t="str">
        <x:v>FILE-070</x:v>
      </x:c>
      <x:c r="C9" s="56" t="str">
        <x:v>VER-008-001</x:v>
      </x:c>
      <x:c r="D9" s="56" t="str">
        <x:v>результат кол-я 43 (янв 2024).xlsx</x:v>
      </x:c>
      <x:c r="E9" s="56" t="str">
        <x:v>Внешние ссылки</x:v>
      </x:c>
      <x:c r="F9" s="56" t="str">
        <x:v>Средний</x:v>
      </x:c>
      <x:c r="G9" s="56" t="str">
        <x:v>Внешние ссылки на локальные пути: 1 | Встроенных медиафайлов: 43</x:v>
      </x:c>
      <x:c r="H9" s="56" t="str">
        <x:v>Заменить локальные ссылки на контролируемый источник/значения закрытого периода</x:v>
      </x:c>
      <x:c r="I9" s="56" t="str">
        <x:v>Продуктовый блок</x:v>
      </x:c>
      <x:c r="J9" s="56" t="str">
        <x:v>Открыто</x:v>
      </x:c>
      <x:c r="K9" s="56" t="str"/>
      <x:c r="L9" s="56" t="n">
        <x:v>0</x:v>
      </x:c>
      <x:c r="M9" s="56" t="n">
        <x:v>1</x:v>
      </x:c>
      <x:c r="N9" s="56" t="n">
        <x:v>0</x:v>
      </x:c>
      <x:c r="O9" s="56" t="str">
        <x:v>Owner review / structural remediation | external dependency records=1</x:v>
      </x:c>
      <x:c r="P9" s="56" t="str">
        <x:v>LCFG-125</x:v>
      </x:c>
      <x:c r="Q9" s="56" t="n">
        <x:v>1</x:v>
      </x:c>
      <x:c r="R9" s="56" t="str">
        <x:v>Patch specification prepared; original source unchanged</x:v>
      </x:c>
      <x:c r="S9" s="56" t="str">
        <x:v>Formula/total checksum + affected links + owner acceptance</x:v>
      </x:c>
      <x:c r="T9" s="56" t="str">
        <x:v>Open — evidence and approved new version required</x:v>
      </x:c>
    </x:row>
    <x:row r="10">
      <x:c r="A10" s="56" t="str">
        <x:v>DEF-006</x:v>
      </x:c>
      <x:c r="B10" s="56" t="str">
        <x:v>FILE-071</x:v>
      </x:c>
      <x:c r="C10" s="56" t="str">
        <x:v>VER-009-001</x:v>
      </x:c>
      <x:c r="D10" s="56" t="str">
        <x:v>результат кол-я 44 (июнь 2024).xlsx</x:v>
      </x:c>
      <x:c r="E10" s="56" t="str">
        <x:v>Внешние ссылки</x:v>
      </x:c>
      <x:c r="F10" s="56" t="str">
        <x:v>Средний</x:v>
      </x:c>
      <x:c r="G10" s="56" t="str">
        <x:v>Внешние ссылки на локальные пути: 1 | Встроенных медиафайлов: 31</x:v>
      </x:c>
      <x:c r="H10" s="56" t="str">
        <x:v>Заменить локальные ссылки на контролируемый источник/значения закрытого периода</x:v>
      </x:c>
      <x:c r="I10" s="56" t="str">
        <x:v>Продуктовый блок</x:v>
      </x:c>
      <x:c r="J10" s="56" t="str">
        <x:v>Открыто</x:v>
      </x:c>
      <x:c r="K10" s="56" t="str"/>
      <x:c r="L10" s="56" t="n">
        <x:v>0</x:v>
      </x:c>
      <x:c r="M10" s="56" t="n">
        <x:v>1</x:v>
      </x:c>
      <x:c r="N10" s="56" t="n">
        <x:v>0</x:v>
      </x:c>
      <x:c r="O10" s="56" t="str">
        <x:v>Owner review / structural remediation | external dependency records=1</x:v>
      </x:c>
      <x:c r="P10" s="56" t="str">
        <x:v>LCFG-126</x:v>
      </x:c>
      <x:c r="Q10" s="56" t="n">
        <x:v>1</x:v>
      </x:c>
      <x:c r="R10" s="56" t="str">
        <x:v>Patch specification prepared; original source unchanged</x:v>
      </x:c>
      <x:c r="S10" s="56" t="str">
        <x:v>Formula/total checksum + affected links + owner acceptance</x:v>
      </x:c>
      <x:c r="T10" s="56" t="str">
        <x:v>Open — evidence and approved new version required</x:v>
      </x:c>
    </x:row>
    <x:row r="11">
      <x:c r="A11" s="56" t="str">
        <x:v>DEF-007</x:v>
      </x:c>
      <x:c r="B11" s="56" t="str">
        <x:v>FILE-072</x:v>
      </x:c>
      <x:c r="C11" s="56" t="str">
        <x:v>VER-010-001</x:v>
      </x:c>
      <x:c r="D11" s="56" t="str">
        <x:v>результат кол-я 45 (янв 2025).xlsx</x:v>
      </x:c>
      <x:c r="E11" s="56" t="str">
        <x:v>Внешние ссылки</x:v>
      </x:c>
      <x:c r="F11" s="56" t="str">
        <x:v>Средний</x:v>
      </x:c>
      <x:c r="G11" s="56" t="str">
        <x:v>Внешние ссылки на локальные пути: 1 | Встроенных медиафайлов: 33</x:v>
      </x:c>
      <x:c r="H11" s="56" t="str">
        <x:v>Заменить локальные ссылки на контролируемый источник/значения закрытого периода</x:v>
      </x:c>
      <x:c r="I11" s="56" t="str">
        <x:v>Продуктовый блок</x:v>
      </x:c>
      <x:c r="J11" s="56" t="str">
        <x:v>Открыто</x:v>
      </x:c>
      <x:c r="K11" s="56" t="str"/>
      <x:c r="L11" s="56" t="n">
        <x:v>0</x:v>
      </x:c>
      <x:c r="M11" s="56" t="n">
        <x:v>1</x:v>
      </x:c>
      <x:c r="N11" s="56" t="n">
        <x:v>0</x:v>
      </x:c>
      <x:c r="O11" s="56" t="str">
        <x:v>Owner review / structural remediation | external dependency records=1</x:v>
      </x:c>
      <x:c r="P11" s="56" t="str">
        <x:v>LCFG-127</x:v>
      </x:c>
      <x:c r="Q11" s="56" t="n">
        <x:v>1</x:v>
      </x:c>
      <x:c r="R11" s="56" t="str">
        <x:v>Patch specification prepared; original source unchanged</x:v>
      </x:c>
      <x:c r="S11" s="56" t="str">
        <x:v>Formula/total checksum + affected links + owner acceptance</x:v>
      </x:c>
      <x:c r="T11" s="56" t="str">
        <x:v>Open — evidence and approved new version required</x:v>
      </x:c>
    </x:row>
    <x:row r="12">
      <x:c r="A12" s="56" t="str">
        <x:v>DEF-008</x:v>
      </x:c>
      <x:c r="B12" s="56" t="str">
        <x:v>FILE-073</x:v>
      </x:c>
      <x:c r="C12" s="56" t="str">
        <x:v>VER-011-001</x:v>
      </x:c>
      <x:c r="D12" s="56" t="str">
        <x:v>результат кол-я 46 (июль 2025).xlsx</x:v>
      </x:c>
      <x:c r="E12" s="56" t="str">
        <x:v>Внешние ссылки</x:v>
      </x:c>
      <x:c r="F12" s="56" t="str">
        <x:v>Средний</x:v>
      </x:c>
      <x:c r="G12" s="56" t="str">
        <x:v>Внешние ссылки на локальные пути: 1 | Встроенных медиафайлов: 25</x:v>
      </x:c>
      <x:c r="H12" s="56" t="str">
        <x:v>Заменить локальные ссылки на контролируемый источник/значения закрытого периода</x:v>
      </x:c>
      <x:c r="I12" s="56" t="str">
        <x:v>Продуктовый блок</x:v>
      </x:c>
      <x:c r="J12" s="56" t="str">
        <x:v>Открыто</x:v>
      </x:c>
      <x:c r="K12" s="56" t="str"/>
      <x:c r="L12" s="56" t="n">
        <x:v>0</x:v>
      </x:c>
      <x:c r="M12" s="56" t="n">
        <x:v>1</x:v>
      </x:c>
      <x:c r="N12" s="56" t="n">
        <x:v>0</x:v>
      </x:c>
      <x:c r="O12" s="56" t="str">
        <x:v>Owner review / structural remediation | external dependency records=1</x:v>
      </x:c>
      <x:c r="P12" s="56" t="str">
        <x:v>LCFG-128</x:v>
      </x:c>
      <x:c r="Q12" s="56" t="n">
        <x:v>1</x:v>
      </x:c>
      <x:c r="R12" s="56" t="str">
        <x:v>Patch specification prepared; original source unchanged</x:v>
      </x:c>
      <x:c r="S12" s="56" t="str">
        <x:v>Formula/total checksum + affected links + owner acceptance</x:v>
      </x:c>
      <x:c r="T12" s="56" t="str">
        <x:v>Open — evidence and approved new version required</x:v>
      </x:c>
    </x:row>
    <x:row r="13">
      <x:c r="A13" s="56" t="str">
        <x:v>DEF-009</x:v>
      </x:c>
      <x:c r="B13" s="56" t="str">
        <x:v>FILE-074</x:v>
      </x:c>
      <x:c r="C13" s="56" t="str">
        <x:v>VER-012-001</x:v>
      </x:c>
      <x:c r="D13" s="56" t="str">
        <x:v>результат кол-я 47 (янв 2026).xlsx</x:v>
      </x:c>
      <x:c r="E13" s="56" t="str">
        <x:v>Внешние ссылки</x:v>
      </x:c>
      <x:c r="F13" s="56" t="str">
        <x:v>Средний</x:v>
      </x:c>
      <x:c r="G13" s="56" t="str">
        <x:v>Внешние ссылки на локальные пути: 1 | Встроенных медиафайлов: 32</x:v>
      </x:c>
      <x:c r="H13" s="56" t="str">
        <x:v>Заменить локальные ссылки на контролируемый источник/значения закрытого периода</x:v>
      </x:c>
      <x:c r="I13" s="56" t="str">
        <x:v>Продуктовый блок</x:v>
      </x:c>
      <x:c r="J13" s="56" t="str">
        <x:v>Открыто</x:v>
      </x:c>
      <x:c r="K13" s="56" t="str"/>
      <x:c r="L13" s="56" t="n">
        <x:v>0</x:v>
      </x:c>
      <x:c r="M13" s="56" t="n">
        <x:v>1</x:v>
      </x:c>
      <x:c r="N13" s="56" t="n">
        <x:v>0</x:v>
      </x:c>
      <x:c r="O13" s="56" t="str">
        <x:v>Owner review / structural remediation | external dependency records=1</x:v>
      </x:c>
      <x:c r="P13" s="56" t="str">
        <x:v>LCFG-129</x:v>
      </x:c>
      <x:c r="Q13" s="56" t="n">
        <x:v>1</x:v>
      </x:c>
      <x:c r="R13" s="56" t="str">
        <x:v>Patch specification prepared; original source unchanged</x:v>
      </x:c>
      <x:c r="S13" s="56" t="str">
        <x:v>Formula/total checksum + affected links + owner acceptance</x:v>
      </x:c>
      <x:c r="T13" s="56" t="str">
        <x:v>Open — evidence and approved new version required</x:v>
      </x:c>
    </x:row>
    <x:row r="14">
      <x:c r="A14" s="56" t="str">
        <x:v>DEF-010</x:v>
      </x:c>
      <x:c r="B14" s="56" t="str">
        <x:v>FILE-040</x:v>
      </x:c>
      <x:c r="C14" s="56" t="str">
        <x:v>VER-019-007</x:v>
      </x:c>
      <x:c r="D14" s="56" t="str">
        <x:v>ЗП за январь 2026.xlsx</x:v>
      </x:c>
      <x:c r="E14" s="56" t="str">
        <x:v>#REF!</x:v>
      </x:c>
      <x:c r="F14" s="56" t="str">
        <x:v>Критический</x:v>
      </x:c>
      <x:c r="G14" s="56" t="str">
        <x:v>4 × #REF!</x:v>
      </x:c>
      <x:c r="H14" s="56" t="str">
        <x:v>Исправить формулы/ошибки, повторно проверить checksum и контрольные итоги</x:v>
      </x:c>
      <x:c r="I14" s="56" t="str">
        <x:v>HR/финансы</x:v>
      </x:c>
      <x:c r="J14" s="56" t="str">
        <x:v>Открыто</x:v>
      </x:c>
      <x:c r="K14" s="56" t="str"/>
      <x:c r="L14" s="56" t="n">
        <x:v>4</x:v>
      </x:c>
      <x:c r="M14" s="56" t="n">
        <x:v>0</x:v>
      </x:c>
      <x:c r="N14" s="56" t="n">
        <x:v>0</x:v>
      </x:c>
      <x:c r="O14" s="56" t="str">
        <x:v>Formula patch pack prepared: #REF!=4</x:v>
      </x:c>
      <x:c r="P14" s="56" t="str">
        <x:v>LCFG-087 | LCFG-088 | LCFG-089 | LCFG-090 | LCFG-091 | LCFG-095 | LCFG-101 | LCFG-185</x:v>
      </x:c>
      <x:c r="Q14" s="56" t="n">
        <x:v>8</x:v>
      </x:c>
      <x:c r="R14" s="56" t="str">
        <x:v>Patch specification prepared; original source unchanged</x:v>
      </x:c>
      <x:c r="S14" s="56" t="str">
        <x:v>Formula/total checksum + affected links + owner acceptance</x:v>
      </x:c>
      <x:c r="T14" s="56" t="str">
        <x:v>Open — evidence and approved new version required</x:v>
      </x:c>
    </x:row>
    <x:row r="15">
      <x:c r="A15" s="56" t="str">
        <x:v>DEF-011</x:v>
      </x:c>
      <x:c r="B15" s="56" t="str">
        <x:v>FILE-038</x:v>
      </x:c>
      <x:c r="C15" s="56" t="str">
        <x:v>VER-019-008</x:v>
      </x:c>
      <x:c r="D15" s="56" t="str">
        <x:v>ЗП за февраль 2026.xlsx</x:v>
      </x:c>
      <x:c r="E15" s="56" t="str">
        <x:v>#REF!</x:v>
      </x:c>
      <x:c r="F15" s="56" t="str">
        <x:v>Критический</x:v>
      </x:c>
      <x:c r="G15" s="56" t="str">
        <x:v>10 × #REF!</x:v>
      </x:c>
      <x:c r="H15" s="56" t="str">
        <x:v>Исправить формулы/ошибки, повторно проверить checksum и контрольные итоги</x:v>
      </x:c>
      <x:c r="I15" s="56" t="str">
        <x:v>HR/финансы</x:v>
      </x:c>
      <x:c r="J15" s="56" t="str">
        <x:v>Открыто</x:v>
      </x:c>
      <x:c r="K15" s="56" t="str"/>
      <x:c r="L15" s="56" t="n">
        <x:v>10</x:v>
      </x:c>
      <x:c r="M15" s="56" t="n">
        <x:v>0</x:v>
      </x:c>
      <x:c r="N15" s="56" t="n">
        <x:v>0</x:v>
      </x:c>
      <x:c r="O15" s="56" t="str">
        <x:v>Formula patch pack prepared: #REF!=10</x:v>
      </x:c>
      <x:c r="P15" s="56" t="str">
        <x:v>LCFG-073 | LCFG-074 | LCFG-075 | LCFG-076 | LCFG-077 | LCFG-096 | LCFG-100 | LCFG-186</x:v>
      </x:c>
      <x:c r="Q15" s="56" t="n">
        <x:v>8</x:v>
      </x:c>
      <x:c r="R15" s="56" t="str">
        <x:v>Patch specification prepared; original source unchanged</x:v>
      </x:c>
      <x:c r="S15" s="56" t="str">
        <x:v>Formula/total checksum + affected links + owner acceptance</x:v>
      </x:c>
      <x:c r="T15" s="56" t="str">
        <x:v>Open — evidence and approved new version required</x:v>
      </x:c>
    </x:row>
    <x:row r="16">
      <x:c r="A16" s="56" t="str">
        <x:v>DEF-012</x:v>
      </x:c>
      <x:c r="B16" s="56" t="str">
        <x:v>FILE-007</x:v>
      </x:c>
      <x:c r="C16" s="56" t="str">
        <x:v>VER-022-001</x:v>
      </x:c>
      <x:c r="D16" s="56" t="str">
        <x:v>SALES 2024-2026.xlsx</x:v>
      </x:c>
      <x:c r="E16" s="56" t="str">
        <x:v>Скрытые листы</x:v>
      </x:c>
      <x:c r="F16" s="56" t="str">
        <x:v>Средний</x:v>
      </x:c>
      <x:c r="G16" s="56" t="str">
        <x:v>Скрытых листов: 1</x:v>
      </x:c>
      <x:c r="H16" s="56" t="str">
        <x:v>Проверить назначение скрытых листов и закрепить структуру</x:v>
      </x:c>
      <x:c r="I16" s="56" t="str">
        <x:v>Финансы</x:v>
      </x:c>
      <x:c r="J16" s="56" t="str">
        <x:v>Открыто</x:v>
      </x:c>
      <x:c r="K16" s="56" t="str"/>
      <x:c r="L16" s="56" t="n">
        <x:v>0</x:v>
      </x:c>
      <x:c r="M16" s="56" t="n">
        <x:v>0</x:v>
      </x:c>
      <x:c r="N16" s="56" t="n">
        <x:v>1</x:v>
      </x:c>
      <x:c r="O16" s="56" t="str">
        <x:v>Owner review / structural remediation | hidden sheets=1</x:v>
      </x:c>
      <x:c r="P16" s="56" t="str">
        <x:v>LCFG-143 | LCFG-144 | LCFG-145 | LCFG-146 | LCFG-147 | LCFG-148 | LCFG-149 | LCFG-150 | LCFG-151 | LCFG-152 | LCFG-153 | LCFG-154 | LCFG-155 | LCFG-156 | LCFG-157 | LCFG-158 | LCFG-159 | LCFG-160 | LCFG-161 | LCFG-162 | LCFG-163 | LCFG-164 | LCFG-165 | LCFG-166 | LCFG-167 | LCFG-168 | LCFG-169 | LCFG-170 | LCFG-171 | LCFG-195</x:v>
      </x:c>
      <x:c r="Q16" s="56" t="n">
        <x:v>30</x:v>
      </x:c>
      <x:c r="R16" s="56" t="str">
        <x:v>Patch specification prepared; original source unchanged</x:v>
      </x:c>
      <x:c r="S16" s="56" t="str">
        <x:v>Formula/total checksum + affected links + owner acceptance</x:v>
      </x:c>
      <x:c r="T16" s="56" t="str">
        <x:v>Open — evidence and approved new version required</x:v>
      </x:c>
    </x:row>
    <x:row r="17">
      <x:c r="A17" s="56" t="str">
        <x:v>DEF-013</x:v>
      </x:c>
      <x:c r="B17" s="56" t="str">
        <x:v>FILE-092</x:v>
      </x:c>
      <x:c r="C17" s="56" t="str">
        <x:v>VER-023-002</x:v>
      </x:c>
      <x:c r="D17" s="56" t="str">
        <x:v>Факт анализ продаж B2B 2026.xlsx</x:v>
      </x:c>
      <x:c r="E17" s="56" t="str">
        <x:v>#DIV/0!</x:v>
      </x:c>
      <x:c r="F17" s="56" t="str">
        <x:v>Средний</x:v>
      </x:c>
      <x:c r="G17" s="56" t="str">
        <x:v>40 × #DIV/0!</x:v>
      </x:c>
      <x:c r="H17" s="56" t="str">
        <x:v>Исправить формулы/ошибки, повторно проверить checksum и контрольные итоги</x:v>
      </x:c>
      <x:c r="I17" s="56" t="str">
        <x:v>Коммерция</x:v>
      </x:c>
      <x:c r="J17" s="56" t="str">
        <x:v>Открыто</x:v>
      </x:c>
      <x:c r="K17" s="56" t="str"/>
      <x:c r="L17" s="56" t="n">
        <x:v>40</x:v>
      </x:c>
      <x:c r="M17" s="56" t="n">
        <x:v>0</x:v>
      </x:c>
      <x:c r="N17" s="56" t="n">
        <x:v>0</x:v>
      </x:c>
      <x:c r="O17" s="56" t="str">
        <x:v>Formula patch pack prepared: #DIV/0!=40</x:v>
      </x:c>
      <x:c r="P17" s="56" t="str">
        <x:v>LCFG-194</x:v>
      </x:c>
      <x:c r="Q17" s="56" t="n">
        <x:v>1</x:v>
      </x:c>
      <x:c r="R17" s="56" t="str">
        <x:v>Patch specification prepared; original source unchanged</x:v>
      </x:c>
      <x:c r="S17" s="56" t="str">
        <x:v>Formula/total checksum + affected links + owner acceptance</x:v>
      </x:c>
      <x:c r="T17" s="56" t="str">
        <x:v>Open — evidence and approved new version required</x:v>
      </x:c>
    </x:row>
    <x:row r="18">
      <x:c r="A18" s="56" t="str">
        <x:v>DEF-014</x:v>
      </x:c>
      <x:c r="B18" s="56" t="str">
        <x:v>FILE-081</x:v>
      </x:c>
      <x:c r="C18" s="56" t="str">
        <x:v>VER-052-001</x:v>
      </x:c>
      <x:c r="D18" s="56" t="str">
        <x:v>Себестоимость Жукова.xlsx</x:v>
      </x:c>
      <x:c r="E18" s="56" t="str">
        <x:v>#DIV/0!</x:v>
      </x:c>
      <x:c r="F18" s="56" t="str">
        <x:v>Высокий</x:v>
      </x:c>
      <x:c r="G18" s="56" t="str">
        <x:v>488 × #DIV/0! | Встроенных медиафайлов: 5</x:v>
      </x:c>
      <x:c r="H18" s="56" t="str">
        <x:v>Исправить формулы/ошибки, повторно проверить checksum и контрольные итоги</x:v>
      </x:c>
      <x:c r="I18" s="56" t="str">
        <x:v>Производство/финансы</x:v>
      </x:c>
      <x:c r="J18" s="56" t="str">
        <x:v>Открыто</x:v>
      </x:c>
      <x:c r="K18" s="56" t="str"/>
      <x:c r="L18" s="56" t="n">
        <x:v>488</x:v>
      </x:c>
      <x:c r="M18" s="56" t="n">
        <x:v>0</x:v>
      </x:c>
      <x:c r="N18" s="56" t="n">
        <x:v>0</x:v>
      </x:c>
      <x:c r="O18" s="56" t="str">
        <x:v>Formula patch pack prepared: #DIV/0!=488</x:v>
      </x:c>
      <x:c r="P18" s="56" t="str">
        <x:v>LCFG-133</x:v>
      </x:c>
      <x:c r="Q18" s="56" t="n">
        <x:v>1</x:v>
      </x:c>
      <x:c r="R18" s="56" t="str">
        <x:v>Patch specification prepared; original source unchanged</x:v>
      </x:c>
      <x:c r="S18" s="56" t="str">
        <x:v>Formula/total checksum + affected links + owner acceptance</x:v>
      </x:c>
      <x:c r="T18" s="56" t="str">
        <x:v>Open — evidence and approved new version required</x:v>
      </x:c>
    </x:row>
    <x:row r="19">
      <x:c r="A19" s="56" t="str">
        <x:v>DEF-015</x:v>
      </x:c>
      <x:c r="B19" s="56" t="str">
        <x:v>FILE-082</x:v>
      </x:c>
      <x:c r="C19" s="56" t="str">
        <x:v>VER-053-001</x:v>
      </x:c>
      <x:c r="D19" s="56" t="str">
        <x:v>Себестоимость Меркушина.xlsx</x:v>
      </x:c>
      <x:c r="E19" s="56" t="str">
        <x:v>#DIV/0!</x:v>
      </x:c>
      <x:c r="F19" s="56" t="str">
        <x:v>Средний</x:v>
      </x:c>
      <x:c r="G19" s="56" t="str">
        <x:v>15 × #DIV/0!</x:v>
      </x:c>
      <x:c r="H19" s="56" t="str">
        <x:v>Исправить формулы/ошибки, повторно проверить checksum и контрольные итоги</x:v>
      </x:c>
      <x:c r="I19" s="56" t="str">
        <x:v>Производство/финансы</x:v>
      </x:c>
      <x:c r="J19" s="56" t="str">
        <x:v>Открыто</x:v>
      </x:c>
      <x:c r="K19" s="56" t="str"/>
      <x:c r="L19" s="56" t="n">
        <x:v>15</x:v>
      </x:c>
      <x:c r="M19" s="56" t="n">
        <x:v>0</x:v>
      </x:c>
      <x:c r="N19" s="56" t="n">
        <x:v>0</x:v>
      </x:c>
      <x:c r="O19" s="56" t="str">
        <x:v>Formula patch pack prepared: #DIV/0!=15</x:v>
      </x:c>
      <x:c r="P19" s="56" t="str">
        <x:v>LCFG-134</x:v>
      </x:c>
      <x:c r="Q19" s="56" t="n">
        <x:v>1</x:v>
      </x:c>
      <x:c r="R19" s="56" t="str">
        <x:v>Patch specification prepared; original source unchanged</x:v>
      </x:c>
      <x:c r="S19" s="56" t="str">
        <x:v>Formula/total checksum + affected links + owner acceptance</x:v>
      </x:c>
      <x:c r="T19" s="56" t="str">
        <x:v>Open — evidence and approved new version required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6" hidden="0" customWidth="1"/>
    <x:col min="4" max="4" width="36" hidden="0" customWidth="1"/>
    <x:col min="5" max="5" width="64" hidden="0" customWidth="1"/>
    <x:col min="6" max="6" width="56" hidden="0" customWidth="1"/>
    <x:col min="7" max="7" width="18" hidden="0" customWidth="1"/>
    <x:col min="8" max="8" width="26" hidden="0" customWidth="1"/>
    <x:col min="9" max="9" width="58" hidden="0" customWidth="1"/>
    <x:col min="10" max="10" width="18" hidden="0" customWidth="1"/>
    <x:col min="11" max="11" width="54" hidden="0" customWidth="1"/>
    <x:col min="12" max="12" width="62" hidden="0" customWidth="1"/>
    <x:col min="13" max="13" width="90" hidden="0" customWidth="1"/>
    <x:col min="14" max="14" width="70" hidden="0" customWidth="1"/>
    <x:col min="15" max="15" width="54" hidden="0" customWidth="1"/>
    <x:col min="16" max="16" width="72" hidden="0" customWidth="1"/>
  </x:cols>
  <x:sheetData>
    <x:row r="1" ht="30" customHeight="1">
      <x:c r="A1" s="5" t="str">
        <x:v>24 MISSING-DATA GAPS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4" t="str">
        <x:v>Candidate fields found vs truly absent, blocked analysis and closure rule.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2" customHeight="1">
      <x:c r="A4" s="49" t="str">
        <x:v>gap_id</x:v>
      </x:c>
      <x:c r="B4" s="49" t="str">
        <x:v>priority</x:v>
      </x:c>
      <x:c r="C4" s="49" t="str">
        <x:v>missing</x:v>
      </x:c>
      <x:c r="D4" s="49" t="str">
        <x:v>where_should_be</x:v>
      </x:c>
      <x:c r="E4" s="49" t="str">
        <x:v>required_fields</x:v>
      </x:c>
      <x:c r="F4" s="49" t="str">
        <x:v>analysis_blocked</x:v>
      </x:c>
      <x:c r="G4" s="49" t="str">
        <x:v>uncertainty</x:v>
      </x:c>
      <x:c r="H4" s="49" t="str">
        <x:v>owner</x:v>
      </x:c>
      <x:c r="I4" s="49" t="str">
        <x:v>available_workaround</x:v>
      </x:c>
      <x:c r="J4" s="49" t="str">
        <x:v>status</x:v>
      </x:c>
      <x:c r="K4" s="49" t="str">
        <x:v>requested_file_or_export</x:v>
      </x:c>
      <x:c r="L4" s="49" t="str">
        <x:v>acceptance_criteria</x:v>
      </x:c>
      <x:c r="M4" s="49" t="str">
        <x:v>candidate_fields_found</x:v>
      </x:c>
      <x:c r="N4" s="49" t="str">
        <x:v>required_fields_not_found</x:v>
      </x:c>
      <x:c r="O4" s="49" t="str">
        <x:v>field_evidence_class</x:v>
      </x:c>
      <x:c r="P4" s="49" t="str">
        <x:v>closure_rule</x:v>
      </x:c>
    </x:row>
    <x:row r="5">
      <x:c r="A5" s="56" t="str">
        <x:v>IG-01</x:v>
      </x:c>
      <x:c r="B5" s="56" t="str">
        <x:v>Критический</x:v>
      </x:c>
      <x:c r="C5" s="56" t="str">
        <x:v>Официальный canonical SKU и alias history</x:v>
      </x:c>
      <x:c r="D5" s="56" t="str">
        <x:v>MDM/1С + продуктовый блок</x:v>
      </x:c>
      <x:c r="E5" s="56" t="str">
        <x:v>canonical_sku, model_id, version_id, alias, valid_from/to</x:v>
      </x:c>
      <x:c r="F5" s="56" t="str">
        <x:v>SKU/collection/order margin; production and inventory joins</x:v>
      </x:c>
      <x:c r="G5" s="56" t="str">
        <x:v>Критическая</x:v>
      </x:c>
      <x:c r="H5" s="56" t="str">
        <x:v>Продукт/коммерция</x:v>
      </x:c>
      <x:c r="I5" s="56" t="str">
        <x:v>124 mapping-кандидата только для ручного review</x:v>
      </x:c>
      <x:c r="J5" s="56" t="str">
        <x:v>Не закрыто</x:v>
      </x:c>
      <x:c r="K5" s="56" t="str">
        <x:v>Выгрузка/регистр: Официальный canonical SKU и alias history</x:v>
      </x:c>
      <x:c r="L5" s="56" t="str">
        <x:v>Полный период, первичные ID, контрольные итоги, владелец и дата формирования</x:v>
      </x:c>
      <x:c r="M5" s="56" t="str">
        <x:v>canonical_sku → Вышивка себестоимость 2024-2026.xlsx / Sheet1 / Наименование изделия | model_id → Вышивка себестоимость 2024-2026.xlsx / Круиз 26 / № | version_id → Вышивка себестоимость 2024-2026.xlsx / Круиз 26 / № | valid_from/to → Вышивка себестоимость 2024-2026.xlsx / Круиз 26 / №</x:v>
      </x:c>
      <x:c r="N5" s="56" t="str">
        <x:v>alias</x:v>
      </x:c>
      <x:c r="O5" s="56" t="str">
        <x:v>Есть отдельные поля, но нет контролируемого регистра</x:v>
      </x:c>
      <x:c r="P5" s="56" t="str">
        <x:v>Provide controlled register with primary IDs, full period, totals, owner and acceptance test; isolated fields do not close the gap</x:v>
      </x:c>
    </x:row>
    <x:row r="6">
      <x:c r="A6" s="56" t="str">
        <x:v>IG-02</x:v>
      </x:c>
      <x:c r="B6" s="56" t="str">
        <x:v>Критический</x:v>
      </x:c>
      <x:c r="C6" s="56" t="str">
        <x:v>Остатки и движение готовой продукции</x:v>
      </x:c>
      <x:c r="D6" s="56" t="str">
        <x:v>WMS/1С/склад</x:v>
      </x:c>
      <x:c r="E6" s="56" t="str">
        <x:v>inventory_movement_id, date, warehouse, SKU, qty, cost, document</x:v>
      </x:c>
      <x:c r="F6" s="56" t="str">
        <x:v>COGS, turnover, aging, obsolete stock, Balance</x:v>
      </x:c>
      <x:c r="G6" s="56" t="str">
        <x:v>Расчёт невозможен</x:v>
      </x:c>
      <x:c r="H6" s="56" t="str">
        <x:v>Склад + финансы</x:v>
      </x:c>
      <x:c r="I6" s="56" t="str">
        <x:v>Исторический список не заменяет текущий регистр</x:v>
      </x:c>
      <x:c r="J6" s="56" t="str">
        <x:v>Не закрыто</x:v>
      </x:c>
      <x:c r="K6" s="56" t="str">
        <x:v>Выгрузка/регистр: Остатки и движение готовой продукции</x:v>
      </x:c>
      <x:c r="L6" s="56" t="str">
        <x:v>Полный период, первичные ID, контрольные итоги, владелец и дата формирования</x:v>
      </x:c>
      <x:c r="M6" s="56" t="str">
        <x:v>inventory_movement_id → Вышивка себестоимость 2024-2026.xlsx / Круиз 26 / № | date → ЗП за апрель 2025.xlsx / отчет Олейник / Дата | warehouse → Вышивка себестоимость 2024-2026.xlsx / Круиз 26 / № | SKU → Вышивка себестоимость 2024-2026.xlsx / Sheet1 / Наименование изделия | qty → Вышивка себестоимость 2024-2026.xlsx / План сдач / ПРИЕМ ПЕРЕДЕЛКИ | cost → Вышивка себестоимость 2024-2026.xlsx / Круиз 26 / № | document → Выписка_40802810202620002686_01.01.2024–31.12.2024.xlsx / Выписка по счёту / Номер документа</x:v>
      </x:c>
      <x:c r="N6" s="56" t="str"/>
      <x:c r="O6" s="56" t="str">
        <x:v>Есть отдельные поля, но нет контролируемого регистра</x:v>
      </x:c>
      <x:c r="P6" s="56" t="str">
        <x:v>Provide controlled register with primary IDs, full period, totals, owner and acceptance test; isolated fields do not close the gap</x:v>
      </x:c>
    </x:row>
    <x:row r="7">
      <x:c r="A7" s="56" t="str">
        <x:v>IG-03</x:v>
      </x:c>
      <x:c r="B7" s="56" t="str">
        <x:v>Критический</x:v>
      </x:c>
      <x:c r="C7" s="56" t="str">
        <x:v>Production order register и WIP</x:v>
      </x:c>
      <x:c r="D7" s="56" t="str">
        <x:v>ERP/MES/производство</x:v>
      </x:c>
      <x:c r="E7" s="56" t="str">
        <x:v>production_order_id, SKU, qty, dates, status, WIP stage</x:v>
      </x:c>
      <x:c r="F7" s="56" t="str">
        <x:v>Lead time, WIP, productivity, order profitability</x:v>
      </x:c>
      <x:c r="G7" s="56" t="str">
        <x:v>Расчёт невозможен</x:v>
      </x:c>
      <x:c r="H7" s="56" t="str">
        <x:v>Производство</x:v>
      </x:c>
      <x:c r="I7" s="56" t="str">
        <x:v>163 draft rows позволяют только диагностику</x:v>
      </x:c>
      <x:c r="J7" s="56" t="str">
        <x:v>Не закрыто</x:v>
      </x:c>
      <x:c r="K7" s="56" t="str">
        <x:v>Выгрузка/регистр: Production order register и WIP</x:v>
      </x:c>
      <x:c r="L7" s="56" t="str">
        <x:v>Полный период, первичные ID, контрольные итоги, владелец и дата формирования</x:v>
      </x:c>
      <x:c r="M7" s="56" t="str">
        <x:v>production_order_id → Вышивка себестоимость 2024-2026.xlsx / Круиз 26 / № | SKU → Вышивка себестоимость 2024-2026.xlsx / Sheet1 / Наименование изделия | qty → Вышивка себестоимость 2024-2026.xlsx / План сдач / ПРИЕМ ПЕРЕДЕЛКИ | status → Себестоимость Жукова.xlsx / 2026 / Статус оплаты</x:v>
      </x:c>
      <x:c r="N7" s="56" t="str">
        <x:v>dates | WIP stage</x:v>
      </x:c>
      <x:c r="O7" s="56" t="str">
        <x:v>Есть отдельные поля, но нет контролируемого регистра</x:v>
      </x:c>
      <x:c r="P7" s="56" t="str">
        <x:v>Provide controlled register with primary IDs, full period, totals, owner and acceptance test; isolated fields do not close the gap</x:v>
      </x:c>
    </x:row>
    <x:row r="8">
      <x:c r="A8" s="56" t="str">
        <x:v>IG-04</x:v>
      </x:c>
      <x:c r="B8" s="56" t="str">
        <x:v>Критический</x:v>
      </x:c>
      <x:c r="C8" s="56" t="str">
        <x:v>Утверждённые версии фактической себестоимости</x:v>
      </x:c>
      <x:c r="D8" s="56" t="str">
        <x:v>ERP/Cost ledger</x:v>
      </x:c>
      <x:c r="E8" s="56" t="str">
        <x:v>cost_version_id, SKU, effective_date, PO, materials, labor, overhead</x:v>
      </x:c>
      <x:c r="F8" s="56" t="str">
        <x:v>SKU/collection/order margin, COGS</x:v>
      </x:c>
      <x:c r="G8" s="56" t="str">
        <x:v>Высокая</x:v>
      </x:c>
      <x:c r="H8" s="56" t="str">
        <x:v>Финансы + производство</x:v>
      </x:c>
      <x:c r="I8" s="56" t="str">
        <x:v>82 SKU однозначно; 21 multiple; 131 missing</x:v>
      </x:c>
      <x:c r="J8" s="56" t="str">
        <x:v>Не закрыто</x:v>
      </x:c>
      <x:c r="K8" s="56" t="str">
        <x:v>Выгрузка/регистр: Утверждённые версии фактической себестоимости</x:v>
      </x:c>
      <x:c r="L8" s="56" t="str">
        <x:v>Полный период, первичные ID, контрольные итоги, владелец и дата формирования</x:v>
      </x:c>
      <x:c r="M8" s="56" t="str">
        <x:v>cost_version_id → Вышивка себестоимость 2024-2026.xlsx / Круиз 26 / № | SKU → Вышивка себестоимость 2024-2026.xlsx / Sheet1 / Наименование изделия | PO → Вышивка себестоимость 2024-2026.xlsx / Круиз 26 / № | labor → Вышивка себестоимость 2024-2026.xlsx / Круиз 26 / № | overhead → Вышивка себестоимость 2024-2026.xlsx / Круиз 26 / №</x:v>
      </x:c>
      <x:c r="N8" s="56" t="str">
        <x:v>effective_date | materials</x:v>
      </x:c>
      <x:c r="O8" s="56" t="str">
        <x:v>Есть отдельные поля, но нет контролируемого регистра</x:v>
      </x:c>
      <x:c r="P8" s="56" t="str">
        <x:v>Provide controlled register with primary IDs, full period, totals, owner and acceptance test; isolated fields do not close the gap</x:v>
      </x:c>
    </x:row>
    <x:row r="9">
      <x:c r="A9" s="56" t="str">
        <x:v>IG-05</x:v>
      </x:c>
      <x:c r="B9" s="56" t="str">
        <x:v>Критический</x:v>
      </x:c>
      <x:c r="C9" s="56" t="str">
        <x:v>История движения материалов и партии</x:v>
      </x:c>
      <x:c r="D9" s="56" t="str">
        <x:v>WMS/1С</x:v>
      </x:c>
      <x:c r="E9" s="56" t="str">
        <x:v>material_movement_id, material_id, lot_id, date, qty, value, PO, production_order</x:v>
      </x:c>
      <x:c r="F9" s="56" t="str">
        <x:v>Material aging, variance, obsolete stock, working capital</x:v>
      </x:c>
      <x:c r="G9" s="56" t="str">
        <x:v>Расчёт невозможен</x:v>
      </x:c>
      <x:c r="H9" s="56" t="str">
        <x:v>Склад + закупки</x:v>
      </x:c>
      <x:c r="I9" s="56" t="str">
        <x:v>Срез на одну дату только показывает масштаб</x:v>
      </x:c>
      <x:c r="J9" s="56" t="str">
        <x:v>Не закрыто</x:v>
      </x:c>
      <x:c r="K9" s="56" t="str">
        <x:v>Выгрузка/регистр: История движения материалов и партии</x:v>
      </x:c>
      <x:c r="L9" s="56" t="str">
        <x:v>Полный период, первичные ID, контрольные итоги, владелец и дата формирования</x:v>
      </x:c>
      <x:c r="M9" s="56" t="str">
        <x:v>material_movement_id → Вышивка себестоимость 2024-2026.xlsx / Круиз 26 / № | material_id → Вышивка себестоимость 2024-2026.xlsx / Ткани / Ткань | lot_id → Вышивка себестоимость 2024-2026.xlsx / Круиз 26 / № | date → ЗП за апрель 2025.xlsx / отчет Олейник / Дата | qty → Вышивка себестоимость 2024-2026.xlsx / План сдач / ПРИЕМ ПЕРЕДЕЛКИ | PO → Вышивка себестоимость 2024-2026.xlsx / Круиз 26 / № | production_order → Вышивка себестоимость 2024-2026.xlsx / Круиз 26 / №</x:v>
      </x:c>
      <x:c r="N9" s="56" t="str">
        <x:v>value</x:v>
      </x:c>
      <x:c r="O9" s="56" t="str">
        <x:v>Есть отдельные поля, но нет контролируемого регистра</x:v>
      </x:c>
      <x:c r="P9" s="56" t="str">
        <x:v>Provide controlled register with primary IDs, full period, totals, owner and acceptance test; isolated fields do not close the gap</x:v>
      </x:c>
    </x:row>
    <x:row r="10">
      <x:c r="A10" s="56" t="str">
        <x:v>IG-06</x:v>
      </x:c>
      <x:c r="B10" s="56" t="str">
        <x:v>Критический</x:v>
      </x:c>
      <x:c r="C10" s="56" t="str">
        <x:v>Версионный BOM и нормы</x:v>
      </x:c>
      <x:c r="D10" s="56" t="str">
        <x:v>PLM/технолог</x:v>
      </x:c>
      <x:c r="E10" s="56" t="str">
        <x:v>bom_id, bom_line_id, version_id, SKU, material_id, norm, waste</x:v>
      </x:c>
      <x:c r="F10" s="56" t="str">
        <x:v>Material requirement, purchase plan, cost and variance</x:v>
      </x:c>
      <x:c r="G10" s="56" t="str">
        <x:v>Высокая</x:v>
      </x:c>
      <x:c r="H10" s="56" t="str">
        <x:v>Технолог + производство</x:v>
      </x:c>
      <x:c r="I10" s="56" t="str">
        <x:v>Калькуляции не образуют единый BOM</x:v>
      </x:c>
      <x:c r="J10" s="56" t="str">
        <x:v>Не закрыто</x:v>
      </x:c>
      <x:c r="K10" s="56" t="str">
        <x:v>Выгрузка/регистр: Версионный BOM и нормы</x:v>
      </x:c>
      <x:c r="L10" s="56" t="str">
        <x:v>Полный период, первичные ID, контрольные итоги, владелец и дата формирования</x:v>
      </x:c>
      <x:c r="M10" s="56" t="str">
        <x:v>bom_id → Вышивка себестоимость 2024-2026.xlsx / Круиз 26 / № | bom_line_id → Вышивка себестоимость 2024-2026.xlsx / Круиз 26 / № | version_id → Вышивка себестоимость 2024-2026.xlsx / Круиз 26 / № | SKU → Вышивка себестоимость 2024-2026.xlsx / Sheet1 / Наименование изделия | material_id → Вышивка себестоимость 2024-2026.xlsx / Ткани / Ткань | norm → Вышивка себестоимость 2024-2026.xlsx / Круиз 26 / №</x:v>
      </x:c>
      <x:c r="N10" s="56" t="str">
        <x:v>waste</x:v>
      </x:c>
      <x:c r="O10" s="56" t="str">
        <x:v>Есть отдельные поля, но нет контролируемого регистра</x:v>
      </x:c>
      <x:c r="P10" s="56" t="str">
        <x:v>Provide controlled register with primary IDs, full period, totals, owner and acceptance test; isolated fields do not close the gap</x:v>
      </x:c>
    </x:row>
    <x:row r="11">
      <x:c r="A11" s="56" t="str">
        <x:v>IG-07</x:v>
      </x:c>
      <x:c r="B11" s="56" t="str">
        <x:v>Высокий</x:v>
      </x:c>
      <x:c r="C11" s="56" t="str">
        <x:v>Детальные продажи всех каналов</x:v>
      </x:c>
      <x:c r="D11" s="56" t="str">
        <x:v>POS/CRM/CMS/1С</x:v>
      </x:c>
      <x:c r="E11" s="56" t="str">
        <x:v>sales_line_id, date, order_id, SKU, qty, price, discount, return, channel</x:v>
      </x:c>
      <x:c r="F11" s="56" t="str">
        <x:v>Channel/SKU margin, cohorts, seasonality, inventory issue</x:v>
      </x:c>
      <x:c r="G11" s="56" t="str">
        <x:v>Высокая</x:v>
      </x:c>
      <x:c r="H11" s="56" t="str">
        <x:v>Коммерция</x:v>
      </x:c>
      <x:c r="I11" s="56" t="str">
        <x:v>ЦУМ/B2B агрегаты и cash channels недостаточны</x:v>
      </x:c>
      <x:c r="J11" s="56" t="str">
        <x:v>Не закрыто</x:v>
      </x:c>
      <x:c r="K11" s="56" t="str">
        <x:v>Выгрузка/регистр: Детальные продажи всех каналов</x:v>
      </x:c>
      <x:c r="L11" s="56" t="str">
        <x:v>Полный период, первичные ID, контрольные итоги, владелец и дата формирования</x:v>
      </x:c>
      <x:c r="M11" s="56" t="str">
        <x:v>sales_line_id → SALES 2024-2026.xlsx / для Юлии (свод продаж) / СВОДНАЯ ТАБЛИЦА ПО ПРОДАЖАМ / Apr | date → ЗП за апрель 2025.xlsx / отчет Олейник / Дата | order_id → Вышивка себестоимость 2024-2026.xlsx / Круиз 26 / № | SKU → Вышивка себестоимость 2024-2026.xlsx / Sheet1 / Наименование изделия | qty → Вышивка себестоимость 2024-2026.xlsx / План сдач / ПРИЕМ ПЕРЕДЕЛКИ | price → МД — копия.xlsx / маг / цена | discount → МД — копия.xlsx / салон / скидка</x:v>
      </x:c>
      <x:c r="N11" s="56" t="str">
        <x:v>return | channel</x:v>
      </x:c>
      <x:c r="O11" s="56" t="str">
        <x:v>Есть отдельные поля, но нет контролируемого регистра</x:v>
      </x:c>
      <x:c r="P11" s="56" t="str">
        <x:v>Provide controlled register with primary IDs, full period, totals, owner and acceptance test; isolated fields do not close the gap</x:v>
      </x:c>
    </x:row>
    <x:row r="12">
      <x:c r="A12" s="56" t="str">
        <x:v>IG-08</x:v>
      </x:c>
      <x:c r="B12" s="56" t="str">
        <x:v>Высокий</x:v>
      </x:c>
      <x:c r="C12" s="56" t="str">
        <x:v>Полный procurement cycle</x:v>
      </x:c>
      <x:c r="D12" s="56" t="str">
        <x:v>ERP/закупки/DMS</x:v>
      </x:c>
      <x:c r="E12" s="56" t="str">
        <x:v>request_id, PO, supplier, material, qty, price, approval, GRN, invoice, payment</x:v>
      </x:c>
      <x:c r="F12" s="56" t="str">
        <x:v>Supplier performance, PPV, lead time, 3-way match</x:v>
      </x:c>
      <x:c r="G12" s="56" t="str">
        <x:v>Расчёт невозможен</x:v>
      </x:c>
      <x:c r="H12" s="56" t="str">
        <x:v>Закупки</x:v>
      </x:c>
      <x:c r="I12" s="56" t="str">
        <x:v>Есть supplier list и stock snapshot</x:v>
      </x:c>
      <x:c r="J12" s="56" t="str">
        <x:v>Не закрыто</x:v>
      </x:c>
      <x:c r="K12" s="56" t="str">
        <x:v>Выгрузка/регистр: Полный procurement cycle</x:v>
      </x:c>
      <x:c r="L12" s="56" t="str">
        <x:v>Полный период, первичные ID, контрольные итоги, владелец и дата формирования</x:v>
      </x:c>
      <x:c r="M12" s="56" t="str">
        <x:v>PO → Вышивка себестоимость 2024-2026.xlsx / Круиз 26 / № | material → Вышивка себестоимость 2024-2026.xlsx / Ткани / Ткань | qty → Вышивка себестоимость 2024-2026.xlsx / План сдач / ПРИЕМ ПЕРЕДЕЛКИ | price → МД — копия.xlsx / маг / цена | approval → Вышивка себестоимость 2024-2026.xlsx / Круиз 26 / № | invoice → Вышивка себестоимость 2024-2026.xlsx / Круиз 26 / № | payment → Выписка_40802810202620002686_01.01.2024–31.12.2024.xlsx / Выписка по счёту / Назначение платежа</x:v>
      </x:c>
      <x:c r="N12" s="56" t="str">
        <x:v>request_id | supplier | GRN</x:v>
      </x:c>
      <x:c r="O12" s="56" t="str">
        <x:v>Есть отдельные поля, но нет контролируемого регистра</x:v>
      </x:c>
      <x:c r="P12" s="56" t="str">
        <x:v>Provide controlled register with primary IDs, full period, totals, owner and acceptance test; isolated fields do not close the gap</x:v>
      </x:c>
    </x:row>
    <x:row r="13">
      <x:c r="A13" s="56" t="str">
        <x:v>IG-09</x:v>
      </x:c>
      <x:c r="B13" s="56" t="str">
        <x:v>Высокий</x:v>
      </x:c>
      <x:c r="C13" s="56" t="str">
        <x:v>Settlement и взаиморасчёты на уровне строк</x:v>
      </x:c>
      <x:c r="D13" s="56" t="str">
        <x:v>ERP/AR/коммерция</x:v>
      </x:c>
      <x:c r="E13" s="56" t="str">
        <x:v>settlement_id, invoice, sales_line, returns, commission, net_due, payment</x:v>
      </x:c>
      <x:c r="F13" s="56" t="str">
        <x:v>Sales-to-cash, AR aging, channel deductions</x:v>
      </x:c>
      <x:c r="G13" s="56" t="str">
        <x:v>Высокая</x:v>
      </x:c>
      <x:c r="H13" s="56" t="str">
        <x:v>Финансы + коммерция</x:v>
      </x:c>
      <x:c r="I13" s="56" t="str">
        <x:v>27/29 ЦУМ и 17/17 B2B подтверждены агрегатно</x:v>
      </x:c>
      <x:c r="J13" s="56" t="str">
        <x:v>Не закрыто</x:v>
      </x:c>
      <x:c r="K13" s="56" t="str">
        <x:v>Выгрузка/регистр: Settlement и взаиморасчёты на уровне строк</x:v>
      </x:c>
      <x:c r="L13" s="56" t="str">
        <x:v>Полный период, первичные ID, контрольные итоги, владелец и дата формирования</x:v>
      </x:c>
      <x:c r="M13" s="56" t="str">
        <x:v>settlement_id → Выписка_40802810202620002686_01.01.2024–31.12.2024.xlsx / Выписка по счёту / Дата предыдущей операции по счёту / Дата | invoice → Вышивка себестоимость 2024-2026.xlsx / Круиз 26 / № | commission → Вышивка себестоимость 2024-2026.xlsx / Круиз 26 / № | payment → Выписка_40802810202620002686_01.01.2024–31.12.2024.xlsx / Выписка по счёту / Назначение платежа</x:v>
      </x:c>
      <x:c r="N13" s="56" t="str">
        <x:v>sales_line | returns | net_due</x:v>
      </x:c>
      <x:c r="O13" s="56" t="str">
        <x:v>Есть отдельные поля, но нет контролируемого регистра</x:v>
      </x:c>
      <x:c r="P13" s="56" t="str">
        <x:v>Provide controlled register with primary IDs, full period, totals, owner and acceptance test; isolated fields do not close the gap</x:v>
      </x:c>
    </x:row>
    <x:row r="14">
      <x:c r="A14" s="56" t="str">
        <x:v>IG-10</x:v>
      </x:c>
      <x:c r="B14" s="56" t="str">
        <x:v>Высокий</x:v>
      </x:c>
      <x:c r="C14" s="56" t="str">
        <x:v>Операции, фактические часы, брак и переделка</x:v>
      </x:c>
      <x:c r="D14" s="56" t="str">
        <x:v>MES/production register</x:v>
      </x:c>
      <x:c r="E14" s="56" t="str">
        <x:v>operation_id, production_order_id, resource, start/end, hours, output, defect, rework</x:v>
      </x:c>
      <x:c r="F14" s="56" t="str">
        <x:v>Capacity, productivity, bottleneck, labor cost</x:v>
      </x:c>
      <x:c r="G14" s="56" t="str">
        <x:v>Высокая</x:v>
      </x:c>
      <x:c r="H14" s="56" t="str">
        <x:v>Производство</x:v>
      </x:c>
      <x:c r="I14" s="56" t="str">
        <x:v>475 текстовых задач</x:v>
      </x:c>
      <x:c r="J14" s="56" t="str">
        <x:v>Не закрыто</x:v>
      </x:c>
      <x:c r="K14" s="56" t="str">
        <x:v>Выгрузка/регистр: Операции, фактические часы, брак и переделка</x:v>
      </x:c>
      <x:c r="L14" s="56" t="str">
        <x:v>Полный период, первичные ID, контрольные итоги, владелец и дата формирования</x:v>
      </x:c>
      <x:c r="M14" s="56" t="str">
        <x:v>operation_id → Вышивка себестоимость 2024-2026.xlsx / Круиз 26 / № | production_order_id → Вышивка себестоимость 2024-2026.xlsx / Круиз 26 / № | resource → Вышивка себестоимость 2024-2026.xlsx / Круиз 26 / № | hours → Вышивка себестоимость 2024-2026.xlsx / Sheet1 / Время, ч. | output → Вышивка себестоимость 2024-2026.xlsx / Круиз 26 / № | defect → Вышивка себестоимость 2024-2026.xlsx / План сдач / ПРИЕМ ПЕРЕДЕЛКИ | rework → Вышивка себестоимость 2024-2026.xlsx / Круиз 26 / №</x:v>
      </x:c>
      <x:c r="N14" s="56" t="str">
        <x:v>start/end</x:v>
      </x:c>
      <x:c r="O14" s="56" t="str">
        <x:v>Есть отдельные поля, но нет контролируемого регистра</x:v>
      </x:c>
      <x:c r="P14" s="56" t="str">
        <x:v>Provide controlled register with primary IDs, full period, totals, owner and acceptance test; isolated fields do not close the gap</x:v>
      </x:c>
    </x:row>
    <x:row r="15">
      <x:c r="A15" s="56" t="str">
        <x:v>IG-11</x:v>
      </x:c>
      <x:c r="B15" s="56" t="str">
        <x:v>Критический</x:v>
      </x:c>
      <x:c r="C15" s="56" t="str">
        <x:v>Полный банковский периметр</x:v>
      </x:c>
      <x:c r="D15" s="56" t="str">
        <x:v>Банки/финансы</x:v>
      </x:c>
      <x:c r="E15" s="56" t="str">
        <x:v>bank_account_id, legal_entity_id, currency, statements, opening/closing</x:v>
      </x:c>
      <x:c r="F15" s="56" t="str">
        <x:v>Cash, liquidity, owner transfers, balance proof</x:v>
      </x:c>
      <x:c r="G15" s="56" t="str">
        <x:v>Высокая</x:v>
      </x:c>
      <x:c r="H15" s="56" t="str">
        <x:v>Финансы</x:v>
      </x:c>
      <x:c r="I15" s="56" t="str">
        <x:v>Салон, Райффайзен и валютный блок не подтверждены</x:v>
      </x:c>
      <x:c r="J15" s="56" t="str">
        <x:v>Не закрыто</x:v>
      </x:c>
      <x:c r="K15" s="56" t="str">
        <x:v>Выгрузка/регистр: Полный банковский периметр</x:v>
      </x:c>
      <x:c r="L15" s="56" t="str">
        <x:v>Полный период, первичные ID, контрольные итоги, владелец и дата формирования</x:v>
      </x:c>
      <x:c r="M15" s="56" t="str">
        <x:v>bank_account_id → Вышивка себестоимость 2024-2026.xlsx / Круиз 26 / № | legal_entity_id → ЗП за апрель 2025.xlsx / Отчет Салахова / для бонуса / ИП Михайлова | currency → SALES 2024-2026.xlsx / ДДС - доход / курс 95 / Jan | opening/closing → Вышивка себестоимость 2024-2026.xlsx / Круиз 26 / №</x:v>
      </x:c>
      <x:c r="N15" s="56" t="str">
        <x:v>statements</x:v>
      </x:c>
      <x:c r="O15" s="56" t="str">
        <x:v>Есть отдельные поля, но нет контролируемого регистра</x:v>
      </x:c>
      <x:c r="P15" s="56" t="str">
        <x:v>Provide controlled register with primary IDs, full period, totals, owner and acceptance test; isolated fields do not close the gap</x:v>
      </x:c>
    </x:row>
    <x:row r="16">
      <x:c r="A16" s="56" t="str">
        <x:v>IG-12</x:v>
      </x:c>
      <x:c r="B16" s="56" t="str">
        <x:v>Критический</x:v>
      </x:c>
      <x:c r="C16" s="56" t="str">
        <x:v>Касса, карты и подотчёт с движениями</x:v>
      </x:c>
      <x:c r="D16" s="56" t="str">
        <x:v>ERP/Cash ledger</x:v>
      </x:c>
      <x:c r="E16" s="56" t="str">
        <x:v>cash_transaction_id, account_id, date, document, owner, amount, category</x:v>
      </x:c>
      <x:c r="F16" s="56" t="str">
        <x:v>Cash roll-forward and fraud/error control</x:v>
      </x:c>
      <x:c r="G16" s="56" t="str">
        <x:v>Расчёт невозможен</x:v>
      </x:c>
      <x:c r="H16" s="56" t="str">
        <x:v>Финансы</x:v>
      </x:c>
      <x:c r="I16" s="56" t="str">
        <x:v>Ручные остатки не являются независимым подтверждением</x:v>
      </x:c>
      <x:c r="J16" s="56" t="str">
        <x:v>Не закрыто</x:v>
      </x:c>
      <x:c r="K16" s="56" t="str">
        <x:v>Выгрузка/регистр: Касса, карты и подотчёт с движениями</x:v>
      </x:c>
      <x:c r="L16" s="56" t="str">
        <x:v>Полный период, первичные ID, контрольные итоги, владелец и дата формирования</x:v>
      </x:c>
      <x:c r="M16" s="56" t="str">
        <x:v>cash_transaction_id → Вышивка себестоимость 2024-2026.xlsx / Круиз 26 / № | account_id → Вышивка себестоимость 2024-2026.xlsx / Круиз 26 / № | date → ЗП за апрель 2025.xlsx / отчет Олейник / Дата | document → Выписка_40802810202620002686_01.01.2024–31.12.2024.xlsx / Выписка по счёту / Номер документа | owner → Вышивка себестоимость 2024-2026.xlsx / Круиз 26 / № | amount → Выписка_40802810202620002686_01.01.2024–31.12.2024.xlsx / Выписка по счёту / 29.12.2023 / Дебет | category → ЗП за апрель 2025.xlsx / вышивальщицы / категория</x:v>
      </x:c>
      <x:c r="N16" s="56" t="str"/>
      <x:c r="O16" s="56" t="str">
        <x:v>Есть отдельные поля, но нет контролируемого регистра</x:v>
      </x:c>
      <x:c r="P16" s="56" t="str">
        <x:v>Provide controlled register with primary IDs, full period, totals, owner and acceptance test; isolated fields do not close the gap</x:v>
      </x:c>
    </x:row>
    <x:row r="17">
      <x:c r="A17" s="56" t="str">
        <x:v>IG-13</x:v>
      </x:c>
      <x:c r="B17" s="56" t="str">
        <x:v>Высокий</x:v>
      </x:c>
      <x:c r="C17" s="56" t="str">
        <x:v>Журнал корректировок и подтверждённые opening balances</x:v>
      </x:c>
      <x:c r="D17" s="56" t="str">
        <x:v>ERP/close register</x:v>
      </x:c>
      <x:c r="E17" s="56" t="str">
        <x:v>adjustment_id, period, account, amount, reason, document, approver</x:v>
      </x:c>
      <x:c r="F17" s="56" t="str">
        <x:v>Historical cash reconstruction and audit trail</x:v>
      </x:c>
      <x:c r="G17" s="56" t="str">
        <x:v>Высокая</x:v>
      </x:c>
      <x:c r="H17" s="56" t="str">
        <x:v>Финансы</x:v>
      </x:c>
      <x:c r="I17" s="56" t="str">
        <x:v>12 roll-forward разрывов; часть opening формульно восстановлена</x:v>
      </x:c>
      <x:c r="J17" s="56" t="str">
        <x:v>Не закрыто</x:v>
      </x:c>
      <x:c r="K17" s="56" t="str">
        <x:v>Выгрузка/регистр: Журнал корректировок и подтверждённые opening balances</x:v>
      </x:c>
      <x:c r="L17" s="56" t="str">
        <x:v>Полный период, первичные ID, контрольные итоги, владелец и дата формирования</x:v>
      </x:c>
      <x:c r="M17" s="56" t="str">
        <x:v>period → Вышивка себестоимость 2024-2026.xlsx / Круиз 26 / № | account → Вышивка себестоимость 2024-2026.xlsx / Круиз 26 / № | amount → Выписка_40802810202620002686_01.01.2024–31.12.2024.xlsx / Выписка по счёту / 29.12.2023 / Дебет | reason → Вышивка себестоимость 2024-2026.xlsx / Круиз 26 / № | document → Выписка_40802810202620002686_01.01.2024–31.12.2024.xlsx / Выписка по счёту / Номер документа | approver → Вышивка себестоимость 2024-2026.xlsx / Круиз 26 / №</x:v>
      </x:c>
      <x:c r="N17" s="56" t="str">
        <x:v>adjustment_id</x:v>
      </x:c>
      <x:c r="O17" s="56" t="str">
        <x:v>Есть отдельные поля, но нет контролируемого регистра</x:v>
      </x:c>
      <x:c r="P17" s="56" t="str">
        <x:v>Provide controlled register with primary IDs, full period, totals, owner and acceptance test; isolated fields do not close the gap</x:v>
      </x:c>
    </x:row>
    <x:row r="18">
      <x:c r="A18" s="56" t="str">
        <x:v>IG-14</x:v>
      </x:c>
      <x:c r="B18" s="56" t="str">
        <x:v>Критический</x:v>
      </x:c>
      <x:c r="C18" s="56" t="str">
        <x:v>Дебиторская и кредиторская задолженность</x:v>
      </x:c>
      <x:c r="D18" s="56" t="str">
        <x:v>ERP/GL</x:v>
      </x:c>
      <x:c r="E18" s="56" t="str">
        <x:v>ar_ap_item_id, counterparty, invoice, due_date, amount, payment, open_balance</x:v>
      </x:c>
      <x:c r="F18" s="56" t="str">
        <x:v>Balance, liquidity, CCC, overdue, net debt</x:v>
      </x:c>
      <x:c r="G18" s="56" t="str">
        <x:v>Расчёт невозможен</x:v>
      </x:c>
      <x:c r="H18" s="56" t="str">
        <x:v>Финансы</x:v>
      </x:c>
      <x:c r="I18" s="56" t="str">
        <x:v>Не предоставлено на контрольные даты</x:v>
      </x:c>
      <x:c r="J18" s="56" t="str">
        <x:v>Не закрыто</x:v>
      </x:c>
      <x:c r="K18" s="56" t="str">
        <x:v>Выгрузка/регистр: Дебиторская и кредиторская задолженность</x:v>
      </x:c>
      <x:c r="L18" s="56" t="str">
        <x:v>Полный период, первичные ID, контрольные итоги, владелец и дата формирования</x:v>
      </x:c>
      <x:c r="M18" s="56" t="str">
        <x:v>counterparty → Выписка_40802810202620002686_01.01.2024–31.12.2024.xlsx / Выписка по счёту / Контрагент | invoice → Вышивка себестоимость 2024-2026.xlsx / Круиз 26 / № | due_date → Вышивка себестоимость 2024-2026.xlsx / Планирование / СР | amount → Выписка_40802810202620002686_01.01.2024–31.12.2024.xlsx / Выписка по счёту / 29.12.2023 / Дебет | payment → Выписка_40802810202620002686_01.01.2024–31.12.2024.xlsx / Выписка по счёту / Назначение платежа | open_balance → Вышивка себестоимость 2024-2026.xlsx / Круиз 26 / №</x:v>
      </x:c>
      <x:c r="N18" s="56" t="str">
        <x:v>ar_ap_item_id</x:v>
      </x:c>
      <x:c r="O18" s="56" t="str">
        <x:v>Есть отдельные поля, но нет контролируемого регистра</x:v>
      </x:c>
      <x:c r="P18" s="56" t="str">
        <x:v>Provide controlled register with primary IDs, full period, totals, owner and acceptance test; isolated fields do not close the gap</x:v>
      </x:c>
    </x:row>
    <x:row r="19">
      <x:c r="A19" s="56" t="str">
        <x:v>IG-15</x:v>
      </x:c>
      <x:c r="B19" s="56" t="str">
        <x:v>Критический</x:v>
      </x:c>
      <x:c r="C19" s="56" t="str">
        <x:v>Управленческий P&amp;L и Balance с методикой close</x:v>
      </x:c>
      <x:c r="D19" s="56" t="str">
        <x:v>ERP/GL/EPM</x:v>
      </x:c>
      <x:c r="E19" s="56" t="str">
        <x:v>account, cost_center, period, accrual, inventory, AR/AP, close_status</x:v>
      </x:c>
      <x:c r="F19" s="56" t="str">
        <x:v>Profit, equity, full liquidity, ROIC</x:v>
      </x:c>
      <x:c r="G19" s="56" t="str">
        <x:v>Расчёт невозможен</x:v>
      </x:c>
      <x:c r="H19" s="56" t="str">
        <x:v>Финансы</x:v>
      </x:c>
      <x:c r="I19" s="56" t="str">
        <x:v>Cash result не является бухгалтерской/управленческой прибылью</x:v>
      </x:c>
      <x:c r="J19" s="56" t="str">
        <x:v>Не закрыто</x:v>
      </x:c>
      <x:c r="K19" s="56" t="str">
        <x:v>Выгрузка/регистр: Управленческий P&amp;L и Balance с методикой close</x:v>
      </x:c>
      <x:c r="L19" s="56" t="str">
        <x:v>Полный период, первичные ID, контрольные итоги, владелец и дата формирования</x:v>
      </x:c>
      <x:c r="M19" s="56" t="str">
        <x:v>account → Вышивка себестоимость 2024-2026.xlsx / Круиз 26 / № | cost_center → Вышивка себестоимость 2024-2026.xlsx / Круиз 26 / № | period → Вышивка себестоимость 2024-2026.xlsx / Круиз 26 / № | inventory → Вышивка себестоимость 2024-2026.xlsx / Круиз 26 / № | close_status → Вышивка себестоимость 2024-2026.xlsx / Круиз 26 / №</x:v>
      </x:c>
      <x:c r="N19" s="56" t="str">
        <x:v>accrual | AR/AP</x:v>
      </x:c>
      <x:c r="O19" s="56" t="str">
        <x:v>Есть отдельные поля, но нет контролируемого регистра</x:v>
      </x:c>
      <x:c r="P19" s="56" t="str">
        <x:v>Provide controlled register with primary IDs, full period, totals, owner and acceptance test; isolated fields do not close the gap</x:v>
      </x:c>
    </x:row>
    <x:row r="20">
      <x:c r="A20" s="56" t="str">
        <x:v>IG-16</x:v>
      </x:c>
      <x:c r="B20" s="56" t="str">
        <x:v>Критический</x:v>
      </x:c>
      <x:c r="C20" s="56" t="str">
        <x:v>Полный payroll accrual ledger</x:v>
      </x:c>
      <x:c r="D20" s="56" t="str">
        <x:v>HRIS/ЗУП</x:v>
      </x:c>
      <x:c r="E20" s="56" t="str">
        <x:v>employee_id, accrual_period, type, gross, deductions, tax base, registry_id</x:v>
      </x:c>
      <x:c r="F20" s="56" t="str">
        <x:v>Full labor cost, employee tax reconciliation, accrual/payment lag</x:v>
      </x:c>
      <x:c r="G20" s="56" t="str">
        <x:v>Высокая</x:v>
      </x:c>
      <x:c r="H20" s="56" t="str">
        <x:v>HR + финансы</x:v>
      </x:c>
      <x:c r="I20" s="56" t="str">
        <x:v>2024 отсутствует; 2025/2026 покрыты частично</x:v>
      </x:c>
      <x:c r="J20" s="56" t="str">
        <x:v>Не закрыто</x:v>
      </x:c>
      <x:c r="K20" s="56" t="str">
        <x:v>Выгрузка/регистр: Полный payroll accrual ledger</x:v>
      </x:c>
      <x:c r="L20" s="56" t="str">
        <x:v>Полный период, первичные ID, контрольные итоги, владелец и дата формирования</x:v>
      </x:c>
      <x:c r="M20" s="56" t="str">
        <x:v>employee_id → Вышивка себестоимость 2024-2026.xlsx / Круиз 26 / № | accrual_period → Вышивка себестоимость 2024-2026.xlsx / Круиз 26 / № | gross → Вышивка себестоимость 2024-2026.xlsx / Круиз 26 / № | deductions → Вышивка себестоимость 2024-2026.xlsx / Круиз 26 / №</x:v>
      </x:c>
      <x:c r="N20" s="56" t="str">
        <x:v>type | tax base | registry_id</x:v>
      </x:c>
      <x:c r="O20" s="56" t="str">
        <x:v>Есть отдельные поля, но нет контролируемого регистра</x:v>
      </x:c>
      <x:c r="P20" s="56" t="str">
        <x:v>Provide controlled register with primary IDs, full period, totals, owner and acceptance test; isolated fields do not close the gap</x:v>
      </x:c>
    </x:row>
    <x:row r="21">
      <x:c r="A21" s="56" t="str">
        <x:v>IG-17</x:v>
      </x:c>
      <x:c r="B21" s="56" t="str">
        <x:v>Критический</x:v>
      </x:c>
      <x:c r="C21" s="56" t="str">
        <x:v>Исторические операции ЕНС и распределение ЕНП</x:v>
      </x:c>
      <x:c r="D21" s="56" t="str">
        <x:v>ENS/ФНС</x:v>
      </x:c>
      <x:c r="E21" s="56" t="str">
        <x:v>obligation_id, allocation_id, tax_type, period, amount, payment_id, date</x:v>
      </x:c>
      <x:c r="F21" s="56" t="str">
        <x:v>Exact tax payment, arrears, overpayment, penalty</x:v>
      </x:c>
      <x:c r="G21" s="56" t="str">
        <x:v>Расчёт невозможен</x:v>
      </x:c>
      <x:c r="H21" s="56" t="str">
        <x:v>Налоги</x:v>
      </x:c>
      <x:c r="I21" s="56" t="str">
        <x:v>Банк подтверждает cash, но не allocation</x:v>
      </x:c>
      <x:c r="J21" s="56" t="str">
        <x:v>Не закрыто</x:v>
      </x:c>
      <x:c r="K21" s="56" t="str">
        <x:v>Выгрузка/регистр: Исторические операции ЕНС и распределение ЕНП</x:v>
      </x:c>
      <x:c r="L21" s="56" t="str">
        <x:v>Полный период, первичные ID, контрольные итоги, владелец и дата формирования</x:v>
      </x:c>
      <x:c r="M21" s="56" t="str">
        <x:v>obligation_id → Вышивка себестоимость 2024-2026.xlsx / Круиз 26 / № | allocation_id → Вышивка себестоимость 2024-2026.xlsx / Круиз 26 / № | period → Вышивка себестоимость 2024-2026.xlsx / Круиз 26 / № | amount → Выписка_40802810202620002686_01.01.2024–31.12.2024.xlsx / Выписка по счёту / 29.12.2023 / Дебет | payment_id → Выписка_40802810202620002686_01.01.2024–31.12.2024.xlsx / Выписка по счёту / Назначение платежа | date → ЗП за апрель 2025.xlsx / отчет Олейник / Дата</x:v>
      </x:c>
      <x:c r="N21" s="56" t="str">
        <x:v>tax_type</x:v>
      </x:c>
      <x:c r="O21" s="56" t="str">
        <x:v>Есть отдельные поля, но нет контролируемого регистра</x:v>
      </x:c>
      <x:c r="P21" s="56" t="str">
        <x:v>Provide controlled register with primary IDs, full period, totals, owner and acceptance test; isolated fields do not close the gap</x:v>
      </x:c>
    </x:row>
    <x:row r="22">
      <x:c r="A22" s="56" t="str">
        <x:v>IG-18</x:v>
      </x:c>
      <x:c r="B22" s="56" t="str">
        <x:v>Критический</x:v>
      </x:c>
      <x:c r="C22" s="56" t="str">
        <x:v>Регистр налоговых обязательств и уведомлений</x:v>
      </x:c>
      <x:c r="D22" s="56" t="str">
        <x:v>Tax ledger</x:v>
      </x:c>
      <x:c r="E22" s="56" t="str">
        <x:v>notification_id, obligation_id, tax_type, period, due_date, amount, status</x:v>
      </x:c>
      <x:c r="F22" s="56" t="str">
        <x:v>Monthly tax calendar and due-date control</x:v>
      </x:c>
      <x:c r="G22" s="56" t="str">
        <x:v>Расчёт невозможен</x:v>
      </x:c>
      <x:c r="H22" s="56" t="str">
        <x:v>Налоги</x:v>
      </x:c>
      <x:c r="I22" s="56" t="str">
        <x:v>Формы дают не все месячные обязательства</x:v>
      </x:c>
      <x:c r="J22" s="56" t="str">
        <x:v>Не закрыто</x:v>
      </x:c>
      <x:c r="K22" s="56" t="str">
        <x:v>Выгрузка/регистр: Регистр налоговых обязательств и уведомлений</x:v>
      </x:c>
      <x:c r="L22" s="56" t="str">
        <x:v>Полный период, первичные ID, контрольные итоги, владелец и дата формирования</x:v>
      </x:c>
      <x:c r="M22" s="56" t="str">
        <x:v>notification_id → Вышивка себестоимость 2024-2026.xlsx / Круиз 26 / № | obligation_id → Вышивка себестоимость 2024-2026.xlsx / Круиз 26 / № | period → Вышивка себестоимость 2024-2026.xlsx / Круиз 26 / № | due_date → Вышивка себестоимость 2024-2026.xlsx / Планирование / СР | amount → Выписка_40802810202620002686_01.01.2024–31.12.2024.xlsx / Выписка по счёту / 29.12.2023 / Дебет | status → Себестоимость Жукова.xlsx / 2026 / Статус оплаты</x:v>
      </x:c>
      <x:c r="N22" s="56" t="str">
        <x:v>tax_type</x:v>
      </x:c>
      <x:c r="O22" s="56" t="str">
        <x:v>Есть отдельные поля, но нет контролируемого регистра</x:v>
      </x:c>
      <x:c r="P22" s="56" t="str">
        <x:v>Provide controlled register with primary IDs, full period, totals, owner and acceptance test; isolated fields do not close the gap</x:v>
      </x:c>
    </x:row>
    <x:row r="23">
      <x:c r="A23" s="56" t="str">
        <x:v>IG-19</x:v>
      </x:c>
      <x:c r="B23" s="56" t="str">
        <x:v>Высокий</x:v>
      </x:c>
      <x:c r="C23" s="56" t="str">
        <x:v>Помесячный НДФЛ/РСВ и employee-level tax linkage</x:v>
      </x:c>
      <x:c r="D23" s="56" t="str">
        <x:v>Payroll/Tax ledger</x:v>
      </x:c>
      <x:c r="E23" s="56" t="str">
        <x:v>employee_id, accrual_period, tax_type, base, amount, declaration_line</x:v>
      </x:c>
      <x:c r="F23" s="56" t="str">
        <x:v>Employee-level and monthly tax reconciliation</x:v>
      </x:c>
      <x:c r="G23" s="56" t="str">
        <x:v>Высокая</x:v>
      </x:c>
      <x:c r="H23" s="56" t="str">
        <x:v>HR + налоги</x:v>
      </x:c>
      <x:c r="I23" s="56" t="str">
        <x:v>Годовые формы сходятся, но детализации нет</x:v>
      </x:c>
      <x:c r="J23" s="56" t="str">
        <x:v>Не закрыто</x:v>
      </x:c>
      <x:c r="K23" s="56" t="str">
        <x:v>Выгрузка/регистр: Помесячный НДФЛ/РСВ и employee-level tax linkage</x:v>
      </x:c>
      <x:c r="L23" s="56" t="str">
        <x:v>Полный период, первичные ID, контрольные итоги, владелец и дата формирования</x:v>
      </x:c>
      <x:c r="M23" s="56" t="str">
        <x:v>employee_id → Вышивка себестоимость 2024-2026.xlsx / Круиз 26 / № | accrual_period → Вышивка себестоимость 2024-2026.xlsx / Круиз 26 / № | amount → Выписка_40802810202620002686_01.01.2024–31.12.2024.xlsx / Выписка по счёту / 29.12.2023 / Дебет | declaration_line → SALES 2024-2026.xlsx / для Юлии (свод продаж) / Dec</x:v>
      </x:c>
      <x:c r="N23" s="56" t="str">
        <x:v>tax_type | base</x:v>
      </x:c>
      <x:c r="O23" s="56" t="str">
        <x:v>Есть отдельные поля, но нет контролируемого регистра</x:v>
      </x:c>
      <x:c r="P23" s="56" t="str">
        <x:v>Provide controlled register with primary IDs, full period, totals, owner and acceptance test; isolated fields do not close the gap</x:v>
      </x:c>
    </x:row>
    <x:row r="24">
      <x:c r="A24" s="56" t="str">
        <x:v>IG-20</x:v>
      </x:c>
      <x:c r="B24" s="56" t="str">
        <x:v>Высокий</x:v>
      </x:c>
      <x:c r="C24" s="56" t="str">
        <x:v>Актуальные справки ЕНС и история по ООО ДЕКОР</x:v>
      </x:c>
      <x:c r="D24" s="56" t="str">
        <x:v>ФНС/налоги</x:v>
      </x:c>
      <x:c r="E24" s="56" t="str">
        <x:v>date, balance, obligation, overpayment, enforcement</x:v>
      </x:c>
      <x:c r="F24" s="56" t="str">
        <x:v>Current tax exposure for all entities</x:v>
      </x:c>
      <x:c r="G24" s="56" t="str">
        <x:v>Высокая</x:v>
      </x:c>
      <x:c r="H24" s="56" t="str">
        <x:v>Налоги</x:v>
      </x:c>
      <x:c r="I24" s="56" t="str">
        <x:v>Текущие справки представлены только по ИП</x:v>
      </x:c>
      <x:c r="J24" s="56" t="str">
        <x:v>Не закрыто</x:v>
      </x:c>
      <x:c r="K24" s="56" t="str">
        <x:v>Выгрузка/регистр: Актуальные справки ЕНС и история по ООО ДЕКОР</x:v>
      </x:c>
      <x:c r="L24" s="56" t="str">
        <x:v>Полный период, первичные ID, контрольные итоги, владелец и дата формирования</x:v>
      </x:c>
      <x:c r="M24" s="56" t="str">
        <x:v>date → ЗП за апрель 2025.xlsx / отчет Олейник / Дата | obligation → Вышивка себестоимость 2024-2026.xlsx / Круиз 26 / № | overpayment → Вышивка себестоимость 2024-2026.xlsx / Круиз 26 / № | enforcement → Вышивка себестоимость 2024-2026.xlsx / Круиз 26 / №</x:v>
      </x:c>
      <x:c r="N24" s="56" t="str">
        <x:v>balance</x:v>
      </x:c>
      <x:c r="O24" s="56" t="str">
        <x:v>Есть отдельные поля, но нет контролируемого регистра</x:v>
      </x:c>
      <x:c r="P24" s="56" t="str">
        <x:v>Provide controlled register with primary IDs, full period, totals, owner and acceptance test; isolated fields do not close the gap</x:v>
      </x:c>
    </x:row>
    <x:row r="25">
      <x:c r="A25" s="56" t="str">
        <x:v>IG-21</x:v>
      </x:c>
      <x:c r="B25" s="56" t="str">
        <x:v>Высокий</x:v>
      </x:c>
      <x:c r="C25" s="56" t="str">
        <x:v>Полный договорный реестр и ключевые условия</x:v>
      </x:c>
      <x:c r="D25" s="56" t="str">
        <x:v>DMS/юристы</x:v>
      </x:c>
      <x:c r="E25" s="56" t="str">
        <x:v>contract_id, counterparty, object, dates, limits, SLA, payment terms</x:v>
      </x:c>
      <x:c r="F25" s="56" t="str">
        <x:v>Contract risk, supplier/channel terms, liability</x:v>
      </x:c>
      <x:c r="G25" s="56" t="str">
        <x:v>Высокая</x:v>
      </x:c>
      <x:c r="H25" s="56" t="str">
        <x:v>Юристы</x:v>
      </x:c>
      <x:c r="I25" s="56" t="str">
        <x:v>Переданы отдельные документы, но нет реестра</x:v>
      </x:c>
      <x:c r="J25" s="56" t="str">
        <x:v>Не закрыто</x:v>
      </x:c>
      <x:c r="K25" s="56" t="str">
        <x:v>Выгрузка/регистр: Полный договорный реестр и ключевые условия</x:v>
      </x:c>
      <x:c r="L25" s="56" t="str">
        <x:v>Полный период, первичные ID, контрольные итоги, владелец и дата формирования</x:v>
      </x:c>
      <x:c r="M25" s="56" t="str">
        <x:v>contract_id → Вышивка себестоимость 2024-2026.xlsx / Круиз 26 / № | counterparty → Выписка_40802810202620002686_01.01.2024–31.12.2024.xlsx / Выписка по счёту / Контрагент | object → Вышивка себестоимость 2024-2026.xlsx / Круиз 26 / №</x:v>
      </x:c>
      <x:c r="N25" s="56" t="str">
        <x:v>dates | limits | SLA | payment terms</x:v>
      </x:c>
      <x:c r="O25" s="56" t="str">
        <x:v>Есть отдельные поля, но нет контролируемого регистра</x:v>
      </x:c>
      <x:c r="P25" s="56" t="str">
        <x:v>Provide controlled register with primary IDs, full period, totals, owner and acceptance test; isolated fields do not close the gap</x:v>
      </x:c>
    </x:row>
    <x:row r="26">
      <x:c r="A26" s="56" t="str">
        <x:v>IG-22</x:v>
      </x:c>
      <x:c r="B26" s="56" t="str">
        <x:v>Критический</x:v>
      </x:c>
      <x:c r="C26" s="56" t="str">
        <x:v>RACI, лимиты и владельцы источников истины</x:v>
      </x:c>
      <x:c r="D26" s="56" t="str">
        <x:v>GRC/DMS</x:v>
      </x:c>
      <x:c r="E26" s="56" t="str">
        <x:v>object, owner, steward, approver, limit, escalation</x:v>
      </x:c>
      <x:c r="F26" s="56" t="str">
        <x:v>Sustainable close, change control and accountability</x:v>
      </x:c>
      <x:c r="G26" s="56" t="str">
        <x:v>Высокая</x:v>
      </x:c>
      <x:c r="H26" s="56" t="str">
        <x:v>Руководство</x:v>
      </x:c>
      <x:c r="I26" s="56" t="str">
        <x:v>Проектная матрица не утверждена</x:v>
      </x:c>
      <x:c r="J26" s="56" t="str">
        <x:v>Не закрыто</x:v>
      </x:c>
      <x:c r="K26" s="56" t="str">
        <x:v>Выгрузка/регистр: RACI, лимиты и владельцы источников истины</x:v>
      </x:c>
      <x:c r="L26" s="56" t="str">
        <x:v>Полный период, первичные ID, контрольные итоги, владелец и дата формирования</x:v>
      </x:c>
      <x:c r="M26" s="56" t="str">
        <x:v>object → Вышивка себестоимость 2024-2026.xlsx / Круиз 26 / № | owner → Вышивка себестоимость 2024-2026.xlsx / Круиз 26 / № | approver → Вышивка себестоимость 2024-2026.xlsx / Круиз 26 / № | escalation → Вышивка себестоимость 2024-2026.xlsx / Круиз 26 / №</x:v>
      </x:c>
      <x:c r="N26" s="56" t="str">
        <x:v>steward | limit</x:v>
      </x:c>
      <x:c r="O26" s="56" t="str">
        <x:v>Есть отдельные поля, но нет контролируемого регистра</x:v>
      </x:c>
      <x:c r="P26" s="56" t="str">
        <x:v>Provide controlled register with primary IDs, full period, totals, owner and acceptance test; isolated fields do not close the gap</x:v>
      </x:c>
    </x:row>
    <x:row r="27">
      <x:c r="A27" s="56" t="str">
        <x:v>IG-23</x:v>
      </x:c>
      <x:c r="B27" s="56" t="str">
        <x:v>Высокий</x:v>
      </x:c>
      <x:c r="C27" s="56" t="str">
        <x:v>Версионный реестр документов и master data</x:v>
      </x:c>
      <x:c r="D27" s="56" t="str">
        <x:v>Data catalog/DMS</x:v>
      </x:c>
      <x:c r="E27" s="56" t="str">
        <x:v>source_file_id, version_id, valid_from/to, status, approver</x:v>
      </x:c>
      <x:c r="F27" s="56" t="str">
        <x:v>Reproducibility, rollback, audit trail</x:v>
      </x:c>
      <x:c r="G27" s="56" t="str">
        <x:v>Высокая</x:v>
      </x:c>
      <x:c r="H27" s="56" t="str">
        <x:v>Data steward</x:v>
      </x:c>
      <x:c r="I27" s="56" t="str">
        <x:v>Технический реестр создан, но не встроен в процесс</x:v>
      </x:c>
      <x:c r="J27" s="56" t="str">
        <x:v>Не закрыто</x:v>
      </x:c>
      <x:c r="K27" s="56" t="str">
        <x:v>Выгрузка/регистр: Версионный реестр документов и master data</x:v>
      </x:c>
      <x:c r="L27" s="56" t="str">
        <x:v>Полный период, первичные ID, контрольные итоги, владелец и дата формирования</x:v>
      </x:c>
      <x:c r="M27" s="56" t="str">
        <x:v>source_file_id → Вышивка себестоимость 2024-2026.xlsx / Круиз 26 / № | version_id → Вышивка себестоимость 2024-2026.xlsx / Круиз 26 / № | valid_from/to → Вышивка себестоимость 2024-2026.xlsx / Круиз 26 / № | status → Себестоимость Жукова.xlsx / 2026 / Статус оплаты | approver → Вышивка себестоимость 2024-2026.xlsx / Круиз 26 / №</x:v>
      </x:c>
      <x:c r="N27" s="56" t="str"/>
      <x:c r="O27" s="56" t="str">
        <x:v>Есть отдельные поля, но нет контролируемого регистра</x:v>
      </x:c>
      <x:c r="P27" s="56" t="str">
        <x:v>Provide controlled register with primary IDs, full period, totals, owner and acceptance test; isolated fields do not close the gap</x:v>
      </x:c>
    </x:row>
    <x:row r="28">
      <x:c r="A28" s="56" t="str">
        <x:v>IG-24</x:v>
      </x:c>
      <x:c r="B28" s="56" t="str">
        <x:v>Высокий</x:v>
      </x:c>
      <x:c r="C28" s="56" t="str">
        <x:v>Корпоративный словарь данных и data contracts</x:v>
      </x:c>
      <x:c r="D28" s="56" t="str">
        <x:v>Data catalog</x:v>
      </x:c>
      <x:c r="E28" s="56" t="str">
        <x:v>field, definition, format, owner, validation, refresh, sensitivity</x:v>
      </x:c>
      <x:c r="F28" s="56" t="str">
        <x:v>Stable joins and automated validation</x:v>
      </x:c>
      <x:c r="G28" s="56" t="str">
        <x:v>Высокая</x:v>
      </x:c>
      <x:c r="H28" s="56" t="str">
        <x:v>Data steward + owners</x:v>
      </x:c>
      <x:c r="I28" s="56" t="str">
        <x:v>Предварительные contracts созданы, но не утверждены</x:v>
      </x:c>
      <x:c r="J28" s="56" t="str">
        <x:v>Не закрыто</x:v>
      </x:c>
      <x:c r="K28" s="56" t="str">
        <x:v>Выгрузка/регистр: Корпоративный словарь данных и data contracts</x:v>
      </x:c>
      <x:c r="L28" s="56" t="str">
        <x:v>Полный период, первичные ID, контрольные итоги, владелец и дата формирования</x:v>
      </x:c>
      <x:c r="M28" s="56" t="str">
        <x:v>definition → Вышивка себестоимость 2024-2026.xlsx / Круиз 26 / № | format → Вышивка себестоимость 2024-2026.xlsx / Круиз 26 / № | owner → Вышивка себестоимость 2024-2026.xlsx / Круиз 26 / № | validation → Вышивка себестоимость 2024-2026.xlsx / Круиз 26 / №</x:v>
      </x:c>
      <x:c r="N28" s="56" t="str">
        <x:v>field | refresh | sensitivity</x:v>
      </x:c>
      <x:c r="O28" s="56" t="str">
        <x:v>Есть отдельные поля, но нет контролируемого регистра</x:v>
      </x:c>
      <x:c r="P28" s="56" t="str">
        <x:v>Provide controlled register with primary IDs, full period, totals, owner and acceptance test; isolated fields do not close the gap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58" hidden="0" customWidth="1"/>
    <x:col min="5" max="5" width="24" hidden="0" customWidth="1"/>
    <x:col min="6" max="6" width="58" hidden="0" customWidth="1"/>
    <x:col min="7" max="7" width="32" hidden="0" customWidth="1"/>
    <x:col min="8" max="8" width="52" hidden="0" customWidth="1"/>
    <x:col min="9" max="9" width="28" hidden="0" customWidth="1"/>
    <x:col min="10" max="10" width="42" hidden="0" customWidth="1"/>
    <x:col min="11" max="11" width="24" hidden="0" customWidth="1"/>
    <x:col min="12" max="12" width="18" hidden="0" customWidth="1"/>
    <x:col min="13" max="13" width="58" hidden="0" customWidth="1"/>
    <x:col min="14" max="14" width="14" hidden="0" customWidth="1"/>
    <x:col min="15" max="15" width="70" hidden="0" customWidth="1"/>
    <x:col min="16" max="16" width="60" hidden="0" customWidth="1"/>
    <x:col min="17" max="17" width="54" hidden="0" customWidth="1"/>
  </x:cols>
  <x:sheetData>
    <x:row r="1" ht="30" customHeight="1">
      <x:c r="A1" s="5" t="str">
        <x:v>30 ANALYSES — READINESS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4" t="str">
        <x:v>Evidence, forbidden claims, links, gaps and required upgrade.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4" ht="32" customHeight="1">
      <x:c r="A4" s="49" t="str">
        <x:v>analysis_id</x:v>
      </x:c>
      <x:c r="B4" s="49" t="str">
        <x:v>analysis</x:v>
      </x:c>
      <x:c r="C4" s="49" t="str">
        <x:v>status</x:v>
      </x:c>
      <x:c r="D4" s="49" t="str">
        <x:v>status_class</x:v>
      </x:c>
      <x:c r="E4" s="49" t="str">
        <x:v>evidence</x:v>
      </x:c>
      <x:c r="F4" s="49" t="str">
        <x:v>coverage</x:v>
      </x:c>
      <x:c r="G4" s="49" t="str">
        <x:v>cannot_claim</x:v>
      </x:c>
      <x:c r="H4" s="49" t="str">
        <x:v>blocking_gap_ids</x:v>
      </x:c>
      <x:c r="I4" s="49" t="str">
        <x:v>supporting_links</x:v>
      </x:c>
      <x:c r="J4" s="49" t="str">
        <x:v>supporting_link_count</x:v>
      </x:c>
      <x:c r="K4" s="49" t="str">
        <x:v>blocking_gaps_detailed</x:v>
      </x:c>
      <x:c r="L4" s="49" t="str">
        <x:v>technical_source_risk</x:v>
      </x:c>
      <x:c r="M4" s="49" t="str">
        <x:v>required_to_upgrade</x:v>
      </x:c>
    </x:row>
    <x:row r="5">
      <x:c r="A5" s="56" t="str">
        <x:v>AN-01</x:v>
      </x:c>
      <x:c r="B5" s="56" t="str">
        <x:v>Техническая инвентаризация источников</x:v>
      </x:c>
      <x:c r="C5" s="56" t="str">
        <x:v>Готово</x:v>
      </x:c>
      <x:c r="D5" s="56" t="str">
        <x:v>Готово</x:v>
      </x:c>
      <x:c r="E5" s="56" t="str">
        <x:v>93 файла, 284 листа, quality flags</x:v>
      </x:c>
      <x:c r="F5" s="56" t="str">
        <x:v>Подтверждённый переданный периметр</x:v>
      </x:c>
      <x:c r="G5" s="56" t="str">
        <x:v>Нельзя утверждать полноту всей IT-среды</x:v>
      </x:c>
      <x:c r="H5" s="56" t="str">
        <x:v>IG-22; IG-23</x:v>
      </x:c>
      <x:c r="I5" s="56" t="str"/>
      <x:c r="J5" s="56" t="n">
        <x:v>0</x:v>
      </x:c>
      <x:c r="K5" s="56" t="str">
        <x:v>IG-22 RACI, лимиты и владельцы источников истины | IG-23 Версионный реестр документов и master data</x:v>
      </x:c>
      <x:c r="L5" s="56" t="str"/>
      <x:c r="M5" s="56" t="str">
        <x:v>Close blocking gaps; approve primary keys; run field-level lineage test; attach evidence; owner sign-off</x:v>
      </x:c>
    </x:row>
    <x:row r="6">
      <x:c r="A6" s="56" t="str">
        <x:v>AN-02</x:v>
      </x:c>
      <x:c r="B6" s="56" t="str">
        <x:v>Банковские остатки</x:v>
      </x:c>
      <x:c r="C6" s="56" t="str">
        <x:v>Готово с оговоркой</x:v>
      </x:c>
      <x:c r="D6" s="56" t="str">
        <x:v>Готово</x:v>
      </x:c>
      <x:c r="E6" s="56" t="str">
        <x:v>113/116 остатков</x:v>
      </x:c>
      <x:c r="F6" s="56" t="str">
        <x:v>4 предоставленных счёта</x:v>
      </x:c>
      <x:c r="G6" s="56" t="str">
        <x:v>Не весь банковский периметр</x:v>
      </x:c>
      <x:c r="H6" s="56" t="str">
        <x:v>IG-11</x:v>
      </x:c>
      <x:c r="I6" s="56" t="str"/>
      <x:c r="J6" s="56" t="n">
        <x:v>0</x:v>
      </x:c>
      <x:c r="K6" s="56" t="str">
        <x:v>IG-11 Полный банковский периметр</x:v>
      </x:c>
      <x:c r="L6" s="56" t="str"/>
      <x:c r="M6" s="56" t="str">
        <x:v>Close blocking gaps; approve primary keys; run field-level lineage test; attach evidence; owner sign-off</x:v>
      </x:c>
    </x:row>
    <x:row r="7">
      <x:c r="A7" s="56" t="str">
        <x:v>AN-03</x:v>
      </x:c>
      <x:c r="B7" s="56" t="str">
        <x:v>Cash roll-forward</x:v>
      </x:c>
      <x:c r="C7" s="56" t="str">
        <x:v>Частично</x:v>
      </x:c>
      <x:c r="D7" s="56" t="str">
        <x:v>Частично</x:v>
      </x:c>
      <x:c r="E7" s="56" t="str">
        <x:v>17/29 переходов; 12 разрывов</x:v>
      </x:c>
      <x:c r="F7" s="56" t="str">
        <x:v>Денежная модель</x:v>
      </x:c>
      <x:c r="G7" s="56" t="str">
        <x:v>Opening и non-bank components не доказаны</x:v>
      </x:c>
      <x:c r="H7" s="56" t="str">
        <x:v>IG-12; IG-13</x:v>
      </x:c>
      <x:c r="I7" s="56" t="str"/>
      <x:c r="J7" s="56" t="n">
        <x:v>0</x:v>
      </x:c>
      <x:c r="K7" s="56" t="str">
        <x:v>IG-12 Касса, карты и подотчёт с движениями | IG-13 Журнал корректировок и подтверждённые opening balances</x:v>
      </x:c>
      <x:c r="L7" s="56" t="str"/>
      <x:c r="M7" s="56" t="str">
        <x:v>Close blocking gaps; approve primary keys; run field-level lineage test; attach evidence; owner sign-off</x:v>
      </x:c>
    </x:row>
    <x:row r="8">
      <x:c r="A8" s="56" t="str">
        <x:v>AN-04</x:v>
      </x:c>
      <x:c r="B8" s="56" t="str">
        <x:v>ДДС ↔ расходы</x:v>
      </x:c>
      <x:c r="C8" s="56" t="str">
        <x:v>Частично</x:v>
      </x:c>
      <x:c r="D8" s="56" t="str">
        <x:v>Частично</x:v>
      </x:c>
      <x:c r="E8" s="56" t="str">
        <x:v>2025 и часть 2026 сходятся</x:v>
      </x:c>
      <x:c r="F8" s="56" t="str">
        <x:v>Cash classification</x:v>
      </x:c>
      <x:c r="G8" s="56" t="str">
        <x:v>2024 неоднороден; нет transaction IDs</x:v>
      </x:c>
      <x:c r="H8" s="56" t="str">
        <x:v>IG-12; IG-23</x:v>
      </x:c>
      <x:c r="I8" s="56" t="str"/>
      <x:c r="J8" s="56" t="n">
        <x:v>0</x:v>
      </x:c>
      <x:c r="K8" s="56" t="str">
        <x:v>IG-12 Касса, карты и подотчёт с движениями | IG-23 Версионный реестр документов и master data</x:v>
      </x:c>
      <x:c r="L8" s="56" t="str"/>
      <x:c r="M8" s="56" t="str">
        <x:v>Close blocking gaps; approve primary keys; run field-level lineage test; attach evidence; owner sign-off</x:v>
      </x:c>
    </x:row>
    <x:row r="9">
      <x:c r="A9" s="56" t="str">
        <x:v>AN-05</x:v>
      </x:c>
      <x:c r="B9" s="56" t="str">
        <x:v>Бюджет план-факт</x:v>
      </x:c>
      <x:c r="C9" s="56" t="str">
        <x:v>Готово с оговоркой</x:v>
      </x:c>
      <x:c r="D9" s="56" t="str">
        <x:v>Готово</x:v>
      </x:c>
      <x:c r="E9" s="56" t="str">
        <x:v>H2 2025 и Jan-May 2026</x:v>
      </x:c>
      <x:c r="F9" s="56" t="str">
        <x:v>Cash budget perimeter</x:v>
      </x:c>
      <x:c r="G9" s="56" t="str">
        <x:v>Нет единого plan version/driver model</x:v>
      </x:c>
      <x:c r="H9" s="56" t="str">
        <x:v>IG-23; IG-24</x:v>
      </x:c>
      <x:c r="I9" s="56" t="str"/>
      <x:c r="J9" s="56" t="n">
        <x:v>0</x:v>
      </x:c>
      <x:c r="K9" s="56" t="str">
        <x:v>IG-23 Версионный реестр документов и master data | IG-24 Корпоративный словарь данных и data contracts</x:v>
      </x:c>
      <x:c r="L9" s="56" t="str"/>
      <x:c r="M9" s="56" t="str">
        <x:v>Close blocking gaps; approve primary keys; run field-level lineage test; attach evidence; owner sign-off</x:v>
      </x:c>
    </x:row>
    <x:row r="10">
      <x:c r="A10" s="56" t="str">
        <x:v>AN-06</x:v>
      </x:c>
      <x:c r="B10" s="56" t="str">
        <x:v>Ликвидность</x:v>
      </x:c>
      <x:c r="C10" s="56" t="str">
        <x:v>Частично</x:v>
      </x:c>
      <x:c r="D10" s="56" t="str">
        <x:v>Частично</x:v>
      </x:c>
      <x:c r="E10" s="56" t="str">
        <x:v>Cash balances и flows</x:v>
      </x:c>
      <x:c r="F10" s="56" t="str">
        <x:v>Предоставленные счета</x:v>
      </x:c>
      <x:c r="G10" s="56" t="str">
        <x:v>Нет AR/AP, полного bank perimeter и обязательств</x:v>
      </x:c>
      <x:c r="H10" s="56" t="str">
        <x:v>IG-11; IG-14</x:v>
      </x:c>
      <x:c r="I10" s="56" t="str">
        <x:v>LCFG-175 | LCFG-176 | LCFG-177 | LCFG-178</x:v>
      </x:c>
      <x:c r="J10" s="56" t="n">
        <x:v>4</x:v>
      </x:c>
      <x:c r="K10" s="56" t="str">
        <x:v>IG-11 Полный банковский периметр | IG-14 Дебиторская и кредиторская задолженность</x:v>
      </x:c>
      <x:c r="L10" s="56" t="str"/>
      <x:c r="M10" s="56" t="str">
        <x:v>Close blocking gaps; approve primary keys; run field-level lineage test; attach evidence; owner sign-off</x:v>
      </x:c>
    </x:row>
    <x:row r="11">
      <x:c r="A11" s="56" t="str">
        <x:v>AN-07</x:v>
      </x:c>
      <x:c r="B11" s="56" t="str">
        <x:v>Управленческая прибыль/P&amp;L</x:v>
      </x:c>
      <x:c r="C11" s="56" t="str">
        <x:v>Невозможно завершить</x:v>
      </x:c>
      <x:c r="D11" s="56" t="str">
        <x:v>Заблокировано</x:v>
      </x:c>
      <x:c r="E11" s="56" t="str">
        <x:v>Только cash result</x:v>
      </x:c>
      <x:c r="F11" s="56" t="str">
        <x:v>Cash model</x:v>
      </x:c>
      <x:c r="G11" s="56" t="str">
        <x:v>Нет accrual, inventory, WIP, AR/AP, Balance</x:v>
      </x:c>
      <x:c r="H11" s="56" t="str">
        <x:v>IG-02; IG-03; IG-14; IG-15</x:v>
      </x:c>
      <x:c r="I11" s="56" t="str"/>
      <x:c r="J11" s="56" t="n">
        <x:v>0</x:v>
      </x:c>
      <x:c r="K11" s="56" t="str">
        <x:v>IG-02 Остатки и движение готовой продукции | IG-03 Production order register и WIP | IG-14 Дебиторская и кредиторская задолженность | IG-15 Управленческий P&amp;L и Balance с методикой close</x:v>
      </x:c>
      <x:c r="L11" s="56" t="str"/>
      <x:c r="M11" s="56" t="str">
        <x:v>Close blocking gaps; approve primary keys; run field-level lineage test; attach evidence; owner sign-off</x:v>
      </x:c>
    </x:row>
    <x:row r="12">
      <x:c r="A12" s="56" t="str">
        <x:v>AN-08</x:v>
      </x:c>
      <x:c r="B12" s="56" t="str">
        <x:v>Balance sheet</x:v>
      </x:c>
      <x:c r="C12" s="56" t="str">
        <x:v>Невозможно завершить</x:v>
      </x:c>
      <x:c r="D12" s="56" t="str">
        <x:v>Заблокировано</x:v>
      </x:c>
      <x:c r="E12" s="56" t="str">
        <x:v>Отдельные остатки и активы</x:v>
      </x:c>
      <x:c r="F12" s="56" t="str">
        <x:v>Fabric snapshot / cash</x:v>
      </x:c>
      <x:c r="G12" s="56" t="str">
        <x:v>Нет FG, WIP, AR/AP, liabilities/equity</x:v>
      </x:c>
      <x:c r="H12" s="56" t="str">
        <x:v>IG-02; IG-03; IG-14; IG-15</x:v>
      </x:c>
      <x:c r="I12" s="56" t="str"/>
      <x:c r="J12" s="56" t="n">
        <x:v>0</x:v>
      </x:c>
      <x:c r="K12" s="56" t="str">
        <x:v>IG-02 Остатки и движение готовой продукции | IG-03 Production order register и WIP | IG-14 Дебиторская и кредиторская задолженность | IG-15 Управленческий P&amp;L и Balance с методикой close</x:v>
      </x:c>
      <x:c r="L12" s="56" t="str"/>
      <x:c r="M12" s="56" t="str">
        <x:v>Close blocking gaps; approve primary keys; run field-level lineage test; attach evidence; owner sign-off</x:v>
      </x:c>
    </x:row>
    <x:row r="13">
      <x:c r="A13" s="56" t="str">
        <x:v>AN-09</x:v>
      </x:c>
      <x:c r="B13" s="56" t="str">
        <x:v>ФОТ ↔ банк ↔ ДДС</x:v>
      </x:c>
      <x:c r="C13" s="56" t="str">
        <x:v>Готово с оговоркой</x:v>
      </x:c>
      <x:c r="D13" s="56" t="str">
        <x:v>Готово</x:v>
      </x:c>
      <x:c r="E13" s="56" t="str">
        <x:v>Агрегатные расхождения 3 месяцев объяснены</x:v>
      </x:c>
      <x:c r="F13" s="56" t="str">
        <x:v>11 месяцев</x:v>
      </x:c>
      <x:c r="G13" s="56" t="str">
        <x:v>Employee-level ledger неполон</x:v>
      </x:c>
      <x:c r="H13" s="56" t="str">
        <x:v>IG-16</x:v>
      </x:c>
      <x:c r="I13" s="56" t="str"/>
      <x:c r="J13" s="56" t="n">
        <x:v>0</x:v>
      </x:c>
      <x:c r="K13" s="56" t="str">
        <x:v>IG-16 Полный payroll accrual ledger</x:v>
      </x:c>
      <x:c r="L13" s="56" t="str"/>
      <x:c r="M13" s="56" t="str">
        <x:v>Close blocking gaps; approve primary keys; run field-level lineage test; attach evidence; owner sign-off</x:v>
      </x:c>
    </x:row>
    <x:row r="14">
      <x:c r="A14" s="56" t="str">
        <x:v>AN-10</x:v>
      </x:c>
      <x:c r="B14" s="56" t="str">
        <x:v>Полная стоимость труда</x:v>
      </x:c>
      <x:c r="C14" s="56" t="str">
        <x:v>Невозможно завершить</x:v>
      </x:c>
      <x:c r="D14" s="56" t="str">
        <x:v>Заблокировано</x:v>
      </x:c>
      <x:c r="E14" s="56" t="str">
        <x:v>Формы и часть ведомостей</x:v>
      </x:c>
      <x:c r="F14" s="56" t="str">
        <x:v>2024–2026 частично</x:v>
      </x:c>
      <x:c r="G14" s="56" t="str">
        <x:v>Нет полного accrual ledger</x:v>
      </x:c>
      <x:c r="H14" s="56" t="str">
        <x:v>IG-16; IG-19</x:v>
      </x:c>
      <x:c r="I14" s="56" t="str"/>
      <x:c r="J14" s="56" t="n">
        <x:v>0</x:v>
      </x:c>
      <x:c r="K14" s="56" t="str">
        <x:v>IG-16 Полный payroll accrual ledger | IG-19 Помесячный НДФЛ/РСВ и employee-level tax linkage</x:v>
      </x:c>
      <x:c r="L14" s="56" t="str"/>
      <x:c r="M14" s="56" t="str">
        <x:v>Close blocking gaps; approve primary keys; run field-level lineage test; attach evidence; owner sign-off</x:v>
      </x:c>
    </x:row>
    <x:row r="15">
      <x:c r="A15" s="56" t="str">
        <x:v>AN-11</x:v>
      </x:c>
      <x:c r="B15" s="56" t="str">
        <x:v>6-НДФЛ ↔ РСВ годовая</x:v>
      </x:c>
      <x:c r="C15" s="56" t="str">
        <x:v>Готово с оговоркой</x:v>
      </x:c>
      <x:c r="D15" s="56" t="str">
        <x:v>Готово</x:v>
      </x:c>
      <x:c r="E15" s="56" t="str">
        <x:v>4/4 годовые пары сходятся</x:v>
      </x:c>
      <x:c r="F15" s="56" t="str">
        <x:v>2024–2025, 2 юрлица</x:v>
      </x:c>
      <x:c r="G15" s="56" t="str">
        <x:v>Не employee/month level</x:v>
      </x:c>
      <x:c r="H15" s="56" t="str">
        <x:v>IG-19</x:v>
      </x:c>
      <x:c r="I15" s="56" t="str"/>
      <x:c r="J15" s="56" t="n">
        <x:v>0</x:v>
      </x:c>
      <x:c r="K15" s="56" t="str">
        <x:v>IG-19 Помесячный НДФЛ/РСВ и employee-level tax linkage</x:v>
      </x:c>
      <x:c r="L15" s="56" t="str"/>
      <x:c r="M15" s="56" t="str">
        <x:v>Close blocking gaps; approve primary keys; run field-level lineage test; attach evidence; owner sign-off</x:v>
      </x:c>
    </x:row>
    <x:row r="16">
      <x:c r="A16" s="56" t="str">
        <x:v>AN-12</x:v>
      </x:c>
      <x:c r="B16" s="56" t="str">
        <x:v>Налоговое обязательство ↔ платёж</x:v>
      </x:c>
      <x:c r="C16" s="56" t="str">
        <x:v>Невозможно завершить</x:v>
      </x:c>
      <x:c r="D16" s="56" t="str">
        <x:v>Заблокировано</x:v>
      </x:c>
      <x:c r="E16" s="56" t="str">
        <x:v>182 bank tax ops</x:v>
      </x:c>
      <x:c r="F16" s="56" t="str">
        <x:v>Cash side only</x:v>
      </x:c>
      <x:c r="G16" s="56" t="str">
        <x:v>Нет ENS allocation/obligation register</x:v>
      </x:c>
      <x:c r="H16" s="56" t="str">
        <x:v>IG-17; IG-18</x:v>
      </x:c>
      <x:c r="I16" s="56" t="str"/>
      <x:c r="J16" s="56" t="n">
        <x:v>0</x:v>
      </x:c>
      <x:c r="K16" s="56" t="str">
        <x:v>IG-17 Исторические операции ЕНС и распределение ЕНП | IG-18 Регистр налоговых обязательств и уведомлений</x:v>
      </x:c>
      <x:c r="L16" s="56" t="str"/>
      <x:c r="M16" s="56" t="str">
        <x:v>Close blocking gaps; approve primary keys; run field-level lineage test; attach evidence; owner sign-off</x:v>
      </x:c>
    </x:row>
    <x:row r="17">
      <x:c r="A17" s="56" t="str">
        <x:v>AN-13</x:v>
      </x:c>
      <x:c r="B17" s="56" t="str">
        <x:v>Помесячный налоговый календарь</x:v>
      </x:c>
      <x:c r="C17" s="56" t="str">
        <x:v>Частично</x:v>
      </x:c>
      <x:c r="D17" s="56" t="str">
        <x:v>Частично</x:v>
      </x:c>
      <x:c r="E17" s="56" t="str">
        <x:v>60 entity-month records</x:v>
      </x:c>
      <x:c r="F17" s="56" t="str">
        <x:v>Bank + forms hints</x:v>
      </x:c>
      <x:c r="G17" s="56" t="str">
        <x:v>Нет уведомлений и full monthly tax ledger</x:v>
      </x:c>
      <x:c r="H17" s="56" t="str">
        <x:v>IG-17; IG-18; IG-19</x:v>
      </x:c>
      <x:c r="I17" s="56" t="str"/>
      <x:c r="J17" s="56" t="n">
        <x:v>0</x:v>
      </x:c>
      <x:c r="K17" s="56" t="str">
        <x:v>IG-17 Исторические операции ЕНС и распределение ЕНП | IG-18 Регистр налоговых обязательств и уведомлений | IG-19 Помесячный НДФЛ/РСВ и employee-level tax linkage</x:v>
      </x:c>
      <x:c r="L17" s="56" t="str"/>
      <x:c r="M17" s="56" t="str">
        <x:v>Close blocking gaps; approve primary keys; run field-level lineage test; attach evidence; owner sign-off</x:v>
      </x:c>
    </x:row>
    <x:row r="18">
      <x:c r="A18" s="56" t="str">
        <x:v>AN-14</x:v>
      </x:c>
      <x:c r="B18" s="56" t="str">
        <x:v>Current tax exposure</x:v>
      </x:c>
      <x:c r="C18" s="56" t="str">
        <x:v>Частично</x:v>
      </x:c>
      <x:c r="D18" s="56" t="str">
        <x:v>Частично</x:v>
      </x:c>
      <x:c r="E18" s="56" t="str">
        <x:v>Справки по ИП на 25.06.2026</x:v>
      </x:c>
      <x:c r="F18" s="56" t="str">
        <x:v>ИП Янина</x:v>
      </x:c>
      <x:c r="G18" s="56" t="str">
        <x:v>Нет аналогичных актуальных справок по ДЕКОР</x:v>
      </x:c>
      <x:c r="H18" s="56" t="str">
        <x:v>IG-20</x:v>
      </x:c>
      <x:c r="I18" s="56" t="str"/>
      <x:c r="J18" s="56" t="n">
        <x:v>0</x:v>
      </x:c>
      <x:c r="K18" s="56" t="str">
        <x:v>IG-20 Актуальные справки ЕНС и история по ООО ДЕКОР</x:v>
      </x:c>
      <x:c r="L18" s="56" t="str"/>
      <x:c r="M18" s="56" t="str">
        <x:v>Close blocking gaps; approve primary keys; run field-level lineage test; attach evidence; owner sign-off</x:v>
      </x:c>
    </x:row>
    <x:row r="19">
      <x:c r="A19" s="56" t="str">
        <x:v>AN-15</x:v>
      </x:c>
      <x:c r="B19" s="56" t="str">
        <x:v>SKU master</x:v>
      </x:c>
      <x:c r="C19" s="56" t="str">
        <x:v>Частично</x:v>
      </x:c>
      <x:c r="D19" s="56" t="str">
        <x:v>Частично</x:v>
      </x:c>
      <x:c r="E19" s="56" t="str">
        <x:v>234 SKU; 599 aliases; 124 decisions</x:v>
      </x:c>
      <x:c r="F19" s="56" t="str">
        <x:v>ЦУМ + collection/cost candidates</x:v>
      </x:c>
      <x:c r="G19" s="56" t="str">
        <x:v>Нет approved canonical master</x:v>
      </x:c>
      <x:c r="H19" s="56" t="str">
        <x:v>IG-01</x:v>
      </x:c>
      <x:c r="I19" s="56" t="str"/>
      <x:c r="J19" s="56" t="n">
        <x:v>0</x:v>
      </x:c>
      <x:c r="K19" s="56" t="str">
        <x:v>IG-01 Официальный canonical SKU и alias history</x:v>
      </x:c>
      <x:c r="L19" s="56" t="str"/>
      <x:c r="M19" s="56" t="str">
        <x:v>Close blocking gaps; approve primary keys; run field-level lineage test; attach evidence; owner sign-off</x:v>
      </x:c>
    </x:row>
    <x:row r="20">
      <x:c r="A20" s="56" t="str">
        <x:v>AN-16</x:v>
      </x:c>
      <x:c r="B20" s="56" t="str">
        <x:v>Маржа SKU</x:v>
      </x:c>
      <x:c r="C20" s="56" t="str">
        <x:v>Частично</x:v>
      </x:c>
      <x:c r="D20" s="56" t="str">
        <x:v>Частично</x:v>
      </x:c>
      <x:c r="E20" s="56" t="str">
        <x:v>82 SKU с однозначной cost</x:v>
      </x:c>
      <x:c r="F20" s="56" t="str">
        <x:v>Covered subset only</x:v>
      </x:c>
      <x:c r="G20" s="56" t="str">
        <x:v>131 missing cost; 21 multiple; no FG/COGS close</x:v>
      </x:c>
      <x:c r="H20" s="56" t="str">
        <x:v>IG-01; IG-02; IG-04</x:v>
      </x:c>
      <x:c r="I20" s="56" t="str">
        <x:v>LCFG-113 | LCFG-116 | LCFG-119</x:v>
      </x:c>
      <x:c r="J20" s="56" t="n">
        <x:v>3</x:v>
      </x:c>
      <x:c r="K20" s="56" t="str">
        <x:v>IG-01 Официальный canonical SKU и alias history | IG-02 Остатки и движение готовой продукции | IG-04 Утверждённые версии фактической себестоимости</x:v>
      </x:c>
      <x:c r="L20" s="56" t="str"/>
      <x:c r="M20" s="56" t="str">
        <x:v>Close blocking gaps; approve primary keys; run field-level lineage test; attach evidence; owner sign-off</x:v>
      </x:c>
    </x:row>
    <x:row r="21">
      <x:c r="A21" s="56" t="str">
        <x:v>AN-17</x:v>
      </x:c>
      <x:c r="B21" s="56" t="str">
        <x:v>Маржа коллекций</x:v>
      </x:c>
      <x:c r="C21" s="56" t="str">
        <x:v>Невозможно завершить</x:v>
      </x:c>
      <x:c r="D21" s="56" t="str">
        <x:v>Заблокировано</x:v>
      </x:c>
      <x:c r="E21" s="56" t="str">
        <x:v>Collection files and candidate links</x:v>
      </x:c>
      <x:c r="F21" s="56" t="str">
        <x:v>Низкое точное покрытие</x:v>
      </x:c>
      <x:c r="G21" s="56" t="str">
        <x:v>Нет model/SKU mapping and full cost/sales</x:v>
      </x:c>
      <x:c r="H21" s="56" t="str">
        <x:v>IG-01; IG-04; IG-07</x:v>
      </x:c>
      <x:c r="I21" s="56" t="str">
        <x:v>LCFG-114 | LCFG-117 | LCFG-120</x:v>
      </x:c>
      <x:c r="J21" s="56" t="n">
        <x:v>3</x:v>
      </x:c>
      <x:c r="K21" s="56" t="str">
        <x:v>IG-01 Официальный canonical SKU и alias history | IG-04 Утверждённые версии фактической себестоимости | IG-07 Детальные продажи всех каналов</x:v>
      </x:c>
      <x:c r="L21" s="56" t="str"/>
      <x:c r="M21" s="56" t="str">
        <x:v>Close blocking gaps; approve primary keys; run field-level lineage test; attach evidence; owner sign-off</x:v>
      </x:c>
    </x:row>
    <x:row r="22">
      <x:c r="A22" s="56" t="str">
        <x:v>AN-18</x:v>
      </x:c>
      <x:c r="B22" s="56" t="str">
        <x:v>Маржа каналов</x:v>
      </x:c>
      <x:c r="C22" s="56" t="str">
        <x:v>Частично</x:v>
      </x:c>
      <x:c r="D22" s="56" t="str">
        <x:v>Частично</x:v>
      </x:c>
      <x:c r="E22" s="56" t="str">
        <x:v>Cash mix и отдельные channel aggregates</x:v>
      </x:c>
      <x:c r="F22" s="56" t="str">
        <x:v>ЦУМ/B2B лучше покрыты</x:v>
      </x:c>
      <x:c r="G22" s="56" t="str">
        <x:v>Нет detailed Salon/Shop/online and settlement costs</x:v>
      </x:c>
      <x:c r="H22" s="56" t="str">
        <x:v>IG-07; IG-09</x:v>
      </x:c>
      <x:c r="I22" s="56" t="str"/>
      <x:c r="J22" s="56" t="n">
        <x:v>0</x:v>
      </x:c>
      <x:c r="K22" s="56" t="str">
        <x:v>IG-07 Детальные продажи всех каналов | IG-09 Settlement и взаиморасчёты на уровне строк</x:v>
      </x:c>
      <x:c r="L22" s="56" t="str"/>
      <x:c r="M22" s="56" t="str">
        <x:v>Close blocking gaps; approve primary keys; run field-level lineage test; attach evidence; owner sign-off</x:v>
      </x:c>
    </x:row>
    <x:row r="23">
      <x:c r="A23" s="56" t="str">
        <x:v>AN-19</x:v>
      </x:c>
      <x:c r="B23" s="56" t="str">
        <x:v>Стоимость и возраст готовой продукции</x:v>
      </x:c>
      <x:c r="C23" s="56" t="str">
        <x:v>Невозможно завершить</x:v>
      </x:c>
      <x:c r="D23" s="56" t="str">
        <x:v>Заблокировано</x:v>
      </x:c>
      <x:c r="E23" s="56" t="str">
        <x:v>Нет current FG register</x:v>
      </x:c>
      <x:c r="F23" s="56" t="str">
        <x:v>—</x:v>
      </x:c>
      <x:c r="G23" s="56" t="str">
        <x:v>Нет movements, cost and dates</x:v>
      </x:c>
      <x:c r="H23" s="56" t="str">
        <x:v>IG-02; IG-04</x:v>
      </x:c>
      <x:c r="I23" s="56" t="str"/>
      <x:c r="J23" s="56" t="n">
        <x:v>0</x:v>
      </x:c>
      <x:c r="K23" s="56" t="str">
        <x:v>IG-02 Остатки и движение готовой продукции | IG-04 Утверждённые версии фактической себестоимости</x:v>
      </x:c>
      <x:c r="L23" s="56" t="str"/>
      <x:c r="M23" s="56" t="str">
        <x:v>Close blocking gaps; approve primary keys; run field-level lineage test; attach evidence; owner sign-off</x:v>
      </x:c>
    </x:row>
    <x:row r="24">
      <x:c r="A24" s="56" t="str">
        <x:v>AN-20</x:v>
      </x:c>
      <x:c r="B24" s="56" t="str">
        <x:v>Стоимость материалов на дату</x:v>
      </x:c>
      <x:c r="C24" s="56" t="str">
        <x:v>Готово с оговоркой</x:v>
      </x:c>
      <x:c r="D24" s="56" t="str">
        <x:v>Готово</x:v>
      </x:c>
      <x:c r="E24" s="56" t="str">
        <x:v>29 837 656,49 руб. на 31.05.2026</x:v>
      </x:c>
      <x:c r="F24" s="56" t="str">
        <x:v>1C snapshot</x:v>
      </x:c>
      <x:c r="G24" s="56" t="str">
        <x:v>Не история движения/не proof of liquidity</x:v>
      </x:c>
      <x:c r="H24" s="56" t="str">
        <x:v>IG-05</x:v>
      </x:c>
      <x:c r="I24" s="56" t="str"/>
      <x:c r="J24" s="56" t="n">
        <x:v>0</x:v>
      </x:c>
      <x:c r="K24" s="56" t="str">
        <x:v>IG-05 История движения материалов и партии</x:v>
      </x:c>
      <x:c r="L24" s="56" t="str"/>
      <x:c r="M24" s="56" t="str">
        <x:v>Close blocking gaps; approve primary keys; run field-level lineage test; attach evidence; owner sign-off</x:v>
      </x:c>
    </x:row>
    <x:row r="25">
      <x:c r="A25" s="56" t="str">
        <x:v>AN-21</x:v>
      </x:c>
      <x:c r="B25" s="56" t="str">
        <x:v>Material aging/неликвид</x:v>
      </x:c>
      <x:c r="C25" s="56" t="str">
        <x:v>Невозможно завершить</x:v>
      </x:c>
      <x:c r="D25" s="56" t="str">
        <x:v>Заблокировано</x:v>
      </x:c>
      <x:c r="E25" s="56" t="str">
        <x:v>Snapshot only</x:v>
      </x:c>
      <x:c r="F25" s="56" t="str">
        <x:v>1 338 rows</x:v>
      </x:c>
      <x:c r="G25" s="56" t="str">
        <x:v>Нет lots/movements/reservations/issues</x:v>
      </x:c>
      <x:c r="H25" s="56" t="str">
        <x:v>IG-05; IG-06</x:v>
      </x:c>
      <x:c r="I25" s="56" t="str"/>
      <x:c r="J25" s="56" t="n">
        <x:v>0</x:v>
      </x:c>
      <x:c r="K25" s="56" t="str">
        <x:v>IG-05 История движения материалов и партии | IG-06 Версионный BOM и нормы</x:v>
      </x:c>
      <x:c r="L25" s="56" t="str"/>
      <x:c r="M25" s="56" t="str">
        <x:v>Close blocking gaps; approve primary keys; run field-level lineage test; attach evidence; owner sign-off</x:v>
      </x:c>
    </x:row>
    <x:row r="26">
      <x:c r="A26" s="56" t="str">
        <x:v>AN-22</x:v>
      </x:c>
      <x:c r="B26" s="56" t="str">
        <x:v>WIP</x:v>
      </x:c>
      <x:c r="C26" s="56" t="str">
        <x:v>Невозможно завершить</x:v>
      </x:c>
      <x:c r="D26" s="56" t="str">
        <x:v>Заблокировано</x:v>
      </x:c>
      <x:c r="E26" s="56" t="str">
        <x:v>Production plan drafts</x:v>
      </x:c>
      <x:c r="F26" s="56" t="str">
        <x:v>163 orders</x:v>
      </x:c>
      <x:c r="G26" s="56" t="str">
        <x:v>Нет status, qty, issue/output and valuation</x:v>
      </x:c>
      <x:c r="H26" s="56" t="str">
        <x:v>IG-03; IG-05; IG-10</x:v>
      </x:c>
      <x:c r="I26" s="56" t="str"/>
      <x:c r="J26" s="56" t="n">
        <x:v>0</x:v>
      </x:c>
      <x:c r="K26" s="56" t="str">
        <x:v>IG-03 Production order register и WIP | IG-05 История движения материалов и партии | IG-10 Операции, фактические часы, брак и переделка</x:v>
      </x:c>
      <x:c r="L26" s="56" t="str"/>
      <x:c r="M26" s="56" t="str">
        <x:v>Close blocking gaps; approve primary keys; run field-level lineage test; attach evidence; owner sign-off</x:v>
      </x:c>
    </x:row>
    <x:row r="27">
      <x:c r="A27" s="56" t="str">
        <x:v>AN-23</x:v>
      </x:c>
      <x:c r="B27" s="56" t="str">
        <x:v>Production lead time</x:v>
      </x:c>
      <x:c r="C27" s="56" t="str">
        <x:v>Невозможно завершить</x:v>
      </x:c>
      <x:c r="D27" s="56" t="str">
        <x:v>Заблокировано</x:v>
      </x:c>
      <x:c r="E27" s="56" t="str">
        <x:v>Dates in free text</x:v>
      </x:c>
      <x:c r="F27" s="56" t="str">
        <x:v>163 orders / 475 tasks</x:v>
      </x:c>
      <x:c r="G27" s="56" t="str">
        <x:v>Нет reliable start/end/order IDs</x:v>
      </x:c>
      <x:c r="H27" s="56" t="str">
        <x:v>IG-03; IG-10</x:v>
      </x:c>
      <x:c r="I27" s="56" t="str"/>
      <x:c r="J27" s="56" t="n">
        <x:v>0</x:v>
      </x:c>
      <x:c r="K27" s="56" t="str">
        <x:v>IG-03 Production order register и WIP | IG-10 Операции, фактические часы, брак и переделка</x:v>
      </x:c>
      <x:c r="L27" s="56" t="str"/>
      <x:c r="M27" s="56" t="str">
        <x:v>Close blocking gaps; approve primary keys; run field-level lineage test; attach evidence; owner sign-off</x:v>
      </x:c>
    </x:row>
    <x:row r="28">
      <x:c r="A28" s="56" t="str">
        <x:v>AN-24</x:v>
      </x:c>
      <x:c r="B28" s="56" t="str">
        <x:v>Производительность и загрузка</x:v>
      </x:c>
      <x:c r="C28" s="56" t="str">
        <x:v>Невозможно завершить</x:v>
      </x:c>
      <x:c r="D28" s="56" t="str">
        <x:v>Заблокировано</x:v>
      </x:c>
      <x:c r="E28" s="56" t="str">
        <x:v>Text tasks only</x:v>
      </x:c>
      <x:c r="F28" s="56" t="str">
        <x:v>24 executor rows / 475 tasks</x:v>
      </x:c>
      <x:c r="G28" s="56" t="str">
        <x:v>Нет actual hours/output/rework</x:v>
      </x:c>
      <x:c r="H28" s="56" t="str">
        <x:v>IG-10</x:v>
      </x:c>
      <x:c r="I28" s="56" t="str"/>
      <x:c r="J28" s="56" t="n">
        <x:v>0</x:v>
      </x:c>
      <x:c r="K28" s="56" t="str">
        <x:v>IG-10 Операции, фактические часы, брак и переделка</x:v>
      </x:c>
      <x:c r="L28" s="56" t="str"/>
      <x:c r="M28" s="56" t="str">
        <x:v>Close blocking gaps; approve primary keys; run field-level lineage test; attach evidence; owner sign-off</x:v>
      </x:c>
    </x:row>
    <x:row r="29">
      <x:c r="A29" s="56" t="str">
        <x:v>AN-25</x:v>
      </x:c>
      <x:c r="B29" s="56" t="str">
        <x:v>Supplier performance</x:v>
      </x:c>
      <x:c r="C29" s="56" t="str">
        <x:v>Невозможно завершить</x:v>
      </x:c>
      <x:c r="D29" s="56" t="str">
        <x:v>Заблокировано</x:v>
      </x:c>
      <x:c r="E29" s="56" t="str">
        <x:v>63 suppliers</x:v>
      </x:c>
      <x:c r="F29" s="56" t="str">
        <x:v>Directory only</x:v>
      </x:c>
      <x:c r="G29" s="56" t="str">
        <x:v>Нет PO/GRN/quality/lead time/payment link</x:v>
      </x:c>
      <x:c r="H29" s="56" t="str">
        <x:v>IG-08; IG-21</x:v>
      </x:c>
      <x:c r="I29" s="56" t="str"/>
      <x:c r="J29" s="56" t="n">
        <x:v>0</x:v>
      </x:c>
      <x:c r="K29" s="56" t="str">
        <x:v>IG-08 Полный procurement cycle | IG-21 Полный договорный реестр и ключевые условия</x:v>
      </x:c>
      <x:c r="L29" s="56" t="str"/>
      <x:c r="M29" s="56" t="str">
        <x:v>Close blocking gaps; approve primary keys; run field-level lineage test; attach evidence; owner sign-off</x:v>
      </x:c>
    </x:row>
    <x:row r="30">
      <x:c r="A30" s="56" t="str">
        <x:v>AN-26</x:v>
      </x:c>
      <x:c r="B30" s="56" t="str">
        <x:v>Procure-to-pay</x:v>
      </x:c>
      <x:c r="C30" s="56" t="str">
        <x:v>Невозможно завершить</x:v>
      </x:c>
      <x:c r="D30" s="56" t="str">
        <x:v>Заблокировано</x:v>
      </x:c>
      <x:c r="E30" s="56" t="str">
        <x:v>Bank payments and supplier list</x:v>
      </x:c>
      <x:c r="F30" s="56" t="str">
        <x:v>Cash side only</x:v>
      </x:c>
      <x:c r="G30" s="56" t="str">
        <x:v>Нет request/PO/GRN/invoice chain</x:v>
      </x:c>
      <x:c r="H30" s="56" t="str">
        <x:v>IG-08; IG-09</x:v>
      </x:c>
      <x:c r="I30" s="56" t="str"/>
      <x:c r="J30" s="56" t="n">
        <x:v>0</x:v>
      </x:c>
      <x:c r="K30" s="56" t="str">
        <x:v>IG-08 Полный procurement cycle | IG-09 Settlement и взаиморасчёты на уровне строк</x:v>
      </x:c>
      <x:c r="L30" s="56" t="str"/>
      <x:c r="M30" s="56" t="str">
        <x:v>Close blocking gaps; approve primary keys; run field-level lineage test; attach evidence; owner sign-off</x:v>
      </x:c>
    </x:row>
    <x:row r="31">
      <x:c r="A31" s="56" t="str">
        <x:v>AN-27</x:v>
      </x:c>
      <x:c r="B31" s="56" t="str">
        <x:v>Order-to-cash</x:v>
      </x:c>
      <x:c r="C31" s="56" t="str">
        <x:v>Частично</x:v>
      </x:c>
      <x:c r="D31" s="56" t="str">
        <x:v>Частично</x:v>
      </x:c>
      <x:c r="E31" s="56" t="str">
        <x:v>ЦУМ 27/29; B2B 17/17 aggregate</x:v>
      </x:c>
      <x:c r="F31" s="56" t="str">
        <x:v>Monthly aggregate</x:v>
      </x:c>
      <x:c r="G31" s="56" t="str">
        <x:v>Нет sales line/settlement/payment allocation</x:v>
      </x:c>
      <x:c r="H31" s="56" t="str">
        <x:v>IG-07; IG-09</x:v>
      </x:c>
      <x:c r="I31" s="56" t="str"/>
      <x:c r="J31" s="56" t="n">
        <x:v>0</x:v>
      </x:c>
      <x:c r="K31" s="56" t="str">
        <x:v>IG-07 Детальные продажи всех каналов | IG-09 Settlement и взаиморасчёты на уровне строк</x:v>
      </x:c>
      <x:c r="L31" s="56" t="str"/>
      <x:c r="M31" s="56" t="str">
        <x:v>Close blocking gaps; approve primary keys; run field-level lineage test; attach evidence; owner sign-off</x:v>
      </x:c>
    </x:row>
    <x:row r="32">
      <x:c r="A32" s="56" t="str">
        <x:v>AN-28</x:v>
      </x:c>
      <x:c r="B32" s="56" t="str">
        <x:v>Cash conversion cycle</x:v>
      </x:c>
      <x:c r="C32" s="56" t="str">
        <x:v>Невозможно завершить</x:v>
      </x:c>
      <x:c r="D32" s="56" t="str">
        <x:v>Заблокировано</x:v>
      </x:c>
      <x:c r="E32" s="56" t="str">
        <x:v>Cash and partial sales</x:v>
      </x:c>
      <x:c r="F32" s="56" t="str">
        <x:v>—</x:v>
      </x:c>
      <x:c r="G32" s="56" t="str">
        <x:v>Нет inventory, AR/AP, procurement timing</x:v>
      </x:c>
      <x:c r="H32" s="56" t="str">
        <x:v>IG-02; IG-05; IG-08; IG-14</x:v>
      </x:c>
      <x:c r="I32" s="56" t="str"/>
      <x:c r="J32" s="56" t="n">
        <x:v>0</x:v>
      </x:c>
      <x:c r="K32" s="56" t="str">
        <x:v>IG-02 Остатки и движение готовой продукции | IG-05 История движения материалов и партии | IG-08 Полный procurement cycle | IG-14 Дебиторская и кредиторская задолженность</x:v>
      </x:c>
      <x:c r="L32" s="56" t="str"/>
      <x:c r="M32" s="56" t="str">
        <x:v>Close blocking gaps; approve primary keys; run field-level lineage test; attach evidence; owner sign-off</x:v>
      </x:c>
    </x:row>
    <x:row r="33">
      <x:c r="A33" s="56" t="str">
        <x:v>AN-29</x:v>
      </x:c>
      <x:c r="B33" s="56" t="str">
        <x:v>Качество данных и формул</x:v>
      </x:c>
      <x:c r="C33" s="56" t="str">
        <x:v>Готово</x:v>
      </x:c>
      <x:c r="D33" s="56" t="str">
        <x:v>Готово</x:v>
      </x:c>
      <x:c r="E33" s="56" t="str">
        <x:v>557 errors, duplicate, external links</x:v>
      </x:c>
      <x:c r="F33" s="56" t="str">
        <x:v>Переданные files</x:v>
      </x:c>
      <x:c r="G33" s="56" t="str">
        <x:v>Ошибки ещё не исправлены в source systems</x:v>
      </x:c>
      <x:c r="H33" s="56" t="str">
        <x:v>IG-23; IG-24</x:v>
      </x:c>
      <x:c r="I33" s="56" t="str"/>
      <x:c r="J33" s="56" t="n">
        <x:v>0</x:v>
      </x:c>
      <x:c r="K33" s="56" t="str">
        <x:v>IG-23 Версионный реестр документов и master data | IG-24 Корпоративный словарь данных и data contracts</x:v>
      </x:c>
      <x:c r="L33" s="56" t="str"/>
      <x:c r="M33" s="56" t="str">
        <x:v>Close blocking gaps; approve primary keys; run field-level lineage test; attach evidence; owner sign-off</x:v>
      </x:c>
    </x:row>
    <x:row r="34">
      <x:c r="A34" s="56" t="str">
        <x:v>AN-30</x:v>
      </x:c>
      <x:c r="B34" s="56" t="str">
        <x:v>Зрелость процессов/управления</x:v>
      </x:c>
      <x:c r="C34" s="56" t="str">
        <x:v>Готово с оговоркой</x:v>
      </x:c>
      <x:c r="D34" s="56" t="str">
        <x:v>Готово</x:v>
      </x:c>
      <x:c r="E34" s="56" t="str">
        <x:v>35 evidence observations; maturity 1.7/5</x:v>
      </x:c>
      <x:c r="F34" s="56" t="str">
        <x:v>Документированный периметр</x:v>
      </x:c>
      <x:c r="G34" s="56" t="str">
        <x:v>Нужны interviews and system walkthroughs</x:v>
      </x:c>
      <x:c r="H34" s="56" t="str">
        <x:v>IG-22; IG-23</x:v>
      </x:c>
      <x:c r="I34" s="56" t="str"/>
      <x:c r="J34" s="56" t="n">
        <x:v>0</x:v>
      </x:c>
      <x:c r="K34" s="56" t="str">
        <x:v>IG-22 RACI, лимиты и владельцы источников истины | IG-23 Версионный реестр документов и master data</x:v>
      </x:c>
      <x:c r="L34" s="56" t="str"/>
      <x:c r="M34" s="56" t="str">
        <x:v>Close blocking gaps; approve primary keys; run field-level lineage test; attach evidence; owner sign-off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8" hidden="0" customWidth="1"/>
    <x:col min="3" max="3" width="12" hidden="0" customWidth="1"/>
  </x:cols>
  <x:sheetData>
    <x:row r="1" ht="30" customHeight="1">
      <x:c r="A1" s="5" t="str">
        <x:v>FULL DETAIL REGISTRY INDEX</x:v>
      </x:c>
      <x:c r="B1" s="5"/>
      <x:c r="C1" s="5"/>
    </x:row>
    <x:row r="2" ht="28" customHeight="1">
      <x:c r="A2" s="14" t="str">
        <x:v>Detailed CSVs are the authoritative full-grain appendices for Stage 21.</x:v>
      </x:c>
      <x:c r="B2" s="14"/>
      <x:c r="C2" s="14"/>
    </x:row>
    <x:row r="4" ht="32" customHeight="1">
      <x:c r="A4" s="49" t="str">
        <x:v>register</x:v>
      </x:c>
      <x:c r="B4" s="49" t="str">
        <x:v>purpose</x:v>
      </x:c>
      <x:c r="C4" s="49" t="str">
        <x:v>rows</x:v>
      </x:c>
    </x:row>
    <x:row r="5">
      <x:c r="A5" s="56" t="str">
        <x:v>01_Field_dictionary_3093.csv</x:v>
      </x:c>
      <x:c r="B5" s="56" t="str">
        <x:v>Full field dictionary</x:v>
      </x:c>
      <x:c r="C5" s="56" t="n">
        <x:v>3093</x:v>
      </x:c>
    </x:row>
    <x:row r="6">
      <x:c r="A6" s="56" t="str">
        <x:v>02_Key_candidates_491.csv</x:v>
      </x:c>
      <x:c r="B6" s="56" t="str">
        <x:v>All key candidates</x:v>
      </x:c>
      <x:c r="C6" s="56" t="n">
        <x:v>491</x:v>
      </x:c>
    </x:row>
    <x:row r="7">
      <x:c r="A7" s="56" t="str">
        <x:v>03_Link_configuration_199.csv</x:v>
      </x:c>
      <x:c r="B7" s="56" t="str">
        <x:v>All file links with candidates/retest</x:v>
      </x:c>
      <x:c r="C7" s="56" t="n">
        <x:v>199</x:v>
      </x:c>
    </x:row>
    <x:row r="8">
      <x:c r="A8" s="56" t="str">
        <x:v>04_Field_lineage.csv</x:v>
      </x:c>
      <x:c r="B8" s="56" t="str">
        <x:v>Field-level lineage</x:v>
      </x:c>
      <x:c r="C8" s="56" t="n">
        <x:v>644</x:v>
      </x:c>
    </x:row>
    <x:row r="9">
      <x:c r="A9" s="56" t="str">
        <x:v>05_Formula_errors_557.csv</x:v>
      </x:c>
      <x:c r="B9" s="56" t="str">
        <x:v>Cell-level formula defects</x:v>
      </x:c>
      <x:c r="C9" s="56" t="n">
        <x:v>557</x:v>
      </x:c>
    </x:row>
    <x:row r="10">
      <x:c r="A10" s="56" t="str">
        <x:v>06_External_links.csv</x:v>
      </x:c>
      <x:c r="B10" s="56" t="str">
        <x:v>External dependencies</x:v>
      </x:c>
      <x:c r="C10" s="56" t="n">
        <x:v>9</x:v>
      </x:c>
    </x:row>
    <x:row r="11">
      <x:c r="A11" s="56" t="str">
        <x:v>07_Hidden_sheets.csv</x:v>
      </x:c>
      <x:c r="B11" s="56" t="str">
        <x:v>Hidden sheets</x:v>
      </x:c>
      <x:c r="C11" s="56" t="n">
        <x:v>1</x:v>
      </x:c>
    </x:row>
    <x:row r="12">
      <x:c r="A12" s="56" t="str">
        <x:v>08_Duplicate_disposition.csv</x:v>
      </x:c>
      <x:c r="B12" s="56" t="str">
        <x:v>Exact duplicate disposition</x:v>
      </x:c>
      <x:c r="C12" s="56" t="n">
        <x:v>2</x:v>
      </x:c>
    </x:row>
    <x:row r="13">
      <x:c r="A13" s="56" t="str">
        <x:v>09_Source_remediation.csv</x:v>
      </x:c>
      <x:c r="B13" s="56" t="str">
        <x:v>Defect remediation</x:v>
      </x:c>
      <x:c r="C13" s="56" t="n">
        <x:v>15</x:v>
      </x:c>
    </x:row>
    <x:row r="14">
      <x:c r="A14" s="56" t="str">
        <x:v>10_Source_technical_status_93.csv</x:v>
      </x:c>
      <x:c r="B14" s="56" t="str">
        <x:v>Technical status of all sources</x:v>
      </x:c>
      <x:c r="C14" s="56" t="n">
        <x:v>93</x:v>
      </x:c>
    </x:row>
    <x:row r="15">
      <x:c r="A15" s="56" t="str">
        <x:v>11_Missing_data_24.csv</x:v>
      </x:c>
      <x:c r="B15" s="56" t="str">
        <x:v>Missing data with field evidence</x:v>
      </x:c>
      <x:c r="C15" s="56" t="n">
        <x:v>24</x:v>
      </x:c>
    </x:row>
    <x:row r="16">
      <x:c r="A16" s="56" t="str">
        <x:v>12_Analysis_readiness_30.csv</x:v>
      </x:c>
      <x:c r="B16" s="56" t="str">
        <x:v>Analysis readiness</x:v>
      </x:c>
      <x:c r="C16" s="56" t="n">
        <x:v>30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8" hidden="0" customWidth="1"/>
    <x:col min="4" max="4" width="68" hidden="0" customWidth="1"/>
    <x:col min="5" max="5" width="28" hidden="0" customWidth="1"/>
    <x:col min="6" max="6" width="34" hidden="0" customWidth="1"/>
    <x:col min="7" max="7" width="64" hidden="0" customWidth="1"/>
    <x:col min="8" max="8" width="24" hidden="0" customWidth="1"/>
  </x:cols>
  <x:sheetData>
    <x:row r="1" ht="30" customHeight="1">
      <x:c r="A1" s="5" t="str">
        <x:v>EXECUTION PLAN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4" t="str">
        <x:v>From patch specs to approved versions and retested links.</x:v>
      </x:c>
      <x:c r="B2" s="14"/>
      <x:c r="C2" s="14"/>
      <x:c r="D2" s="14"/>
      <x:c r="E2" s="14"/>
      <x:c r="F2" s="14"/>
      <x:c r="G2" s="14"/>
      <x:c r="H2" s="14"/>
    </x:row>
    <x:row r="4" ht="32" customHeight="1">
      <x:c r="A4" s="49" t="str">
        <x:v>task_id</x:v>
      </x:c>
      <x:c r="B4" s="49" t="str">
        <x:v>priority</x:v>
      </x:c>
      <x:c r="C4" s="49" t="str">
        <x:v>task</x:v>
      </x:c>
      <x:c r="D4" s="49" t="str">
        <x:v>deliverable</x:v>
      </x:c>
      <x:c r="E4" s="49" t="str">
        <x:v>owner_role</x:v>
      </x:c>
      <x:c r="F4" s="49" t="str">
        <x:v>dependency</x:v>
      </x:c>
      <x:c r="G4" s="49" t="str">
        <x:v>stop_gate</x:v>
      </x:c>
      <x:c r="H4" s="49" t="str">
        <x:v>status</x:v>
      </x:c>
    </x:row>
    <x:row r="5">
      <x:c r="A5" s="56" t="str">
        <x:v>T21-01</x:v>
      </x:c>
      <x:c r="B5" s="56" t="str">
        <x:v>Критический</x:v>
      </x:c>
      <x:c r="C5" s="56" t="str">
        <x:v>Approve source/field owners and evidence locations</x:v>
      </x:c>
      <x:c r="D5" s="56" t="str">
        <x:v>Owner/approver names in source, field, key and link registers</x:v>
      </x:c>
      <x:c r="E5" s="56" t="str">
        <x:v>Руководство / Data Governance</x:v>
      </x:c>
      <x:c r="F5" s="56" t="str">
        <x:v>None</x:v>
      </x:c>
      <x:c r="G5" s="56" t="str">
        <x:v>No source/key/link becomes Approved without named owner</x:v>
      </x:c>
      <x:c r="H5" s="56" t="str">
        <x:v>Prepared</x:v>
      </x:c>
    </x:row>
    <x:row r="6">
      <x:c r="A6" s="56" t="str">
        <x:v>T21-02</x:v>
      </x:c>
      <x:c r="B6" s="56" t="str">
        <x:v>Критический</x:v>
      </x:c>
      <x:c r="C6" s="56" t="str">
        <x:v>Reconstruct 14 #REF formulas in Jan/Feb 2026 payroll</x:v>
      </x:c>
      <x:c r="D6" s="56" t="str">
        <x:v>Approved new workbook versions + control totals + bank/DDC retest</x:v>
      </x:c>
      <x:c r="E6" s="56" t="str">
        <x:v>HR / Финансы</x:v>
      </x:c>
      <x:c r="F6" s="56" t="str">
        <x:v>Payroll owner and source logic</x:v>
      </x:c>
      <x:c r="G6" s="56" t="str">
        <x:v>No automatic guess of deleted references</x:v>
      </x:c>
      <x:c r="H6" s="56" t="str">
        <x:v>Prepared patch register</x:v>
      </x:c>
    </x:row>
    <x:row r="7">
      <x:c r="A7" s="56" t="str">
        <x:v>T21-03</x:v>
      </x:c>
      <x:c r="B7" s="56" t="str">
        <x:v>Высокий</x:v>
      </x:c>
      <x:c r="C7" s="56" t="str">
        <x:v>Resolve 543 #DIV/0 error cells by root-cause class</x:v>
      </x:c>
      <x:c r="D7" s="56" t="str">
        <x:v>Approved denominator/data corrections or controlled blanks in new versions</x:v>
      </x:c>
      <x:c r="E7" s="56" t="str">
        <x:v>Коммерция / Производство / Финансы</x:v>
      </x:c>
      <x:c r="F7" s="56" t="str">
        <x:v>Business meaning of zero denominator</x:v>
      </x:c>
      <x:c r="G7" s="56" t="str">
        <x:v>Do not hide errors in original source with blanket IFERROR</x:v>
      </x:c>
      <x:c r="H7" s="56" t="str">
        <x:v>Prepared patch register</x:v>
      </x:c>
    </x:row>
    <x:row r="8">
      <x:c r="A8" s="56" t="str">
        <x:v>T21-04</x:v>
      </x:c>
      <x:c r="B8" s="56" t="str">
        <x:v>Высокий</x:v>
      </x:c>
      <x:c r="C8" s="56" t="str">
        <x:v>Replace external workbook/local path dependencies</x:v>
      </x:c>
      <x:c r="D8" s="56" t="str">
        <x:v>Registered source_file_id/version_id dependencies or frozen approved values</x:v>
      </x:c>
      <x:c r="E8" s="56" t="str">
        <x:v>Финансы / Продукт</x:v>
      </x:c>
      <x:c r="F8" s="56" t="str">
        <x:v>Locate external source files</x:v>
      </x:c>
      <x:c r="G8" s="56" t="str">
        <x:v>No local path in production source</x:v>
      </x:c>
      <x:c r="H8" s="56" t="str">
        <x:v>Prepared</x:v>
      </x:c>
    </x:row>
    <x:row r="9">
      <x:c r="A9" s="56" t="str">
        <x:v>T21-05</x:v>
      </x:c>
      <x:c r="B9" s="56" t="str">
        <x:v>Высокий</x:v>
      </x:c>
      <x:c r="C9" s="56" t="str">
        <x:v>Classify hidden sheet in SALES 2024-2026</x:v>
      </x:c>
      <x:c r="D9" s="56" t="str">
        <x:v>Documented purpose, owner, inclusion rule and totals retest</x:v>
      </x:c>
      <x:c r="E9" s="56" t="str">
        <x:v>Финансы</x:v>
      </x:c>
      <x:c r="F9" s="56" t="str">
        <x:v>Owner explanation</x:v>
      </x:c>
      <x:c r="G9" s="56" t="str">
        <x:v>Hidden logic cannot drive published result without documentation</x:v>
      </x:c>
      <x:c r="H9" s="56" t="str">
        <x:v>Prepared</x:v>
      </x:c>
    </x:row>
    <x:row r="10">
      <x:c r="A10" s="56" t="str">
        <x:v>T21-06</x:v>
      </x:c>
      <x:c r="B10" s="56" t="str">
        <x:v>Критический</x:v>
      </x:c>
      <x:c r="C10" s="56" t="str">
        <x:v>Approve 491 key candidates and reject non-unique keys</x:v>
      </x:c>
      <x:c r="D10" s="56" t="str">
        <x:v>Canonical key decision + duplicate/null tests</x:v>
      </x:c>
      <x:c r="E10" s="56" t="str">
        <x:v>Data owners</x:v>
      </x:c>
      <x:c r="F10" s="56" t="str">
        <x:v>Owners + entity definitions</x:v>
      </x:c>
      <x:c r="G10" s="56" t="str">
        <x:v>Production join requires stable unique key</x:v>
      </x:c>
      <x:c r="H10" s="56" t="str">
        <x:v>Prepared</x:v>
      </x:c>
    </x:row>
    <x:row r="11">
      <x:c r="A11" s="56" t="str">
        <x:v>T21-07</x:v>
      </x:c>
      <x:c r="B11" s="56" t="str">
        <x:v>Критический</x:v>
      </x:c>
      <x:c r="C11" s="56" t="str">
        <x:v>Execute field-level tests for 199 links</x:v>
      </x:c>
      <x:c r="D11" s="56" t="str">
        <x:v>Orphan, duplicate, cardinality and total reconciliation evidence</x:v>
      </x:c>
      <x:c r="E11" s="56" t="str">
        <x:v>Analytics / IT / Business owners</x:v>
      </x:c>
      <x:c r="F11" s="56" t="str">
        <x:v>Primary IDs or approved current grain</x:v>
      </x:c>
      <x:c r="G11" s="56" t="str">
        <x:v>No fuzzy amount/text join in production</x:v>
      </x:c>
      <x:c r="H11" s="56" t="str">
        <x:v>Prepared</x:v>
      </x:c>
    </x:row>
    <x:row r="12">
      <x:c r="A12" s="56" t="str">
        <x:v>T21-08</x:v>
      </x:c>
      <x:c r="B12" s="56" t="str">
        <x:v>Критический</x:v>
      </x:c>
      <x:c r="C12" s="56" t="str">
        <x:v>Close 24 missing-data gaps or formally confirm data not maintained</x:v>
      </x:c>
      <x:c r="D12" s="56" t="str">
        <x:v>Register/extract or signed absence statement with analysis consequence</x:v>
      </x:c>
      <x:c r="E12" s="56" t="str">
        <x:v>Process owners</x:v>
      </x:c>
      <x:c r="F12" s="56" t="str">
        <x:v>System inventory</x:v>
      </x:c>
      <x:c r="G12" s="56" t="str">
        <x:v>No proxy replaces missing source of truth</x:v>
      </x:c>
      <x:c r="H12" s="56" t="str">
        <x:v>Prepared</x:v>
      </x:c>
    </x:row>
    <x:row r="13">
      <x:c r="A13" s="56" t="str">
        <x:v>T21-09</x:v>
      </x:c>
      <x:c r="B13" s="56" t="str">
        <x:v>Высокий</x:v>
      </x:c>
      <x:c r="C13" s="56" t="str">
        <x:v>Re-test links touching defective sources</x:v>
      </x:c>
      <x:c r="D13" s="56" t="str">
        <x:v>Before/after checksums, link tests and evidence</x:v>
      </x:c>
      <x:c r="E13" s="56" t="str">
        <x:v>Analytics / source owners</x:v>
      </x:c>
      <x:c r="F13" s="56" t="str">
        <x:v>T21-02..05</x:v>
      </x:c>
      <x:c r="G13" s="56" t="str">
        <x:v>Technical cleanup alone does not upgrade evidence status</x:v>
      </x:c>
      <x:c r="H13" s="56" t="str">
        <x:v>Prepared</x:v>
      </x:c>
    </x:row>
    <x:row r="14">
      <x:c r="A14" s="56" t="str">
        <x:v>T21-10</x:v>
      </x:c>
      <x:c r="B14" s="56" t="str">
        <x:v>Средний</x:v>
      </x:c>
      <x:c r="C14" s="56" t="str">
        <x:v>Publish controlled field dictionary and mapping version</x:v>
      </x:c>
      <x:c r="D14" s="56" t="str">
        <x:v>Approved field dictionary with effective dates and change log</x:v>
      </x:c>
      <x:c r="E14" s="56" t="str">
        <x:v>Data Governance</x:v>
      </x:c>
      <x:c r="F14" s="56" t="str">
        <x:v>T21-01,T21-06</x:v>
      </x:c>
      <x:c r="G14" s="56" t="str">
        <x:v>Closed mapping is immutable; change creates new version</x:v>
      </x:c>
      <x:c r="H14" s="56" t="str">
        <x:v>Prepared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4" hidden="0" customWidth="1"/>
    <x:col min="4" max="4" width="34" hidden="0" customWidth="1"/>
    <x:col min="5" max="5" width="68" hidden="0" customWidth="1"/>
    <x:col min="6" max="6" width="58" hidden="0" customWidth="1"/>
  </x:cols>
  <x:sheetData>
    <x:row r="1" ht="30" customHeight="1">
      <x:c r="A1" s="5" t="str">
        <x:v>OPERATING ALGORITHM</x:v>
      </x:c>
      <x:c r="B1" s="5"/>
      <x:c r="C1" s="5"/>
      <x:c r="D1" s="5"/>
      <x:c r="E1" s="5"/>
      <x:c r="F1" s="5"/>
    </x:row>
    <x:row r="2" ht="28" customHeight="1">
      <x:c r="A2" s="14" t="str">
        <x:v>Every file includes missing-data analysis, field/link evidence and stop-gates.</x:v>
      </x:c>
      <x:c r="B2" s="14"/>
      <x:c r="C2" s="14"/>
      <x:c r="D2" s="14"/>
      <x:c r="E2" s="14"/>
      <x:c r="F2" s="14"/>
    </x:row>
    <x:row r="4" ht="32" customHeight="1">
      <x:c r="A4" s="49" t="str">
        <x:v>step</x:v>
      </x:c>
      <x:c r="B4" s="49" t="str">
        <x:v>stage</x:v>
      </x:c>
      <x:c r="C4" s="49" t="str">
        <x:v>action</x:v>
      </x:c>
      <x:c r="D4" s="49" t="str">
        <x:v>output</x:v>
      </x:c>
      <x:c r="E4" s="49" t="str">
        <x:v>control</x:v>
      </x:c>
      <x:c r="F4" s="49" t="str">
        <x:v>stop_gate</x:v>
      </x:c>
    </x:row>
    <x:row r="5">
      <x:c r="A5" s="56" t="n">
        <x:v>1</x:v>
      </x:c>
      <x:c r="B5" s="56" t="str">
        <x:v>Register source</x:v>
      </x:c>
      <x:c r="C5" s="56" t="str">
        <x:v>Assign source_file_id, version_id, family_id, checksum, period, entity scope and owner</x:v>
      </x:c>
      <x:c r="D5" s="56" t="str">
        <x:v>Controlled source registry</x:v>
      </x:c>
      <x:c r="E5" s="56" t="str">
        <x:v>Checksum uniqueness and duplicate scan</x:v>
      </x:c>
      <x:c r="F5" s="56" t="str">
        <x:v>Unknown source/version</x:v>
      </x:c>
    </x:row>
    <x:row r="6">
      <x:c r="A6" s="56" t="n">
        <x:v>2</x:v>
      </x:c>
      <x:c r="B6" s="56" t="str">
        <x:v>Inventory fields</x:v>
      </x:c>
      <x:c r="C6" s="56" t="str">
        <x:v>Detect sheets, headers, fields, types, completeness, uniqueness, formulas, errors and sensitivity</x:v>
      </x:c>
      <x:c r="D6" s="56" t="str">
        <x:v>Field dictionary</x:v>
      </x:c>
      <x:c r="E6" s="56" t="str">
        <x:v>Header confidence and sample validation</x:v>
      </x:c>
      <x:c r="F6" s="56" t="str">
        <x:v>Unclassified critical field</x:v>
      </x:c>
    </x:row>
    <x:row r="7">
      <x:c r="A7" s="56" t="n">
        <x:v>3</x:v>
      </x:c>
      <x:c r="B7" s="56" t="str">
        <x:v>Map to entity</x:v>
      </x:c>
      <x:c r="C7" s="56" t="str">
        <x:v>Assign business entity, target register, target field and owner</x:v>
      </x:c>
      <x:c r="D7" s="56" t="str">
        <x:v>Draft mapping</x:v>
      </x:c>
      <x:c r="E7" s="56" t="str">
        <x:v>Entity definition and target key present</x:v>
      </x:c>
      <x:c r="F7" s="56" t="str">
        <x:v>No business definition</x:v>
      </x:c>
    </x:row>
    <x:row r="8">
      <x:c r="A8" s="56" t="n">
        <x:v>4</x:v>
      </x:c>
      <x:c r="B8" s="56" t="str">
        <x:v>Classify key</x:v>
      </x:c>
      <x:c r="C8" s="56" t="str">
        <x:v>Run null/duplicate/stability tests and propose canonical key</x:v>
      </x:c>
      <x:c r="D8" s="56" t="str">
        <x:v>Key candidate register</x:v>
      </x:c>
      <x:c r="E8" s="56" t="str">
        <x:v>Uniqueness/cardinality</x:v>
      </x:c>
      <x:c r="F8" s="56" t="str">
        <x:v>Non-unique key used as PK</x:v>
      </x:c>
    </x:row>
    <x:row r="9">
      <x:c r="A9" s="56" t="n">
        <x:v>5</x:v>
      </x:c>
      <x:c r="B9" s="56" t="str">
        <x:v>Profile technical defects</x:v>
      </x:c>
      <x:c r="C9" s="56" t="str">
        <x:v>List formula errors, external dependencies, hidden sheets, duplicates and impacted links</x:v>
      </x:c>
      <x:c r="D9" s="56" t="str">
        <x:v>Source remediation register</x:v>
      </x:c>
      <x:c r="E9" s="56" t="str">
        <x:v>Error cell-level lineage</x:v>
      </x:c>
      <x:c r="F9" s="56" t="str">
        <x:v>Critical defect in published source</x:v>
      </x:c>
    </x:row>
    <x:row r="10">
      <x:c r="A10" s="56" t="n">
        <x:v>6</x:v>
      </x:c>
      <x:c r="B10" s="56" t="str">
        <x:v>Configure file link</x:v>
      </x:c>
      <x:c r="C10" s="56" t="str">
        <x:v>Record current join, target join, field candidates, grain, owner, test and stop-gate</x:v>
      </x:c>
      <x:c r="D10" s="56" t="str">
        <x:v>Link configuration</x:v>
      </x:c>
      <x:c r="E10" s="56" t="str">
        <x:v>Cardinality/orphan/duplicate tests</x:v>
      </x:c>
      <x:c r="F10" s="56" t="str">
        <x:v>Fuzzy join treated as primary ID</x:v>
      </x:c>
    </x:row>
    <x:row r="11">
      <x:c r="A11" s="56" t="n">
        <x:v>7</x:v>
      </x:c>
      <x:c r="B11" s="56" t="str">
        <x:v>Expand field lineage</x:v>
      </x:c>
      <x:c r="C11" s="56" t="str">
        <x:v>For every target key token locate candidate fields on both sides and transformation rule</x:v>
      </x:c>
      <x:c r="D11" s="56" t="str">
        <x:v>Field lineage edges</x:v>
      </x:c>
      <x:c r="E11" s="56" t="str">
        <x:v>Score + owner confirmation</x:v>
      </x:c>
      <x:c r="F11" s="56" t="str">
        <x:v>Missing field on either side</x:v>
      </x:c>
    </x:row>
    <x:row r="12">
      <x:c r="A12" s="56" t="n">
        <x:v>8</x:v>
      </x:c>
      <x:c r="B12" s="56" t="str">
        <x:v>Analyze missing data</x:v>
      </x:c>
      <x:c r="C12" s="56" t="str">
        <x:v>Distinguish isolated fields from controlled register and map each gap to blocked analyses</x:v>
      </x:c>
      <x:c r="D12" s="56" t="str">
        <x:v>Gap/impact matrix</x:v>
      </x:c>
      <x:c r="E12" s="56" t="str">
        <x:v>No proxy substitution</x:v>
      </x:c>
      <x:c r="F12" s="56" t="str">
        <x:v>Result claimed beyond evidence</x:v>
      </x:c>
    </x:row>
    <x:row r="13">
      <x:c r="A13" s="56" t="n">
        <x:v>9</x:v>
      </x:c>
      <x:c r="B13" s="56" t="str">
        <x:v>Prepare remediation</x:v>
      </x:c>
      <x:c r="C13" s="56" t="str">
        <x:v>Create cell-level patch specification; never alter original source</x:v>
      </x:c>
      <x:c r="D13" s="56" t="str">
        <x:v>Patch pack / new-version request</x:v>
      </x:c>
      <x:c r="E13" s="56" t="str">
        <x:v>Before/after formula and totals</x:v>
      </x:c>
      <x:c r="F13" s="56" t="str">
        <x:v>Ambiguous #REF auto-patched</x:v>
      </x:c>
    </x:row>
    <x:row r="14">
      <x:c r="A14" s="56" t="n">
        <x:v>10</x:v>
      </x:c>
      <x:c r="B14" s="56" t="str">
        <x:v>Execute new version</x:v>
      </x:c>
      <x:c r="C14" s="56" t="str">
        <x:v>Owner applies approved correction in copy/new source version and signs evidence</x:v>
      </x:c>
      <x:c r="D14" s="56" t="str">
        <x:v>New version_id</x:v>
      </x:c>
      <x:c r="E14" s="56" t="str">
        <x:v>Checksum and change log</x:v>
      </x:c>
      <x:c r="F14" s="56" t="str">
        <x:v>Original/Closed source overwritten</x:v>
      </x:c>
    </x:row>
    <x:row r="15">
      <x:c r="A15" s="56" t="n">
        <x:v>11</x:v>
      </x:c>
      <x:c r="B15" s="56" t="str">
        <x:v>Retest links</x:v>
      </x:c>
      <x:c r="C15" s="56" t="str">
        <x:v>Repeat source totals and all affected link tests; compare status and grain</x:v>
      </x:c>
      <x:c r="D15" s="56" t="str">
        <x:v>Retest evidence</x:v>
      </x:c>
      <x:c r="E15" s="56" t="str">
        <x:v>Regression and reconciliation</x:v>
      </x:c>
      <x:c r="F15" s="56" t="str">
        <x:v>Technical cleanup used to infer missing business key</x:v>
      </x:c>
    </x:row>
    <x:row r="16">
      <x:c r="A16" s="56" t="n">
        <x:v>12</x:v>
      </x:c>
      <x:c r="B16" s="56" t="str">
        <x:v>Approve/close</x:v>
      </x:c>
      <x:c r="C16" s="56" t="str">
        <x:v>Approver confirms field mapping, key, link and analysis limitations</x:v>
      </x:c>
      <x:c r="D16" s="56" t="str">
        <x:v>Approved/Closed snapshot</x:v>
      </x:c>
      <x:c r="E16" s="56" t="str">
        <x:v>Named owner, evidence, exception closure</x:v>
      </x:c>
      <x:c r="F16" s="56" t="str">
        <x:v>Open critical exception</x:v>
      </x:c>
    </x:row>
    <x:row r="17">
      <x:c r="A17" s="56" t="n">
        <x:v>13</x:v>
      </x:c>
      <x:c r="B17" s="56" t="str">
        <x:v>Operate monthly</x:v>
      </x:c>
      <x:c r="C17" s="56" t="str">
        <x:v>Load new version, validate, reconcile, publish exceptions and close period</x:v>
      </x:c>
      <x:c r="D17" s="56" t="str">
        <x:v>Repeatable monthly close</x:v>
      </x:c>
      <x:c r="E17" s="56" t="str">
        <x:v>D-5 to D+10 checklist</x:v>
      </x:c>
      <x:c r="F17" s="56" t="str">
        <x:v>Unreconciled critical difference</x:v>
      </x:c>
    </x:row>
    <x:row r="18">
      <x:c r="A18" s="56" t="n">
        <x:v>14</x:v>
      </x:c>
      <x:c r="B18" s="56" t="str">
        <x:v>Change management</x:v>
      </x:c>
      <x:c r="C18" s="56" t="str">
        <x:v>Any schema/key/formula change creates version and impact assessment</x:v>
      </x:c>
      <x:c r="D18" s="56" t="str">
        <x:v>Change record</x:v>
      </x:c>
      <x:c r="E18" s="56" t="str">
        <x:v>Downstream link inventory</x:v>
      </x:c>
      <x:c r="F18" s="56" t="str">
        <x:v>Silent schema drift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5" hidden="0" customWidth="1"/>
  </x:cols>
  <x:sheetData>
    <x:row r="1" ht="30" customHeight="1">
      <x:c r="A1" s="5" t="str">
        <x:v>METHODOLOGY</x:v>
      </x:c>
      <x:c r="B1" s="5"/>
    </x:row>
    <x:row r="2" ht="28" customHeight="1">
      <x:c r="A2" s="14" t="str">
        <x:v>Evidence and versioning rules.</x:v>
      </x:c>
      <x:c r="B2" s="14"/>
    </x:row>
    <x:row r="4" ht="32" customHeight="1">
      <x:c r="A4" s="49" t="str">
        <x:v>topic</x:v>
      </x:c>
      <x:c r="B4" s="49" t="str">
        <x:v>rule</x:v>
      </x:c>
    </x:row>
    <x:row r="5">
      <x:c r="A5" s="56" t="str">
        <x:v>Detail level</x:v>
      </x:c>
      <x:c r="B5" s="56" t="str">
        <x:v>Full field/key/link/formula registers are attached as CSV and visualized in Visio; Excel holds control summaries.</x:v>
      </x:c>
    </x:row>
    <x:row r="6">
      <x:c r="A6" s="56" t="str">
        <x:v>No overwrite</x:v>
      </x:c>
      <x:c r="B6" s="56" t="str">
        <x:v>Original sources are immutable; remediation creates new version_id and change evidence.</x:v>
      </x:c>
    </x:row>
    <x:row r="7">
      <x:c r="A7" s="56" t="str">
        <x:v>Evidence</x:v>
      </x:c>
      <x:c r="B7" s="56" t="str">
        <x:v>Technical cleanup never substitutes missing business registers or primary IDs.</x:v>
      </x:c>
    </x:row>
    <x:row r="8">
      <x:c r="A8" s="56" t="str">
        <x:v>Approval</x:v>
      </x:c>
      <x:c r="B8" s="56" t="str">
        <x:v>Mappings/keys/links remain Draft until named owner and approver sign-off.</x:v>
      </x:c>
    </x:row>
  </x:sheetData>
  <x:mergeCells>
    <x:mergeCell ref="A1:B1"/>
    <x:mergeCell ref="A2:B2"/>
  </x:mergeCells>
  <x:pageMargins left="0.7" right="0.7" top="0.75" bottom="0.75" header="0.3" footer="0.3"/>
</x:worksheet>
</file>