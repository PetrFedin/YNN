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8da0e6bf549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Сводка" sheetId="1" r:id="Rd0149993b5784d86"/>
    <x:sheet xmlns:r="http://schemas.openxmlformats.org/officeDocument/2006/relationships" name="01_Каталог_93_файлов" sheetId="2" r:id="R5eb4b67a5f46473a"/>
    <x:sheet xmlns:r="http://schemas.openxmlformats.org/officeDocument/2006/relationships" name="02_Сущности_и_регистры" sheetId="3" r:id="R14fba58a23bc4b01"/>
    <x:sheet xmlns:r="http://schemas.openxmlformats.org/officeDocument/2006/relationships" name="03_Все_связи" sheetId="4" r:id="R29b230e81ac647de"/>
    <x:sheet xmlns:r="http://schemas.openxmlformats.org/officeDocument/2006/relationships" name="04_Покрытие_связей" sheetId="5" r:id="Rf42f4aa06c1648e8"/>
    <x:sheet xmlns:r="http://schemas.openxmlformats.org/officeDocument/2006/relationships" name="05_Сквозная_цепочка" sheetId="6" r:id="Rad73bb9b541a4c23"/>
    <x:sheet xmlns:r="http://schemas.openxmlformats.org/officeDocument/2006/relationships" name="06_Правила_join" sheetId="7" r:id="R320a67953e364517"/>
    <x:sheet xmlns:r="http://schemas.openxmlformats.org/officeDocument/2006/relationships" name="07_Что_отсутствует" sheetId="8" r:id="R1ef07428963e41a6"/>
    <x:sheet xmlns:r="http://schemas.openxmlformats.org/officeDocument/2006/relationships" name="08_Матрица_влияния" sheetId="9" r:id="R314e3a9481a54636"/>
    <x:sheet xmlns:r="http://schemas.openxmlformats.org/officeDocument/2006/relationships" name="09_Готовность_анализов" sheetId="10" r:id="R134b45cd7a624928"/>
    <x:sheet xmlns:r="http://schemas.openxmlformats.org/officeDocument/2006/relationships" name="10_Data_contracts" sheetId="11" r:id="Ra359215891f443b1"/>
    <x:sheet xmlns:r="http://schemas.openxmlformats.org/officeDocument/2006/relationships" name="11_Контроли_stop_gates" sheetId="12" r:id="R3ee2efa2ea8c4c48"/>
    <x:sheet xmlns:r="http://schemas.openxmlformats.org/officeDocument/2006/relationships" name="12_Очередь_решений" sheetId="13" r:id="R9f2a36c9bfe244ec"/>
    <x:sheet xmlns:r="http://schemas.openxmlformats.org/officeDocument/2006/relationships" name="13_RACI" sheetId="14" r:id="R9d5b52cc92b14a14"/>
    <x:sheet xmlns:r="http://schemas.openxmlformats.org/officeDocument/2006/relationships" name="14_План_90_дней" sheetId="15" r:id="R8a564f6ff880462c"/>
    <x:sheet xmlns:r="http://schemas.openxmlformats.org/officeDocument/2006/relationships" name="15_Жизненный_цикл_файлов" sheetId="16" r:id="Ra156746e26bf45a6"/>
    <x:sheet xmlns:r="http://schemas.openxmlformats.org/officeDocument/2006/relationships" name="16_Алгоритм_ведения" sheetId="17" r:id="R3971b0f7a6f04274"/>
    <x:sheet xmlns:r="http://schemas.openxmlformats.org/officeDocument/2006/relationships" name="17_Методика" sheetId="18" r:id="R96ab5b61587641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%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9"/>
      <x:color rgb="FF203864"/>
      <x:name val="Carlito"/>
    </x:font>
    <x:font>
      <x:b/>
      <x:sz val="13"/>
      <x:color rgb="FF203864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1"/>
      <x:color rgb="FF7F0000"/>
      <x:name val="Carlito"/>
    </x:font>
    <x:font>
      <x:b/>
      <x:sz val="11"/>
      <x:color rgb="FF7F6000"/>
      <x:name val="Carlito"/>
    </x:font>
    <x:font>
      <x:b/>
      <x:sz val="8"/>
      <x:color rgb="FF203864"/>
      <x:name val="Carlito"/>
    </x:font>
    <x:font>
      <x:b/>
      <x:sz val="8"/>
      <x:color rgb="FFFFFFFF"/>
      <x:name val="Carlito"/>
    </x:font>
    <x:font>
      <x:sz val="8"/>
      <x:color rgb="FF22222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C00000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</x:fills>
  <x:borders count="4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2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3" fillId="4" borderId="1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4" xfId="0" applyNumberFormat="1" applyFont="1" applyFill="1" applyBorder="1" applyAlignment="1">
      <x:alignment horizontal="center" wrapText="1"/>
    </x:xf>
    <x:xf numFmtId="0" fontId="3" fillId="4" borderId="15" xfId="0" applyNumberFormat="1" applyFont="1" applyFill="1" applyBorder="1" applyAlignment="1">
      <x:alignment horizontal="center" wrapText="1"/>
    </x:xf>
    <x:xf numFmtId="0" fontId="3" fillId="4" borderId="16" xfId="0" applyNumberFormat="1" applyFont="1" applyFill="1" applyBorder="1" applyAlignment="1">
      <x:alignment horizontal="center" wrapText="1"/>
    </x:xf>
    <x:xf numFmtId="0" fontId="3" fillId="4" borderId="17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0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200" fontId="0" fillId="0" borderId="20" xfId="0" applyNumberFormat="1" applyFont="1" applyFill="1" applyBorder="1"/>
    <x:xf numFmtId="200" fontId="0" fillId="0" borderId="22" xfId="0" applyNumberFormat="1" applyFont="1" applyFill="1" applyBorder="1"/>
    <x:xf numFmtId="200" fontId="0" fillId="0" borderId="25" xfId="0" applyNumberFormat="1" applyFont="1" applyFill="1" applyBorder="1"/>
    <x:xf numFmtId="200" fontId="0" fillId="0" borderId="28" xfId="0" applyNumberFormat="1" applyFont="1" applyFill="1" applyBorder="1"/>
    <x:xf numFmtId="200" fontId="0" fillId="0" borderId="30" xfId="0" applyNumberFormat="1" applyFont="1" applyFill="1" applyBorder="1"/>
    <x:xf numFmtId="200" fontId="0" fillId="0" borderId="33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9" fillId="5" borderId="0" xfId="0" applyNumberFormat="1" applyFont="1" applyFill="1" applyBorder="1"/>
    <x:xf numFmtId="0" fontId="9" fillId="5" borderId="34" xfId="0" applyNumberFormat="1" applyFont="1" applyFill="1" applyBorder="1"/>
    <x:xf numFmtId="0" fontId="9" fillId="5" borderId="35" xfId="0" applyNumberFormat="1" applyFont="1" applyFill="1" applyBorder="1"/>
    <x:xf numFmtId="0" fontId="9" fillId="5" borderId="36" xfId="0" applyNumberFormat="1" applyFont="1" applyFill="1" applyBorder="1"/>
    <x:xf numFmtId="0" fontId="9" fillId="5" borderId="34" xfId="0" applyNumberFormat="1" applyFont="1" applyFill="1" applyBorder="1" applyAlignment="1">
      <x:alignment wrapText="1"/>
    </x:xf>
    <x:xf numFmtId="0" fontId="9" fillId="5" borderId="35" xfId="0" applyNumberFormat="1" applyFont="1" applyFill="1" applyBorder="1" applyAlignment="1">
      <x:alignment wrapText="1"/>
    </x:xf>
    <x:xf numFmtId="0" fontId="9" fillId="5" borderId="36" xfId="0" applyNumberFormat="1" applyFont="1" applyFill="1" applyBorder="1" applyAlignment="1">
      <x:alignment wrapText="1"/>
    </x:xf>
    <x:xf numFmtId="0" fontId="9" fillId="5" borderId="34" xfId="0" applyNumberFormat="1" applyFont="1" applyFill="1" applyBorder="1" applyAlignment="1">
      <x:alignment horizontal="center" wrapText="1"/>
    </x:xf>
    <x:xf numFmtId="0" fontId="9" fillId="5" borderId="35" xfId="0" applyNumberFormat="1" applyFont="1" applyFill="1" applyBorder="1" applyAlignment="1">
      <x:alignment horizontal="center" wrapText="1"/>
    </x:xf>
    <x:xf numFmtId="0" fontId="9" fillId="5" borderId="36" xfId="0" applyNumberFormat="1" applyFont="1" applyFill="1" applyBorder="1" applyAlignment="1">
      <x:alignment horizontal="center" wrapText="1"/>
    </x:xf>
    <x:xf numFmtId="0" fontId="9" fillId="5" borderId="34" xfId="0" applyNumberFormat="1" applyFont="1" applyFill="1" applyBorder="1" applyAlignment="1">
      <x:alignment horizontal="center" vertical="center" wrapText="1"/>
    </x:xf>
    <x:xf numFmtId="0" fontId="9" fillId="5" borderId="35" xfId="0" applyNumberFormat="1" applyFont="1" applyFill="1" applyBorder="1" applyAlignment="1">
      <x:alignment horizontal="center" vertical="center" wrapText="1"/>
    </x:xf>
    <x:xf numFmtId="0" fontId="9" fillId="5" borderId="36" xfId="0" applyNumberFormat="1" applyFont="1" applyFill="1" applyBorder="1" applyAlignment="1">
      <x:alignment horizontal="center" vertical="center" wrapText="1"/>
    </x:xf>
    <x:xf numFmtId="0" fontId="9" fillId="5" borderId="1" xfId="0" applyNumberFormat="1" applyFont="1" applyFill="1" applyBorder="1"/>
    <x:xf numFmtId="0" fontId="9" fillId="5" borderId="37" xfId="0" applyNumberFormat="1" applyFont="1" applyFill="1" applyBorder="1"/>
    <x:xf numFmtId="0" fontId="9" fillId="5" borderId="38" xfId="0" applyNumberFormat="1" applyFont="1" applyFill="1" applyBorder="1"/>
    <x:xf numFmtId="0" fontId="9" fillId="5" borderId="39" xfId="0" applyNumberFormat="1" applyFont="1" applyFill="1" applyBorder="1"/>
    <x:xf numFmtId="0" fontId="9" fillId="5" borderId="37" xfId="0" applyNumberFormat="1" applyFont="1" applyFill="1" applyBorder="1" applyAlignment="1">
      <x:alignment wrapText="1"/>
    </x:xf>
    <x:xf numFmtId="0" fontId="9" fillId="5" borderId="38" xfId="0" applyNumberFormat="1" applyFont="1" applyFill="1" applyBorder="1" applyAlignment="1">
      <x:alignment wrapText="1"/>
    </x:xf>
    <x:xf numFmtId="0" fontId="9" fillId="5" borderId="39" xfId="0" applyNumberFormat="1" applyFont="1" applyFill="1" applyBorder="1" applyAlignment="1">
      <x:alignment wrapText="1"/>
    </x:xf>
    <x:xf numFmtId="0" fontId="9" fillId="5" borderId="37" xfId="0" applyNumberFormat="1" applyFont="1" applyFill="1" applyBorder="1" applyAlignment="1">
      <x:alignment horizontal="center" wrapText="1"/>
    </x:xf>
    <x:xf numFmtId="0" fontId="9" fillId="5" borderId="38" xfId="0" applyNumberFormat="1" applyFont="1" applyFill="1" applyBorder="1" applyAlignment="1">
      <x:alignment horizontal="center" wrapText="1"/>
    </x:xf>
    <x:xf numFmtId="0" fontId="9" fillId="5" borderId="39" xfId="0" applyNumberFormat="1" applyFont="1" applyFill="1" applyBorder="1" applyAlignment="1">
      <x:alignment horizontal="center" wrapText="1"/>
    </x:xf>
    <x:xf numFmtId="0" fontId="9" fillId="5" borderId="37" xfId="0" applyNumberFormat="1" applyFont="1" applyFill="1" applyBorder="1" applyAlignment="1">
      <x:alignment horizontal="center" vertical="center" wrapText="1"/>
    </x:xf>
    <x:xf numFmtId="0" fontId="9" fillId="5" borderId="38" xfId="0" applyNumberFormat="1" applyFont="1" applyFill="1" applyBorder="1" applyAlignment="1">
      <x:alignment horizontal="center" vertical="center" wrapText="1"/>
    </x:xf>
    <x:xf numFmtId="0" fontId="9" fillId="5" borderId="39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18" xfId="0" applyNumberFormat="1" applyFont="1" applyFill="1" applyBorder="1"/>
    <x:xf numFmtId="0" fontId="10" fillId="0" borderId="19" xfId="0" applyNumberFormat="1" applyFont="1" applyFill="1" applyBorder="1"/>
    <x:xf numFmtId="0" fontId="10" fillId="0" borderId="20" xfId="0" applyNumberFormat="1" applyFont="1" applyFill="1" applyBorder="1"/>
    <x:xf numFmtId="0" fontId="10" fillId="0" borderId="21" xfId="0" applyNumberFormat="1" applyFont="1" applyFill="1" applyBorder="1"/>
    <x:xf numFmtId="0" fontId="10" fillId="0" borderId="22" xfId="0" applyNumberFormat="1" applyFont="1" applyFill="1" applyBorder="1"/>
    <x:xf numFmtId="0" fontId="10" fillId="0" borderId="23" xfId="0" applyNumberFormat="1" applyFont="1" applyFill="1" applyBorder="1"/>
    <x:xf numFmtId="0" fontId="10" fillId="0" borderId="24" xfId="0" applyNumberFormat="1" applyFont="1" applyFill="1" applyBorder="1"/>
    <x:xf numFmtId="0" fontId="10" fillId="0" borderId="25" xfId="0" applyNumberFormat="1" applyFont="1" applyFill="1" applyBorder="1"/>
    <x:xf numFmtId="0" fontId="10" fillId="0" borderId="18" xfId="0" applyNumberFormat="1" applyFont="1" applyFill="1" applyBorder="1" applyAlignment="1">
      <x:alignment wrapText="1"/>
    </x:xf>
    <x:xf numFmtId="0" fontId="10" fillId="0" borderId="19" xfId="0" applyNumberFormat="1" applyFont="1" applyFill="1" applyBorder="1" applyAlignment="1">
      <x:alignment wrapText="1"/>
    </x:xf>
    <x:xf numFmtId="0" fontId="10" fillId="0" borderId="20" xfId="0" applyNumberFormat="1" applyFont="1" applyFill="1" applyBorder="1" applyAlignment="1">
      <x:alignment wrapText="1"/>
    </x:xf>
    <x:xf numFmtId="0" fontId="10" fillId="0" borderId="21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10" fillId="0" borderId="22" xfId="0" applyNumberFormat="1" applyFont="1" applyFill="1" applyBorder="1" applyAlignment="1">
      <x:alignment wrapText="1"/>
    </x:xf>
    <x:xf numFmtId="0" fontId="10" fillId="0" borderId="23" xfId="0" applyNumberFormat="1" applyFont="1" applyFill="1" applyBorder="1" applyAlignment="1">
      <x:alignment wrapText="1"/>
    </x:xf>
    <x:xf numFmtId="0" fontId="10" fillId="0" borderId="24" xfId="0" applyNumberFormat="1" applyFont="1" applyFill="1" applyBorder="1" applyAlignment="1">
      <x:alignment wrapText="1"/>
    </x:xf>
    <x:xf numFmtId="0" fontId="10" fillId="0" borderId="25" xfId="0" applyNumberFormat="1" applyFont="1" applyFill="1" applyBorder="1" applyAlignment="1">
      <x:alignment wrapText="1"/>
    </x:xf>
    <x:xf numFmtId="0" fontId="10" fillId="0" borderId="18" xfId="0" applyNumberFormat="1" applyFont="1" applyFill="1" applyBorder="1" applyAlignment="1">
      <x:alignment vertical="top" wrapText="1"/>
    </x:xf>
    <x:xf numFmtId="0" fontId="10" fillId="0" borderId="19" xfId="0" applyNumberFormat="1" applyFont="1" applyFill="1" applyBorder="1" applyAlignment="1">
      <x:alignment vertical="top" wrapText="1"/>
    </x:xf>
    <x:xf numFmtId="0" fontId="10" fillId="0" borderId="20" xfId="0" applyNumberFormat="1" applyFont="1" applyFill="1" applyBorder="1" applyAlignment="1">
      <x:alignment vertical="top" wrapText="1"/>
    </x:xf>
    <x:xf numFmtId="0" fontId="10" fillId="0" borderId="2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22" xfId="0" applyNumberFormat="1" applyFont="1" applyFill="1" applyBorder="1" applyAlignment="1">
      <x:alignment vertical="top" wrapText="1"/>
    </x:xf>
    <x:xf numFmtId="0" fontId="10" fillId="0" borderId="23" xfId="0" applyNumberFormat="1" applyFont="1" applyFill="1" applyBorder="1" applyAlignment="1">
      <x:alignment vertical="top" wrapText="1"/>
    </x:xf>
    <x:xf numFmtId="0" fontId="10" fillId="0" borderId="24" xfId="0" applyNumberFormat="1" applyFont="1" applyFill="1" applyBorder="1" applyAlignment="1">
      <x:alignment vertical="top" wrapText="1"/>
    </x:xf>
    <x:xf numFmtId="0" fontId="10" fillId="0" borderId="25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/>
    <x:xf numFmtId="0" fontId="10" fillId="0" borderId="26" xfId="0" applyNumberFormat="1" applyFont="1" applyFill="1" applyBorder="1"/>
    <x:xf numFmtId="0" fontId="10" fillId="0" borderId="27" xfId="0" applyNumberFormat="1" applyFont="1" applyFill="1" applyBorder="1"/>
    <x:xf numFmtId="0" fontId="10" fillId="0" borderId="28" xfId="0" applyNumberFormat="1" applyFont="1" applyFill="1" applyBorder="1"/>
    <x:xf numFmtId="0" fontId="10" fillId="0" borderId="29" xfId="0" applyNumberFormat="1" applyFont="1" applyFill="1" applyBorder="1"/>
    <x:xf numFmtId="0" fontId="10" fillId="0" borderId="30" xfId="0" applyNumberFormat="1" applyFont="1" applyFill="1" applyBorder="1"/>
    <x:xf numFmtId="0" fontId="10" fillId="0" borderId="31" xfId="0" applyNumberFormat="1" applyFont="1" applyFill="1" applyBorder="1"/>
    <x:xf numFmtId="0" fontId="10" fillId="0" borderId="32" xfId="0" applyNumberFormat="1" applyFont="1" applyFill="1" applyBorder="1"/>
    <x:xf numFmtId="0" fontId="10" fillId="0" borderId="33" xfId="0" applyNumberFormat="1" applyFont="1" applyFill="1" applyBorder="1"/>
    <x:xf numFmtId="0" fontId="10" fillId="0" borderId="26" xfId="0" applyNumberFormat="1" applyFont="1" applyFill="1" applyBorder="1" applyAlignment="1">
      <x:alignment wrapText="1"/>
    </x:xf>
    <x:xf numFmtId="0" fontId="10" fillId="0" borderId="27" xfId="0" applyNumberFormat="1" applyFont="1" applyFill="1" applyBorder="1" applyAlignment="1">
      <x:alignment wrapText="1"/>
    </x:xf>
    <x:xf numFmtId="0" fontId="10" fillId="0" borderId="28" xfId="0" applyNumberFormat="1" applyFont="1" applyFill="1" applyBorder="1" applyAlignment="1">
      <x:alignment wrapText="1"/>
    </x:xf>
    <x:xf numFmtId="0" fontId="10" fillId="0" borderId="29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10" fillId="0" borderId="30" xfId="0" applyNumberFormat="1" applyFont="1" applyFill="1" applyBorder="1" applyAlignment="1">
      <x:alignment wrapText="1"/>
    </x:xf>
    <x:xf numFmtId="0" fontId="10" fillId="0" borderId="31" xfId="0" applyNumberFormat="1" applyFont="1" applyFill="1" applyBorder="1" applyAlignment="1">
      <x:alignment wrapText="1"/>
    </x:xf>
    <x:xf numFmtId="0" fontId="10" fillId="0" borderId="32" xfId="0" applyNumberFormat="1" applyFont="1" applyFill="1" applyBorder="1" applyAlignment="1">
      <x:alignment wrapText="1"/>
    </x:xf>
    <x:xf numFmtId="0" fontId="10" fillId="0" borderId="33" xfId="0" applyNumberFormat="1" applyFont="1" applyFill="1" applyBorder="1" applyAlignment="1">
      <x:alignment wrapText="1"/>
    </x:xf>
    <x:xf numFmtId="0" fontId="10" fillId="0" borderId="26" xfId="0" applyNumberFormat="1" applyFont="1" applyFill="1" applyBorder="1" applyAlignment="1">
      <x:alignment vertical="top" wrapText="1"/>
    </x:xf>
    <x:xf numFmtId="0" fontId="10" fillId="0" borderId="27" xfId="0" applyNumberFormat="1" applyFont="1" applyFill="1" applyBorder="1" applyAlignment="1">
      <x:alignment vertical="top" wrapText="1"/>
    </x:xf>
    <x:xf numFmtId="0" fontId="10" fillId="0" borderId="28" xfId="0" applyNumberFormat="1" applyFont="1" applyFill="1" applyBorder="1" applyAlignment="1">
      <x:alignment vertical="top" wrapText="1"/>
    </x:xf>
    <x:xf numFmtId="0" fontId="10" fillId="0" borderId="29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0" borderId="30" xfId="0" applyNumberFormat="1" applyFont="1" applyFill="1" applyBorder="1" applyAlignment="1">
      <x:alignment vertical="top" wrapText="1"/>
    </x:xf>
    <x:xf numFmtId="0" fontId="10" fillId="0" borderId="31" xfId="0" applyNumberFormat="1" applyFont="1" applyFill="1" applyBorder="1" applyAlignment="1">
      <x:alignment vertical="top" wrapText="1"/>
    </x:xf>
    <x:xf numFmtId="0" fontId="10" fillId="0" borderId="32" xfId="0" applyNumberFormat="1" applyFont="1" applyFill="1" applyBorder="1" applyAlignment="1">
      <x:alignment vertical="top" wrapText="1"/>
    </x:xf>
    <x:xf numFmtId="0" fontId="10" fillId="0" borderId="33" xfId="0" applyNumberFormat="1" applyFont="1" applyFill="1" applyBorder="1" applyAlignment="1">
      <x:alignment vertical="top" wrapText="1"/>
    </x:xf>
    <x:xf numFmtId="200" fontId="10" fillId="0" borderId="19" xfId="0" applyNumberFormat="1" applyFont="1" applyFill="1" applyBorder="1" applyAlignment="1">
      <x:alignment vertical="top" wrapText="1"/>
    </x:xf>
    <x:xf numFmtId="200" fontId="10" fillId="0" borderId="0" xfId="0" applyNumberFormat="1" applyFont="1" applyFill="1" applyBorder="1" applyAlignment="1">
      <x:alignment vertical="top" wrapText="1"/>
    </x:xf>
    <x:xf numFmtId="200" fontId="10" fillId="0" borderId="24" xfId="0" applyNumberFormat="1" applyFont="1" applyFill="1" applyBorder="1" applyAlignment="1">
      <x:alignment vertical="top" wrapText="1"/>
    </x:xf>
    <x:xf numFmtId="200" fontId="10" fillId="0" borderId="27" xfId="0" applyNumberFormat="1" applyFont="1" applyFill="1" applyBorder="1" applyAlignment="1">
      <x:alignment vertical="top" wrapText="1"/>
    </x:xf>
    <x:xf numFmtId="200" fontId="10" fillId="0" borderId="1" xfId="0" applyNumberFormat="1" applyFont="1" applyFill="1" applyBorder="1" applyAlignment="1">
      <x:alignment vertical="top" wrapText="1"/>
    </x:xf>
    <x:xf numFmtId="200" fontId="10" fillId="0" borderId="32" xfId="0" applyNumberFormat="1" applyFont="1" applyFill="1" applyBorder="1" applyAlignment="1">
      <x:alignment vertical="top" wrapText="1"/>
    </x:xf>
    <x:xf numFmtId="201" fontId="10" fillId="0" borderId="20" xfId="0" applyNumberFormat="1" applyFont="1" applyFill="1" applyBorder="1" applyAlignment="1">
      <x:alignment vertical="top" wrapText="1"/>
    </x:xf>
    <x:xf numFmtId="201" fontId="10" fillId="0" borderId="22" xfId="0" applyNumberFormat="1" applyFont="1" applyFill="1" applyBorder="1" applyAlignment="1">
      <x:alignment vertical="top" wrapText="1"/>
    </x:xf>
    <x:xf numFmtId="201" fontId="10" fillId="0" borderId="25" xfId="0" applyNumberFormat="1" applyFont="1" applyFill="1" applyBorder="1" applyAlignment="1">
      <x:alignment vertical="top" wrapText="1"/>
    </x:xf>
    <x:xf numFmtId="201" fontId="10" fillId="0" borderId="28" xfId="0" applyNumberFormat="1" applyFont="1" applyFill="1" applyBorder="1" applyAlignment="1">
      <x:alignment vertical="top" wrapText="1"/>
    </x:xf>
    <x:xf numFmtId="201" fontId="10" fillId="0" borderId="30" xfId="0" applyNumberFormat="1" applyFont="1" applyFill="1" applyBorder="1" applyAlignment="1">
      <x:alignment vertical="top" wrapText="1"/>
    </x:xf>
    <x:xf numFmtId="201" fontId="10" fillId="0" borderId="33" xfId="0" applyNumberFormat="1" applyFont="1" applyFill="1" applyBorder="1" applyAlignment="1">
      <x:alignment vertical="top" wrapText="1"/>
    </x:xf>
  </x:cellXfs>
  <x:cellStyles count="1">
    <x:cellStyle name="Normal" xfId="0"/>
  </x:cellStyles>
  <x:dxfs count="11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color rgb="FFBFBFBF"/>
      </x:font>
      <x:fill>
        <x:patternFill patternType="solid">
          <x:bgColor rgb="FFFFFFFF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82d2f6092443ca" /><Relationship Type="http://schemas.openxmlformats.org/officeDocument/2006/relationships/theme" Target="/xl/theme/theme1.xml" Id="R84901d66c8e5482b" /><Relationship Type="http://schemas.openxmlformats.org/officeDocument/2006/relationships/sharedStrings" Target="/xl/sharedStrings.xml" Id="R3f300bb0bb3642af" /><Relationship Type="http://schemas.openxmlformats.org/officeDocument/2006/relationships/worksheet" Target="/xl/worksheets/sheet1.xml" Id="Rd0149993b5784d86" /><Relationship Type="http://schemas.openxmlformats.org/officeDocument/2006/relationships/worksheet" Target="/xl/worksheets/sheet2.xml" Id="R5eb4b67a5f46473a" /><Relationship Type="http://schemas.openxmlformats.org/officeDocument/2006/relationships/worksheet" Target="/xl/worksheets/sheet3.xml" Id="R14fba58a23bc4b01" /><Relationship Type="http://schemas.openxmlformats.org/officeDocument/2006/relationships/worksheet" Target="/xl/worksheets/sheet4.xml" Id="R29b230e81ac647de" /><Relationship Type="http://schemas.openxmlformats.org/officeDocument/2006/relationships/worksheet" Target="/xl/worksheets/sheet5.xml" Id="Rf42f4aa06c1648e8" /><Relationship Type="http://schemas.openxmlformats.org/officeDocument/2006/relationships/worksheet" Target="/xl/worksheets/sheet6.xml" Id="Rad73bb9b541a4c23" /><Relationship Type="http://schemas.openxmlformats.org/officeDocument/2006/relationships/worksheet" Target="/xl/worksheets/sheet7.xml" Id="R320a67953e364517" /><Relationship Type="http://schemas.openxmlformats.org/officeDocument/2006/relationships/worksheet" Target="/xl/worksheets/sheet8.xml" Id="R1ef07428963e41a6" /><Relationship Type="http://schemas.openxmlformats.org/officeDocument/2006/relationships/worksheet" Target="/xl/worksheets/sheet9.xml" Id="R314e3a9481a54636" /><Relationship Type="http://schemas.openxmlformats.org/officeDocument/2006/relationships/worksheet" Target="/xl/worksheets/sheet10.xml" Id="R134b45cd7a624928" /><Relationship Type="http://schemas.openxmlformats.org/officeDocument/2006/relationships/worksheet" Target="/xl/worksheets/sheet11.xml" Id="Ra359215891f443b1" /><Relationship Type="http://schemas.openxmlformats.org/officeDocument/2006/relationships/worksheet" Target="/xl/worksheets/sheet12.xml" Id="R3ee2efa2ea8c4c48" /><Relationship Type="http://schemas.openxmlformats.org/officeDocument/2006/relationships/worksheet" Target="/xl/worksheets/sheet13.xml" Id="R9f2a36c9bfe244ec" /><Relationship Type="http://schemas.openxmlformats.org/officeDocument/2006/relationships/worksheet" Target="/xl/worksheets/sheet14.xml" Id="R9d5b52cc92b14a14" /><Relationship Type="http://schemas.openxmlformats.org/officeDocument/2006/relationships/worksheet" Target="/xl/worksheets/sheet15.xml" Id="R8a564f6ff880462c" /><Relationship Type="http://schemas.openxmlformats.org/officeDocument/2006/relationships/worksheet" Target="/xl/worksheets/sheet16.xml" Id="Ra156746e26bf45a6" /><Relationship Type="http://schemas.openxmlformats.org/officeDocument/2006/relationships/worksheet" Target="/xl/worksheets/sheet17.xml" Id="R3971b0f7a6f04274" /><Relationship Type="http://schemas.openxmlformats.org/officeDocument/2006/relationships/worksheet" Target="/xl/worksheets/sheet18.xml" Id="R96ab5b61587641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a2d90d84aa4b64" /><Relationship Type="http://schemas.openxmlformats.org/officeDocument/2006/relationships/chart" Target="/xl/drawings/charts/chart2.xml" Id="R0005fea8f55943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Статус связей между файлами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Количество</c:v>
          </c:tx>
          <c:cat>
            <c:strRef>
              <c:f>'00_Сводка'!$A$14:$A$16</c:f>
              <c:strCache>
                <c:ptCount val="0"/>
              </c:strCache>
            </c:strRef>
          </c:cat>
          <c:val>
            <c:numRef>
              <c:f>'00_Сводка'!$B$14:$B$16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Готовность заявленных анализов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Количество</c:v>
          </c:tx>
          <c:cat>
            <c:strRef>
              <c:f>'00_Сводка'!$E$14:$E$16</c:f>
              <c:strCache>
                <c:ptCount val="0"/>
              </c:strCache>
            </c:strRef>
          </c:cat>
          <c:val>
            <c:numRef>
              <c:f>'00_Сводка'!$F$14:$F$16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32</xdr:row>
      <xdr:rowOff>0</xdr:rowOff>
    </xdr:from>
    <xdr:to>
      <xdr:col>6</xdr:col>
      <xdr:colOff>0</xdr:colOff>
      <xdr:row>48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a2d90d84aa4b64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05fea8f559436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1d27059c90e471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8" customHeight="1">
      <x:c r="A1" s="5" t="str">
        <x:v>ЭТАП 18 — ЕДИНЫЙ ЦЕНТР ДАННЫХ, СВЯЗЕЙ И КОНТРОЛЕЙ YANINA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2" customHeight="1">
      <x:c r="A2" s="14" t="str">
        <x:v>Интеграция финансового, налогового, продуктового, производственного и управленческого контуров. Явно разделено: что есть, что частично, чего нет и какой анализ блокируется.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4">
      <x:c r="A4" s="48" t="str">
        <x:v>93
Файлов</x:v>
      </x:c>
      <x:c r="B4" s="49"/>
      <x:c r="C4" s="50"/>
      <x:c r="D4" s="48" t="str">
        <x:v>30
Сущностей/регистров</x:v>
      </x:c>
      <x:c r="E4" s="49"/>
      <x:c r="F4" s="50"/>
      <x:c r="G4" s="48" t="str">
        <x:v>199
Связей файл↔файл</x:v>
      </x:c>
      <x:c r="H4" s="49"/>
      <x:c r="I4" s="50"/>
      <x:c r="J4" s="48" t="str">
        <x:v>24
Пробелов</x:v>
      </x:c>
      <x:c r="K4" s="49"/>
      <x:c r="L4" s="50"/>
    </x:row>
    <x:row r="5">
      <x:c r="A5" s="51"/>
      <x:c r="B5" s="52"/>
      <x:c r="C5" s="53"/>
      <x:c r="D5" s="51"/>
      <x:c r="E5" s="52"/>
      <x:c r="F5" s="53"/>
      <x:c r="G5" s="51"/>
      <x:c r="H5" s="52"/>
      <x:c r="I5" s="53"/>
      <x:c r="J5" s="51"/>
      <x:c r="K5" s="52"/>
      <x:c r="L5" s="53"/>
    </x:row>
    <x:row r="6">
      <x:c r="A6" s="54"/>
      <x:c r="B6" s="55"/>
      <x:c r="C6" s="56"/>
      <x:c r="D6" s="54"/>
      <x:c r="E6" s="55"/>
      <x:c r="F6" s="56"/>
      <x:c r="G6" s="54"/>
      <x:c r="H6" s="55"/>
      <x:c r="I6" s="56"/>
      <x:c r="J6" s="54"/>
      <x:c r="K6" s="55"/>
      <x:c r="L6" s="56"/>
    </x:row>
    <x:row r="8">
      <x:c r="A8" s="48" t="str">
        <x:v>14
Критических пробелов</x:v>
      </x:c>
      <x:c r="B8" s="49"/>
      <x:c r="C8" s="50"/>
      <x:c r="D8" s="48" t="str">
        <x:v>30
Анализов</x:v>
      </x:c>
      <x:c r="E8" s="49"/>
      <x:c r="F8" s="50"/>
      <x:c r="G8" s="48" t="str">
        <x:v>1547
Решений</x:v>
      </x:c>
      <x:c r="H8" s="49"/>
      <x:c r="I8" s="50"/>
      <x:c r="J8" s="48" t="str">
        <x:v>37
Data contracts</x:v>
      </x:c>
      <x:c r="K8" s="49"/>
      <x:c r="L8" s="50"/>
    </x:row>
    <x:row r="9">
      <x:c r="A9" s="51"/>
      <x:c r="B9" s="52"/>
      <x:c r="C9" s="53"/>
      <x:c r="D9" s="51"/>
      <x:c r="E9" s="52"/>
      <x:c r="F9" s="53"/>
      <x:c r="G9" s="51"/>
      <x:c r="H9" s="52"/>
      <x:c r="I9" s="53"/>
      <x:c r="J9" s="51"/>
      <x:c r="K9" s="52"/>
      <x:c r="L9" s="53"/>
    </x:row>
    <x:row r="10">
      <x:c r="A10" s="54"/>
      <x:c r="B10" s="55"/>
      <x:c r="C10" s="56"/>
      <x:c r="D10" s="54"/>
      <x:c r="E10" s="55"/>
      <x:c r="F10" s="56"/>
      <x:c r="G10" s="54"/>
      <x:c r="H10" s="55"/>
      <x:c r="I10" s="56"/>
      <x:c r="J10" s="54"/>
      <x:c r="K10" s="55"/>
      <x:c r="L10" s="56"/>
    </x:row>
    <x:row r="13">
      <x:c r="A13" s="96" t="str">
        <x:v>Статус связей</x:v>
      </x:c>
      <x:c r="B13" s="96" t="str">
        <x:v>Количество</x:v>
      </x:c>
      <x:c r="C13" s="96" t="str">
        <x:v>Доля</x:v>
      </x:c>
      <x:c r="E13" s="96" t="str">
        <x:v>Готовность анализов</x:v>
      </x:c>
      <x:c r="F13" s="96" t="str">
        <x:v>Количество</x:v>
      </x:c>
      <x:c r="G13" s="96" t="str">
        <x:v>Доля</x:v>
      </x:c>
      <x:c r="I13" s="124" t="str">
        <x:v>Главный вывод</x:v>
      </x:c>
      <x:c r="J13" s="124" t="str"/>
      <x:c r="K13" s="124" t="str"/>
      <x:c r="L13" s="124" t="str"/>
    </x:row>
    <x:row r="14">
      <x:c r="A14" s="100" t="str">
        <x:v>Подтверждено</x:v>
      </x:c>
      <x:c r="B14" s="101" t="n">
        <x:v>50</x:v>
      </x:c>
      <x:c r="C14" s="117" t="n">
        <x:f>50/199</x:f>
        <x:v>0.25125628140703515</x:v>
      </x:c>
      <x:c r="E14" s="100" t="str">
        <x:v>Готово</x:v>
      </x:c>
      <x:c r="F14" s="101" t="n">
        <x:v>8</x:v>
      </x:c>
      <x:c r="G14" s="117" t="n">
        <x:f>8/30</x:f>
        <x:v>0.26666666666666666</x:v>
      </x:c>
      <x:c r="I14" s="129" t="str">
        <x:v>Доказательная база сильна по отдельным агрегатным контурам, но не образует единую цепочку transaction/order/SKU-level.</x:v>
      </x:c>
      <x:c r="J14" s="129" t="str"/>
      <x:c r="K14" s="129" t="str"/>
      <x:c r="L14" s="129" t="str"/>
    </x:row>
    <x:row r="15">
      <x:c r="A15" s="103" t="str">
        <x:v>Частично</x:v>
      </x:c>
      <x:c r="B15" s="104" t="n">
        <x:v>142</x:v>
      </x:c>
      <x:c r="C15" s="118" t="n">
        <x:f>142/199</x:f>
        <x:v>0.7135678391959799</x:v>
      </x:c>
      <x:c r="E15" s="103" t="str">
        <x:v>Частично</x:v>
      </x:c>
      <x:c r="F15" s="104" t="n">
        <x:v>9</x:v>
      </x:c>
      <x:c r="G15" s="118" t="n">
        <x:f>9/30</x:f>
        <x:v>0.3</x:v>
      </x:c>
      <x:c r="I15" s="135" t="str">
        <x:v>Критический разрыв</x:v>
      </x:c>
      <x:c r="J15" s="135" t="str"/>
      <x:c r="K15" s="135" t="str"/>
      <x:c r="L15" s="135" t="str"/>
    </x:row>
    <x:row r="16">
      <x:c r="A16" s="103" t="str">
        <x:v>Отсутствует/не доказано</x:v>
      </x:c>
      <x:c r="B16" s="104" t="n">
        <x:v>7</x:v>
      </x:c>
      <x:c r="C16" s="118" t="n">
        <x:f>7/199</x:f>
        <x:v>0.035175879396984924</x:v>
      </x:c>
      <x:c r="E16" s="103" t="str">
        <x:v>Заблокировано</x:v>
      </x:c>
      <x:c r="F16" s="104" t="n">
        <x:v>13</x:v>
      </x:c>
      <x:c r="G16" s="118" t="n">
        <x:f>13/30</x:f>
        <x:v>0.43333333333333335</x:v>
      </x:c>
      <x:c r="I16" s="141" t="str">
        <x:v>Нет единых canonical IDs и регистров inventory/WIP/AR/AP/ENS allocation. Поэтому cash можно частично подтвердить, а полную прибыль, Balance, CCC и end-to-end profitability — нет.</x:v>
      </x:c>
      <x:c r="J16" s="141" t="str"/>
      <x:c r="K16" s="141" t="str"/>
      <x:c r="L16" s="141" t="str"/>
    </x:row>
    <x:row r="17">
      <x:c r="A17" s="106" t="str">
        <x:v>Итого</x:v>
      </x:c>
      <x:c r="B17" s="107" t="n">
        <x:v>199</x:v>
      </x:c>
      <x:c r="C17" s="119" t="n">
        <x:f>SUM(C14:C16)</x:f>
        <x:v>1</x:v>
      </x:c>
      <x:c r="E17" s="106" t="str">
        <x:v>Итого</x:v>
      </x:c>
      <x:c r="F17" s="107" t="n">
        <x:v>30</x:v>
      </x:c>
      <x:c r="G17" s="119" t="n">
        <x:f>SUM(G14:G16)</x:f>
        <x:v>1</x:v>
      </x:c>
      <x:c r="I17" s="147" t="str">
        <x:v>Агрегатное совпадение не заменяет строковую трассировку. Отсутствие связи не заменяется предположением.</x:v>
      </x:c>
      <x:c r="J17" s="147" t="str">
        <x:v>Агрегатное совпадение не заменяет строковую трассировку. Отсутствие связи не заменяется предположением.</x:v>
      </x:c>
      <x:c r="K17" s="147" t="str">
        <x:v>Агрегатное совпадение не заменяет строковую трассировку. Отсутствие связи не заменяется предположением.</x:v>
      </x:c>
      <x:c r="L17" s="147" t="str">
        <x:v>Агрегатное совпадение не заменяет строковую трассировку. Отсутствие связи не заменяется предположением.</x:v>
      </x:c>
    </x:row>
    <x:row r="20">
      <x:c r="A20" s="124" t="str">
        <x:v>ПЕРВЫЕ 10 ДЕЙСТВИЙ</x:v>
      </x:c>
      <x:c r="B20" s="124"/>
      <x:c r="C20" s="124"/>
      <x:c r="D20" s="124"/>
      <x:c r="E20" s="124"/>
      <x:c r="F20" s="124"/>
      <x:c r="G20" s="124"/>
      <x:c r="H20" s="124"/>
      <x:c r="I20" s="124"/>
      <x:c r="J20" s="124"/>
      <x:c r="K20" s="124"/>
      <x:c r="L20" s="124"/>
    </x:row>
    <x:row r="21" ht="28" customHeight="1">
      <x:c r="A21" s="152" t="str">
        <x:v>1. 0–10 дней — Зафиксировать периметр и владельцев → Подписанный список юрлиц, счетов, систем, складов, каналов; RACI | Owner: Руководство + финансы | Закрывает: IG-11; IG-22</x:v>
      </x:c>
      <x:c r="B21" s="152"/>
      <x:c r="C21" s="152"/>
      <x:c r="D21" s="152"/>
      <x:c r="E21" s="152"/>
      <x:c r="F21" s="152"/>
      <x:c r="G21" s="152"/>
      <x:c r="H21" s="152"/>
      <x:c r="I21" s="152"/>
      <x:c r="J21" s="152"/>
      <x:c r="K21" s="152"/>
      <x:c r="L21" s="152"/>
    </x:row>
    <x:row r="22" ht="28" customHeight="1">
      <x:c r="A22" s="156" t="str">
        <x:v>2. 0–15 дней — Утвердить canonical IDs и data contracts → canonical_sku, model_id, material_id, production_order_id, source_file_id | Owner: Data steward + owners | Закрывает: IG-01; IG-23; IG-24</x:v>
      </x:c>
      <x:c r="B22" s="156"/>
      <x:c r="C22" s="156"/>
      <x:c r="D22" s="156"/>
      <x:c r="E22" s="156"/>
      <x:c r="F22" s="156"/>
      <x:c r="G22" s="156"/>
      <x:c r="H22" s="156"/>
      <x:c r="I22" s="156"/>
      <x:c r="J22" s="156"/>
      <x:c r="K22" s="156"/>
      <x:c r="L22" s="156"/>
    </x:row>
    <x:row r="23" ht="28" customHeight="1">
      <x:c r="A23" s="152" t="str">
        <x:v>3. 0–30 дней — Закрыть критическую очередь решений → 124 SKU mappings, 234 cost decisions, supplier/material conflicts | Owner: Продукт/финансы/закупки | Закрывает: IG-01; IG-04</x:v>
      </x:c>
      <x:c r="B23" s="152"/>
      <x:c r="C23" s="152"/>
      <x:c r="D23" s="152"/>
      <x:c r="E23" s="152"/>
      <x:c r="F23" s="152"/>
      <x:c r="G23" s="152"/>
      <x:c r="H23" s="152"/>
      <x:c r="I23" s="152"/>
      <x:c r="J23" s="152"/>
      <x:c r="K23" s="152"/>
      <x:c r="L23" s="152"/>
    </x:row>
    <x:row r="24" ht="28" customHeight="1">
      <x:c r="A24" s="156" t="str">
        <x:v>4. 0–30 дней — Ввести version registry и quarantine → Версии, статусы Draft/Approved/Posted/Closed, exception IDs | Owner: Data steward | Закрывает: IG-23</x:v>
      </x:c>
      <x:c r="B24" s="156"/>
      <x:c r="C24" s="156"/>
      <x:c r="D24" s="156"/>
      <x:c r="E24" s="156"/>
      <x:c r="F24" s="156"/>
      <x:c r="G24" s="156"/>
      <x:c r="H24" s="156"/>
      <x:c r="I24" s="156"/>
      <x:c r="J24" s="156"/>
      <x:c r="K24" s="156"/>
      <x:c r="L24" s="156"/>
    </x:row>
    <x:row r="25" ht="28" customHeight="1">
      <x:c r="A25" s="152" t="str">
        <x:v>5. 15–45 дней — Создать bank/cash/adjustment registers → Полный account perimeter, cash movements, signed openings | Owner: Финансы | Закрывает: IG-11; IG-12; IG-13</x:v>
      </x:c>
      <x:c r="B25" s="152"/>
      <x:c r="C25" s="152"/>
      <x:c r="D25" s="152"/>
      <x:c r="E25" s="152"/>
      <x:c r="F25" s="152"/>
      <x:c r="G25" s="152"/>
      <x:c r="H25" s="152"/>
      <x:c r="I25" s="152"/>
      <x:c r="J25" s="152"/>
      <x:c r="K25" s="152"/>
      <x:c r="L25" s="152"/>
    </x:row>
    <x:row r="26" ht="28" customHeight="1">
      <x:c r="A26" s="156" t="str">
        <x:v>6. 15–60 дней — Создать payroll/tax obligations ledger → employee/accrual/registry/obligation/ENS allocation links | Owner: HR + налоги | Закрывает: IG-16; IG-17; IG-18; IG-19</x:v>
      </x:c>
      <x:c r="B26" s="156"/>
      <x:c r="C26" s="156"/>
      <x:c r="D26" s="156"/>
      <x:c r="E26" s="156"/>
      <x:c r="F26" s="156"/>
      <x:c r="G26" s="156"/>
      <x:c r="H26" s="156"/>
      <x:c r="I26" s="156"/>
      <x:c r="J26" s="156"/>
      <x:c r="K26" s="156"/>
      <x:c r="L26" s="156"/>
    </x:row>
    <x:row r="27" ht="28" customHeight="1">
      <x:c r="A27" s="152" t="str">
        <x:v>7. 30–60 дней — Создать material lot + procurement registers → request→PO→GRN→lot→issue→payment | Owner: Закупки + склад | Закрывает: IG-05; IG-08</x:v>
      </x:c>
      <x:c r="B27" s="152"/>
      <x:c r="C27" s="152"/>
      <x:c r="D27" s="152"/>
      <x:c r="E27" s="152"/>
      <x:c r="F27" s="152"/>
      <x:c r="G27" s="152"/>
      <x:c r="H27" s="152"/>
      <x:c r="I27" s="152"/>
      <x:c r="J27" s="152"/>
      <x:c r="K27" s="152"/>
      <x:c r="L27" s="152"/>
    </x:row>
    <x:row r="28" ht="28" customHeight="1">
      <x:c r="A28" s="156" t="str">
        <x:v>8. 30–75 дней — Создать production/WIP/operation registers → PO, operations, hours, defects, output, WIP stage | Owner: Производство | Закрывает: IG-03; IG-10</x:v>
      </x:c>
      <x:c r="B28" s="156"/>
      <x:c r="C28" s="156"/>
      <x:c r="D28" s="156"/>
      <x:c r="E28" s="156"/>
      <x:c r="F28" s="156"/>
      <x:c r="G28" s="156"/>
      <x:c r="H28" s="156"/>
      <x:c r="I28" s="156"/>
      <x:c r="J28" s="156"/>
      <x:c r="K28" s="156"/>
      <x:c r="L28" s="156"/>
    </x:row>
    <x:row r="29" ht="28" customHeight="1">
      <x:c r="A29" s="152" t="str">
        <x:v>9. 45–75 дней — Создать FG movement + sales line + settlement → Inventory issue/return, sales lines, commissions, payment allocations | Owner: Склад + коммерция + финансы | Закрывает: IG-02; IG-07; IG-09</x:v>
      </x:c>
      <x:c r="B29" s="152"/>
      <x:c r="C29" s="152"/>
      <x:c r="D29" s="152"/>
      <x:c r="E29" s="152"/>
      <x:c r="F29" s="152"/>
      <x:c r="G29" s="152"/>
      <x:c r="H29" s="152"/>
      <x:c r="I29" s="152"/>
      <x:c r="J29" s="152"/>
      <x:c r="K29" s="152"/>
      <x:c r="L29" s="152"/>
    </x:row>
    <x:row r="30" ht="28" customHeight="1">
      <x:c r="A30" s="156" t="str">
        <x:v>10. 60–90 дней — Провести пилот полного close → P&amp;L/Balance/CF за один месяц с stop-gates | Owner: Финансы + аналитика | Закрывает: IG-14; IG-15</x:v>
      </x:c>
      <x:c r="B30" s="156"/>
      <x:c r="C30" s="156"/>
      <x:c r="D30" s="156"/>
      <x:c r="E30" s="156"/>
      <x:c r="F30" s="156"/>
      <x:c r="G30" s="156"/>
      <x:c r="H30" s="156"/>
      <x:c r="I30" s="156"/>
      <x:c r="J30" s="156"/>
      <x:c r="K30" s="156"/>
      <x:c r="L30" s="156"/>
    </x:row>
  </x:sheetData>
  <x:mergeCells>
    <x:mergeCell ref="A1:L1"/>
    <x:mergeCell ref="A2:L2"/>
    <x:mergeCell ref="A4:C6"/>
    <x:mergeCell ref="D4:F6"/>
    <x:mergeCell ref="G4:I6"/>
    <x:mergeCell ref="J4:L6"/>
    <x:mergeCell ref="A8:C10"/>
    <x:mergeCell ref="D8:F10"/>
    <x:mergeCell ref="G8:I10"/>
    <x:mergeCell ref="J8:L10"/>
    <x:mergeCell ref="I13:L13"/>
    <x:mergeCell ref="I14:L14"/>
    <x:mergeCell ref="I15:L15"/>
    <x:mergeCell ref="I16:L16"/>
    <x:mergeCell ref="I17:L17"/>
    <x:mergeCell ref="A20:L20"/>
    <x:mergeCell ref="A21:L21"/>
    <x:mergeCell ref="A22:L22"/>
    <x:mergeCell ref="A23:L23"/>
    <x:mergeCell ref="A24:L24"/>
    <x:mergeCell ref="A25:L25"/>
    <x:mergeCell ref="A26:L26"/>
    <x:mergeCell ref="A27:L27"/>
    <x:mergeCell ref="A28:L28"/>
    <x:mergeCell ref="A29:L29"/>
    <x:mergeCell ref="A30:L30"/>
  </x:mergeCells>
  <x:pageMargins left="0.7" right="0.7" top="0.75" bottom="0.75" header="0.3" footer="0.3"/>
  <x:drawing xmlns:r="http://schemas.openxmlformats.org/officeDocument/2006/relationships" r:id="R21d27059c90e471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12" hidden="0" customWidth="1"/>
    <x:col min="4" max="4" width="10" hidden="0" customWidth="1"/>
    <x:col min="5" max="5" width="24" hidden="0" customWidth="1"/>
    <x:col min="6" max="6" width="14" hidden="0" customWidth="1"/>
    <x:col min="7" max="7" width="22" hidden="0" customWidth="1"/>
    <x:col min="8" max="8" width="32" hidden="0" customWidth="1"/>
    <x:col min="9" max="9" width="24" hidden="0" customWidth="1"/>
    <x:col min="10" max="10" width="10" hidden="0" customWidth="1"/>
    <x:col min="11" max="11" width="36" hidden="0" customWidth="1"/>
    <x:col min="12" max="12" width="22" hidden="0" customWidth="1"/>
    <x:col min="13" max="13" width="34" hidden="0" customWidth="1"/>
    <x:col min="14" max="14" width="26" hidden="0" customWidth="1"/>
    <x:col min="15" max="15" width="28" hidden="0" customWidth="1"/>
    <x:col min="16" max="16" width="30" hidden="0" customWidth="1"/>
    <x:col min="17" max="17" width="38" hidden="0" customWidth="1"/>
    <x:col min="18" max="18" width="24" hidden="0" customWidth="1"/>
  </x:cols>
  <x:sheetData>
    <x:row r="1" ht="28" customHeight="1">
      <x:c r="A1" s="5" t="str">
        <x:v>КАТАЛОГ 93 ПЕРЕДАННЫХ ФАЙЛОВ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22" customHeight="1">
      <x:c r="A2" s="14" t="str">
        <x:v>Каждый файл: что содержит, качество, текущая роль, целевая система, требуемое действие. Этот лист не подтверждает полноту всех систем бизнеса.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</x:row>
    <x:row r="4" ht="28" customHeight="1">
      <x:c r="A4" s="169" t="str">
        <x:v>file_id</x:v>
      </x:c>
      <x:c r="B4" s="170" t="str">
        <x:v>file_name</x:v>
      </x:c>
      <x:c r="C4" s="170" t="str">
        <x:v>type</x:v>
      </x:c>
      <x:c r="D4" s="170" t="str">
        <x:v>size_mb</x:v>
      </x:c>
      <x:c r="E4" s="170" t="str">
        <x:v>domain</x:v>
      </x:c>
      <x:c r="F4" s="170" t="str">
        <x:v>period</x:v>
      </x:c>
      <x:c r="G4" s="170" t="str">
        <x:v>entity_scope</x:v>
      </x:c>
      <x:c r="H4" s="170" t="str">
        <x:v>technical_content</x:v>
      </x:c>
      <x:c r="I4" s="170" t="str">
        <x:v>machine_readability</x:v>
      </x:c>
      <x:c r="J4" s="170" t="str">
        <x:v>risk</x:v>
      </x:c>
      <x:c r="K4" s="170" t="str">
        <x:v>quality_flags</x:v>
      </x:c>
      <x:c r="L4" s="170" t="str">
        <x:v>current_state</x:v>
      </x:c>
      <x:c r="M4" s="170" t="str">
        <x:v>current_use</x:v>
      </x:c>
      <x:c r="N4" s="170" t="str">
        <x:v>confidentiality</x:v>
      </x:c>
      <x:c r="O4" s="170" t="str">
        <x:v>target_system</x:v>
      </x:c>
      <x:c r="P4" s="170" t="str">
        <x:v>target_register</x:v>
      </x:c>
      <x:c r="Q4" s="170" t="str">
        <x:v>required_action</x:v>
      </x:c>
      <x:c r="R4" s="171" t="str">
        <x:v>sha256</x:v>
      </x:c>
    </x:row>
    <x:row r="5">
      <x:c r="A5" s="203" t="str">
        <x:v>FILE-001</x:v>
      </x:c>
      <x:c r="B5" s="204" t="str">
        <x:v>6-НДФЛ (с 2021 года) за 2024 г. (ДЕКОР ООО).pdf</x:v>
      </x:c>
      <x:c r="C5" s="204" t="str">
        <x:v>PDF</x:v>
      </x:c>
      <x:c r="D5" s="204" t="n">
        <x:v>2.154</x:v>
      </x:c>
      <x:c r="E5" s="204" t="str">
        <x:v>Налоги и обязательная отчётность</x:v>
      </x:c>
      <x:c r="F5" s="204" t="str">
        <x:v>2024</x:v>
      </x:c>
      <x:c r="G5" s="204" t="str">
        <x:v>ООО «ДЕКОР»</x:v>
      </x:c>
      <x:c r="H5" s="204" t="str">
        <x:v>78 стр.; текстовый слой 78/78</x:v>
      </x:c>
      <x:c r="I5" s="204" t="str">
        <x:v>Полная: текст извлечён</x:v>
      </x:c>
      <x:c r="J5" s="204" t="str">
        <x:v>Низкий</x:v>
      </x:c>
      <x:c r="K5" s="204" t="str">
        <x:v>Технических ошибок при извлечении не обнаружено; бизнес-корректность не подтверждена</x:v>
      </x:c>
      <x:c r="L5" s="204" t="str">
        <x:v>Есть</x:v>
      </x:c>
      <x:c r="M5" s="204" t="str">
        <x:v>Можно использовать как источник после содержательной сверки.</x:v>
      </x:c>
      <x:c r="N5" s="204" t="str">
        <x:v>Обычный внутренний</x:v>
      </x:c>
      <x:c r="O5" s="204" t="str">
        <x:v>Tax ledger + ENS register + DMS</x:v>
      </x:c>
      <x:c r="P5" s="204" t="str">
        <x:v>Декларации, обязательства, уведомления, ЕНС</x:v>
      </x:c>
      <x:c r="Q5" s="204" t="str">
        <x:v>Карантин → исправление → контрольная загрузка</x:v>
      </x:c>
      <x:c r="R5" s="205" t="str">
        <x:v>f5301bbae5d8fc62b366f54059ba1d9cc80d4b65b46c53b5f68ea6fc1c04c3c2</x:v>
      </x:c>
    </x:row>
    <x:row r="6">
      <x:c r="A6" s="206" t="str">
        <x:v>FILE-002</x:v>
      </x:c>
      <x:c r="B6" s="207" t="str">
        <x:v>6-НДФЛ (с 2021 года) за 2024 г. (Янина Ю. Ф. ИП).pdf</x:v>
      </x:c>
      <x:c r="C6" s="207" t="str">
        <x:v>PDF</x:v>
      </x:c>
      <x:c r="D6" s="207" t="n">
        <x:v>2.173</x:v>
      </x:c>
      <x:c r="E6" s="207" t="str">
        <x:v>Налоги и обязательная отчётность</x:v>
      </x:c>
      <x:c r="F6" s="207" t="str">
        <x:v>2024</x:v>
      </x:c>
      <x:c r="G6" s="207" t="str">
        <x:v>ИП Янина / операционный контур (требует подтверждения по части файлов)</x:v>
      </x:c>
      <x:c r="H6" s="207" t="str">
        <x:v>79 стр.; текстовый слой 79/79</x:v>
      </x:c>
      <x:c r="I6" s="207" t="str">
        <x:v>Полная: текст извлечён</x:v>
      </x:c>
      <x:c r="J6" s="207" t="str">
        <x:v>Низкий</x:v>
      </x:c>
      <x:c r="K6" s="207" t="str">
        <x:v>Технических ошибок при извлечении не обнаружено; бизнес-корректность не подтверждена</x:v>
      </x:c>
      <x:c r="L6" s="207" t="str">
        <x:v>Есть</x:v>
      </x:c>
      <x:c r="M6" s="207" t="str">
        <x:v>Можно использовать как источник после содержательной сверки.</x:v>
      </x:c>
      <x:c r="N6" s="207" t="str">
        <x:v>Обычный внутренний</x:v>
      </x:c>
      <x:c r="O6" s="207" t="str">
        <x:v>Tax ledger + ENS register + DMS</x:v>
      </x:c>
      <x:c r="P6" s="207" t="str">
        <x:v>Декларации, обязательства, уведомления, ЕНС</x:v>
      </x:c>
      <x:c r="Q6" s="207" t="str">
        <x:v>Карантин → исправление → контрольная загрузка</x:v>
      </x:c>
      <x:c r="R6" s="208" t="str">
        <x:v>4f39b4966345ad10efdd5274f98a171cb71a1c80e0e54346175fbaaba79a2528</x:v>
      </x:c>
    </x:row>
    <x:row r="7">
      <x:c r="A7" s="206" t="str">
        <x:v>FILE-003</x:v>
      </x:c>
      <x:c r="B7" s="207" t="str">
        <x:v>6-НДФЛ (с 2021 года) за 2025 г. (ДЕКОР ООО).pdf</x:v>
      </x:c>
      <x:c r="C7" s="207" t="str">
        <x:v>PDF</x:v>
      </x:c>
      <x:c r="D7" s="207" t="n">
        <x:v>1.513</x:v>
      </x:c>
      <x:c r="E7" s="207" t="str">
        <x:v>Налоги и обязательная отчётность</x:v>
      </x:c>
      <x:c r="F7" s="207" t="str">
        <x:v>2025</x:v>
      </x:c>
      <x:c r="G7" s="207" t="str">
        <x:v>ООО «ДЕКОР»</x:v>
      </x:c>
      <x:c r="H7" s="207" t="str">
        <x:v>53 стр.; текстовый слой 53/53</x:v>
      </x:c>
      <x:c r="I7" s="207" t="str">
        <x:v>Полная: текст извлечён</x:v>
      </x:c>
      <x:c r="J7" s="207" t="str">
        <x:v>Низкий</x:v>
      </x:c>
      <x:c r="K7" s="207" t="str">
        <x:v>Технических ошибок при извлечении не обнаружено; бизнес-корректность не подтверждена</x:v>
      </x:c>
      <x:c r="L7" s="207" t="str">
        <x:v>Есть</x:v>
      </x:c>
      <x:c r="M7" s="207" t="str">
        <x:v>Можно использовать как источник после содержательной сверки.</x:v>
      </x:c>
      <x:c r="N7" s="207" t="str">
        <x:v>Обычный внутренний</x:v>
      </x:c>
      <x:c r="O7" s="207" t="str">
        <x:v>Tax ledger + ENS register + DMS</x:v>
      </x:c>
      <x:c r="P7" s="207" t="str">
        <x:v>Декларации, обязательства, уведомления, ЕНС</x:v>
      </x:c>
      <x:c r="Q7" s="207" t="str">
        <x:v>Карантин → исправление → контрольная загрузка</x:v>
      </x:c>
      <x:c r="R7" s="208" t="str">
        <x:v>99a04fde09f387e08541663b6de77327f46402c47eae501c38f632efd1cbc49f</x:v>
      </x:c>
    </x:row>
    <x:row r="8">
      <x:c r="A8" s="206" t="str">
        <x:v>FILE-004</x:v>
      </x:c>
      <x:c r="B8" s="207" t="str">
        <x:v>6-НДФЛ (с 2021 года) за 2025 г. (Янина Ю. Ф. ИП)(1).pdf</x:v>
      </x:c>
      <x:c r="C8" s="207" t="str">
        <x:v>PDF</x:v>
      </x:c>
      <x:c r="D8" s="207" t="n">
        <x:v>2.073</x:v>
      </x:c>
      <x:c r="E8" s="207" t="str">
        <x:v>Налоги и обязательная отчётность</x:v>
      </x:c>
      <x:c r="F8" s="207" t="str">
        <x:v>2025</x:v>
      </x:c>
      <x:c r="G8" s="207" t="str">
        <x:v>ИП Янина / операционный контур (требует подтверждения по части файлов)</x:v>
      </x:c>
      <x:c r="H8" s="207" t="str">
        <x:v>75 стр.; текстовый слой 75/75</x:v>
      </x:c>
      <x:c r="I8" s="207" t="str">
        <x:v>Полная: текст извлечён</x:v>
      </x:c>
      <x:c r="J8" s="207" t="str">
        <x:v>Средний</x:v>
      </x:c>
      <x:c r="K8" s="207" t="str">
        <x:v>Точный бинарный дубль: 6-НДФЛ (с 2021 года) за 2025 г. (Янина Ю. Ф. ИП).pdf</x:v>
      </x:c>
      <x:c r="L8" s="207" t="str">
        <x:v>Есть, но дубль</x:v>
      </x:c>
      <x:c r="M8" s="207" t="str">
        <x:v>Хранить одну каноническую копию; вторую исключить из расчётного контура.</x:v>
      </x:c>
      <x:c r="N8" s="207" t="str">
        <x:v>Обычный внутренний</x:v>
      </x:c>
      <x:c r="O8" s="207" t="str">
        <x:v>Tax ledger + ENS register + DMS</x:v>
      </x:c>
      <x:c r="P8" s="207" t="str">
        <x:v>Декларации, обязательства, уведомления, ЕНС</x:v>
      </x:c>
      <x:c r="Q8" s="207" t="str">
        <x:v>Архивировать дубль; исключить из расчётного контура</x:v>
      </x:c>
      <x:c r="R8" s="208" t="str">
        <x:v>a8fcdd6b6090a6883a7a2722815a3cf386228cf010d6b485bf1630f528928fe1</x:v>
      </x:c>
    </x:row>
    <x:row r="9">
      <x:c r="A9" s="206" t="str">
        <x:v>FILE-005</x:v>
      </x:c>
      <x:c r="B9" s="207" t="str">
        <x:v>6-НДФЛ (с 2021 года) за 2025 г. (Янина Ю. Ф. ИП).pdf</x:v>
      </x:c>
      <x:c r="C9" s="207" t="str">
        <x:v>PDF</x:v>
      </x:c>
      <x:c r="D9" s="207" t="n">
        <x:v>2.073</x:v>
      </x:c>
      <x:c r="E9" s="207" t="str">
        <x:v>Налоги и обязательная отчётность</x:v>
      </x:c>
      <x:c r="F9" s="207" t="str">
        <x:v>2025</x:v>
      </x:c>
      <x:c r="G9" s="207" t="str">
        <x:v>ИП Янина / операционный контур (требует подтверждения по части файлов)</x:v>
      </x:c>
      <x:c r="H9" s="207" t="str">
        <x:v>75 стр.; текстовый слой 75/75</x:v>
      </x:c>
      <x:c r="I9" s="207" t="str">
        <x:v>Полная: текст извлечён</x:v>
      </x:c>
      <x:c r="J9" s="207" t="str">
        <x:v>Средний</x:v>
      </x:c>
      <x:c r="K9" s="207" t="str">
        <x:v>Точный бинарный дубль: 6-НДФЛ (с 2021 года) за 2025 г. (Янина Ю. Ф. ИП)(1).pdf</x:v>
      </x:c>
      <x:c r="L9" s="207" t="str">
        <x:v>Есть, но дубль</x:v>
      </x:c>
      <x:c r="M9" s="207" t="str">
        <x:v>Хранить одну каноническую копию; вторую исключить из расчётного контура.</x:v>
      </x:c>
      <x:c r="N9" s="207" t="str">
        <x:v>Обычный внутренний</x:v>
      </x:c>
      <x:c r="O9" s="207" t="str">
        <x:v>Tax ledger + ENS register + DMS</x:v>
      </x:c>
      <x:c r="P9" s="207" t="str">
        <x:v>Декларации, обязательства, уведомления, ЕНС</x:v>
      </x:c>
      <x:c r="Q9" s="207" t="str">
        <x:v>Архивировать дубль; исключить из расчётного контура</x:v>
      </x:c>
      <x:c r="R9" s="208" t="str">
        <x:v>a8fcdd6b6090a6883a7a2722815a3cf386228cf010d6b485bf1630f528928fe1</x:v>
      </x:c>
    </x:row>
    <x:row r="10">
      <x:c r="A10" s="206" t="str">
        <x:v>FILE-006</x:v>
      </x:c>
      <x:c r="B10" s="207" t="str">
        <x:v>NDA_ИП_Янина + паспорт.docx</x:v>
      </x:c>
      <x:c r="C10" s="207" t="str">
        <x:v>Word DOCX</x:v>
      </x:c>
      <x:c r="D10" s="207" t="n">
        <x:v>2.712</x:v>
      </x:c>
      <x:c r="E10" s="207" t="str">
        <x:v>Договоры и проектные документы</x:v>
      </x:c>
      <x:c r="F10" s="207" t="str">
        <x:v>Не определён из названия</x:v>
      </x:c>
      <x:c r="G10" s="207" t="str">
        <x:v>ИП Янина / операционный контур (требует подтверждения по части файлов)</x:v>
      </x:c>
      <x:c r="H10" s="207" t="str">
        <x:v>Извлечение: complete</x:v>
      </x:c>
      <x:c r="I10" s="207" t="str">
        <x:v>Полная: текст/таблицы извлечены</x:v>
      </x:c>
      <x:c r="J10" s="207" t="str">
        <x:v>Низкий</x:v>
      </x:c>
      <x:c r="K10" s="207" t="str">
        <x:v>Содержит паспортные/персональные данные</x:v>
      </x:c>
      <x:c r="L10" s="207" t="str">
        <x:v>Есть</x:v>
      </x:c>
      <x:c r="M10" s="207" t="str">
        <x:v>Использовать только в защищённом контуре; не включать персональные данные в аналитические витрины.</x:v>
      </x:c>
      <x:c r="N10" s="207" t="str">
        <x:v>Ограниченный доступ: паспортные/персональные данные</x:v>
      </x:c>
      <x:c r="O10" s="207" t="str">
        <x:v>DMS/GRC</x:v>
      </x:c>
      <x:c r="P10" s="207" t="str">
        <x:v>Договоры, NDA, регламенты, approvals</x:v>
      </x:c>
      <x:c r="Q10" s="207" t="str">
        <x:v>Хранить только в защищённом DMS; не загружать в аналитические витрины</x:v>
      </x:c>
      <x:c r="R10" s="208" t="str">
        <x:v>c83df869483d0814b2369f0b23c19e9512b933181cd774fd8d6319c5fc594560</x:v>
      </x:c>
    </x:row>
    <x:row r="11">
      <x:c r="A11" s="206" t="str">
        <x:v>FILE-007</x:v>
      </x:c>
      <x:c r="B11" s="207" t="str">
        <x:v>SALES 2024-2026.xlsx</x:v>
      </x:c>
      <x:c r="C11" s="207" t="str">
        <x:v>Excel</x:v>
      </x:c>
      <x:c r="D11" s="207" t="n">
        <x:v>0.074</x:v>
      </x:c>
      <x:c r="E11" s="207" t="str">
        <x:v>Финансы и денежные потоки</x:v>
      </x:c>
      <x:c r="F11" s="207" t="str">
        <x:v>2024–2026</x:v>
      </x:c>
      <x:c r="G11" s="207" t="str">
        <x:v>Не указано в названии</x:v>
      </x:c>
      <x:c r="H11" s="207" t="str">
        <x:v>4 лист(ов); 3 423 непустых ячеек; 845 формул</x:v>
      </x:c>
      <x:c r="I11" s="207" t="str">
        <x:v>Полная: значения и формулы извлечены по всем листам</x:v>
      </x:c>
      <x:c r="J11" s="207" t="str">
        <x:v>Средний</x:v>
      </x:c>
      <x:c r="K11" s="207" t="str">
        <x:v>Скрытых листов: 1</x:v>
      </x:c>
      <x:c r="L11" s="207" t="str">
        <x:v>Есть частично/с ограничениями</x:v>
      </x:c>
      <x:c r="M11" s="207" t="str">
        <x:v>Можно использовать как источник после содержательной сверки.</x:v>
      </x:c>
      <x:c r="N11" s="207" t="str">
        <x:v>Обычный внутренний</x:v>
      </x:c>
      <x:c r="O11" s="207" t="str">
        <x:v>ERP/1С + Bank hub + DWH</x:v>
      </x:c>
      <x:c r="P11" s="207" t="str">
        <x:v>Платежи, ДДС, бюджеты, остатки, AR/AP</x:v>
      </x:c>
      <x:c r="Q11" s="207" t="str">
        <x:v>Мигрировать данные в целевой регистр; файл оставить read-only выгрузкой/архивом</x:v>
      </x:c>
      <x:c r="R11" s="208" t="str">
        <x:v>fc6c0194884c06ffde494e1bbb2624f267ede82ba86f48abdd1dce29ca7e2343</x:v>
      </x:c>
    </x:row>
    <x:row r="12">
      <x:c r="A12" s="206" t="str">
        <x:v>FILE-008</x:v>
      </x:c>
      <x:c r="B12" s="207" t="str">
        <x:v>VTB_BankStatement_40702810804000008482_01.01.2024-22.06.2026_376277.pdf</x:v>
      </x:c>
      <x:c r="C12" s="207" t="str">
        <x:v>PDF</x:v>
      </x:c>
      <x:c r="D12" s="207" t="n">
        <x:v>0.33</x:v>
      </x:c>
      <x:c r="E12" s="207" t="str">
        <x:v>Финансы и денежные потоки</x:v>
      </x:c>
      <x:c r="F12" s="207" t="str">
        <x:v>01.01.2024–22.06.2026</x:v>
      </x:c>
      <x:c r="G12" s="207" t="str">
        <x:v>Не указано в названии</x:v>
      </x:c>
      <x:c r="H12" s="207" t="str">
        <x:v>44 стр.; текстовый слой 44/44</x:v>
      </x:c>
      <x:c r="I12" s="207" t="str">
        <x:v>Полная: текст извлечён</x:v>
      </x:c>
      <x:c r="J12" s="207" t="str">
        <x:v>Низкий</x:v>
      </x:c>
      <x:c r="K12" s="207" t="str">
        <x:v>Технических ошибок при извлечении не обнаружено; бизнес-корректность не подтверждена</x:v>
      </x:c>
      <x:c r="L12" s="207" t="str">
        <x:v>Есть</x:v>
      </x:c>
      <x:c r="M12" s="207" t="str">
        <x:v>Можно использовать как источник после содержательной сверки.</x:v>
      </x:c>
      <x:c r="N12" s="207" t="str">
        <x:v>Обычный внутренний</x:v>
      </x:c>
      <x:c r="O12" s="207" t="str">
        <x:v>ERP/1С + Bank hub + DWH</x:v>
      </x:c>
      <x:c r="P12" s="207" t="str">
        <x:v>Платежи, ДДС, бюджеты, остатки, AR/AP</x:v>
      </x:c>
      <x:c r="Q12" s="207" t="str">
        <x:v>Карантин → исправление → контрольная загрузка</x:v>
      </x:c>
      <x:c r="R12" s="208" t="str">
        <x:v>231bec51ed7e4840300f69de16081d4e4697c38bc63e40b1aa1a7fa12b83f1cc</x:v>
      </x:c>
    </x:row>
    <x:row r="13">
      <x:c r="A13" s="206" t="str">
        <x:v>FILE-009</x:v>
      </x:c>
      <x:c r="B13" s="207" t="str">
        <x:v>VTB_BankStatement_40802810404000000049_01.01.2024-22.06.2026_417016.pdf</x:v>
      </x:c>
      <x:c r="C13" s="207" t="str">
        <x:v>PDF</x:v>
      </x:c>
      <x:c r="D13" s="207" t="n">
        <x:v>0.218</x:v>
      </x:c>
      <x:c r="E13" s="207" t="str">
        <x:v>Финансы и денежные потоки</x:v>
      </x:c>
      <x:c r="F13" s="207" t="str">
        <x:v>01.01.2024–22.06.2026</x:v>
      </x:c>
      <x:c r="G13" s="207" t="str">
        <x:v>Не указано в названии</x:v>
      </x:c>
      <x:c r="H13" s="207" t="str">
        <x:v>22 стр.; текстовый слой 22/22</x:v>
      </x:c>
      <x:c r="I13" s="207" t="str">
        <x:v>Полная: текст извлечён</x:v>
      </x:c>
      <x:c r="J13" s="207" t="str">
        <x:v>Низкий</x:v>
      </x:c>
      <x:c r="K13" s="207" t="str">
        <x:v>Технических ошибок при извлечении не обнаружено; бизнес-корректность не подтверждена</x:v>
      </x:c>
      <x:c r="L13" s="207" t="str">
        <x:v>Есть</x:v>
      </x:c>
      <x:c r="M13" s="207" t="str">
        <x:v>Можно использовать как источник после содержательной сверки.</x:v>
      </x:c>
      <x:c r="N13" s="207" t="str">
        <x:v>Обычный внутренний</x:v>
      </x:c>
      <x:c r="O13" s="207" t="str">
        <x:v>ERP/1С + Bank hub + DWH</x:v>
      </x:c>
      <x:c r="P13" s="207" t="str">
        <x:v>Платежи, ДДС, бюджеты, остатки, AR/AP</x:v>
      </x:c>
      <x:c r="Q13" s="207" t="str">
        <x:v>Карантин → исправление → контрольная загрузка</x:v>
      </x:c>
      <x:c r="R13" s="208" t="str">
        <x:v>cf1a608847cbabf78b2fddfc42d1e4b476333b8006f13d0f23f2078fbb5c9655</x:v>
      </x:c>
    </x:row>
    <x:row r="14">
      <x:c r="A14" s="206" t="str">
        <x:v>FILE-010</x:v>
      </x:c>
      <x:c r="B14" s="207" t="str">
        <x:v>VTB_BankStatement_40802810500000006196_01.01.2024-22.06.2026_417014.pdf</x:v>
      </x:c>
      <x:c r="C14" s="207" t="str">
        <x:v>PDF</x:v>
      </x:c>
      <x:c r="D14" s="207" t="n">
        <x:v>0.86</x:v>
      </x:c>
      <x:c r="E14" s="207" t="str">
        <x:v>Финансы и денежные потоки</x:v>
      </x:c>
      <x:c r="F14" s="207" t="str">
        <x:v>01.01.2024–22.06.2026</x:v>
      </x:c>
      <x:c r="G14" s="207" t="str">
        <x:v>Не указано в названии</x:v>
      </x:c>
      <x:c r="H14" s="207" t="str">
        <x:v>125 стр.; текстовый слой 125/125</x:v>
      </x:c>
      <x:c r="I14" s="207" t="str">
        <x:v>Полная: текст извлечён</x:v>
      </x:c>
      <x:c r="J14" s="207" t="str">
        <x:v>Низкий</x:v>
      </x:c>
      <x:c r="K14" s="207" t="str">
        <x:v>Технических ошибок при извлечении не обнаружено; бизнес-корректность не подтверждена</x:v>
      </x:c>
      <x:c r="L14" s="207" t="str">
        <x:v>Есть</x:v>
      </x:c>
      <x:c r="M14" s="207" t="str">
        <x:v>Можно использовать как источник после содержательной сверки.</x:v>
      </x:c>
      <x:c r="N14" s="207" t="str">
        <x:v>Обычный внутренний</x:v>
      </x:c>
      <x:c r="O14" s="207" t="str">
        <x:v>ERP/1С + Bank hub + DWH</x:v>
      </x:c>
      <x:c r="P14" s="207" t="str">
        <x:v>Платежи, ДДС, бюджеты, остатки, AR/AP</x:v>
      </x:c>
      <x:c r="Q14" s="207" t="str">
        <x:v>Карантин → исправление → контрольная загрузка</x:v>
      </x:c>
      <x:c r="R14" s="208" t="str">
        <x:v>4e7a03bae00824c1de5183782258450170b3913b609912654c9c41d2cd4a7450</x:v>
      </x:c>
    </x:row>
    <x:row r="15">
      <x:c r="A15" s="206" t="str">
        <x:v>FILE-011</x:v>
      </x:c>
      <x:c r="B15" s="207" t="str">
        <x:v>Бюджет 2-е полугодие 2025(1).xlsx</x:v>
      </x:c>
      <x:c r="C15" s="207" t="str">
        <x:v>Excel</x:v>
      </x:c>
      <x:c r="D15" s="207" t="n">
        <x:v>0.015</x:v>
      </x:c>
      <x:c r="E15" s="207" t="str">
        <x:v>Финансы и денежные потоки</x:v>
      </x:c>
      <x:c r="F15" s="207" t="str">
        <x:v>2025</x:v>
      </x:c>
      <x:c r="G15" s="207" t="str">
        <x:v>Не указано в названии</x:v>
      </x:c>
      <x:c r="H15" s="207" t="str">
        <x:v>1 лист(ов); 293 непустых ячеек; 25 формул</x:v>
      </x:c>
      <x:c r="I15" s="207" t="str">
        <x:v>Полная: значения и формулы извлечены по всем листам</x:v>
      </x:c>
      <x:c r="J15" s="207" t="str">
        <x:v>Низкий</x:v>
      </x:c>
      <x:c r="K15" s="207" t="str">
        <x:v>Технических ошибок при извлечении не обнаружено; бизнес-корректность не подтверждена</x:v>
      </x:c>
      <x:c r="L15" s="207" t="str">
        <x:v>Есть</x:v>
      </x:c>
      <x:c r="M15" s="207" t="str">
        <x:v>Можно использовать как источник после содержательной сверки.</x:v>
      </x:c>
      <x:c r="N15" s="207" t="str">
        <x:v>Обычный внутренний</x:v>
      </x:c>
      <x:c r="O15" s="207" t="str">
        <x:v>ERP/1С + Bank hub + DWH</x:v>
      </x:c>
      <x:c r="P15" s="207" t="str">
        <x:v>Платежи, ДДС, бюджеты, остатки, AR/AP</x:v>
      </x:c>
      <x:c r="Q15" s="207" t="str">
        <x:v>Карантин → исправление → контрольная загрузка</x:v>
      </x:c>
      <x:c r="R15" s="208" t="str">
        <x:v>47b23059c04824e80994501c130695ea0d92d4c915ed4f111af0bb90d491853e</x:v>
      </x:c>
    </x:row>
    <x:row r="16">
      <x:c r="A16" s="206" t="str">
        <x:v>FILE-012</x:v>
      </x:c>
      <x:c r="B16" s="207" t="str">
        <x:v>Бюджет 2026.xlsx</x:v>
      </x:c>
      <x:c r="C16" s="207" t="str">
        <x:v>Excel</x:v>
      </x:c>
      <x:c r="D16" s="207" t="n">
        <x:v>0.027</x:v>
      </x:c>
      <x:c r="E16" s="207" t="str">
        <x:v>Финансы и денежные потоки</x:v>
      </x:c>
      <x:c r="F16" s="207" t="str">
        <x:v>2026</x:v>
      </x:c>
      <x:c r="G16" s="207" t="str">
        <x:v>Не указано в названии</x:v>
      </x:c>
      <x:c r="H16" s="207" t="str">
        <x:v>1 лист(ов); 816 непустых ячеек; 158 формул</x:v>
      </x:c>
      <x:c r="I16" s="207" t="str">
        <x:v>Полная: значения и формулы извлечены по всем листам</x:v>
      </x:c>
      <x:c r="J16" s="207" t="str">
        <x:v>Низкий</x:v>
      </x:c>
      <x:c r="K16" s="207" t="str">
        <x:v>Технических ошибок при извлечении не обнаружено; бизнес-корректность не подтверждена</x:v>
      </x:c>
      <x:c r="L16" s="207" t="str">
        <x:v>Есть</x:v>
      </x:c>
      <x:c r="M16" s="207" t="str">
        <x:v>Можно использовать как источник после содержательной сверки.</x:v>
      </x:c>
      <x:c r="N16" s="207" t="str">
        <x:v>Обычный внутренний</x:v>
      </x:c>
      <x:c r="O16" s="207" t="str">
        <x:v>ERP/1С + Bank hub + DWH</x:v>
      </x:c>
      <x:c r="P16" s="207" t="str">
        <x:v>Платежи, ДДС, бюджеты, остатки, AR/AP</x:v>
      </x:c>
      <x:c r="Q16" s="207" t="str">
        <x:v>Карантин → исправление → контрольная загрузка</x:v>
      </x:c>
      <x:c r="R16" s="208" t="str">
        <x:v>7b59f03fc58cdbed34e9acb5a9554b3b10995ba398df5d2c43905f0ba2aab17c</x:v>
      </x:c>
    </x:row>
    <x:row r="17">
      <x:c r="A17" s="206" t="str">
        <x:v>FILE-013</x:v>
      </x:c>
      <x:c r="B17" s="207" t="str">
        <x:v>Выписка_40802810202620002686_01.01.2024–31.12.2024.xlsx</x:v>
      </x:c>
      <x:c r="C17" s="207" t="str">
        <x:v>Excel</x:v>
      </x:c>
      <x:c r="D17" s="207" t="n">
        <x:v>0.085</x:v>
      </x:c>
      <x:c r="E17" s="207" t="str">
        <x:v>Финансы и денежные потоки</x:v>
      </x:c>
      <x:c r="F17" s="207" t="str">
        <x:v>01.01.2024–31.12.2024</x:v>
      </x:c>
      <x:c r="G17" s="207" t="str">
        <x:v>Не указано в названии</x:v>
      </x:c>
      <x:c r="H17" s="207" t="str">
        <x:v>1 лист(ов); 8 931 непустых ячеек; 0 формул</x:v>
      </x:c>
      <x:c r="I17" s="207" t="str">
        <x:v>Полная: значения и формулы извлечены по всем листам</x:v>
      </x:c>
      <x:c r="J17" s="207" t="str">
        <x:v>Низкий</x:v>
      </x:c>
      <x:c r="K17" s="207" t="str">
        <x:v>Технических ошибок при извлечении не обнаружено; бизнес-корректность не подтверждена</x:v>
      </x:c>
      <x:c r="L17" s="207" t="str">
        <x:v>Есть</x:v>
      </x:c>
      <x:c r="M17" s="207" t="str">
        <x:v>Можно использовать как источник после содержательной сверки.</x:v>
      </x:c>
      <x:c r="N17" s="207" t="str">
        <x:v>Обычный внутренний</x:v>
      </x:c>
      <x:c r="O17" s="207" t="str">
        <x:v>ERP/1С + Bank hub + DWH</x:v>
      </x:c>
      <x:c r="P17" s="207" t="str">
        <x:v>Платежи, ДДС, бюджеты, остатки, AR/AP</x:v>
      </x:c>
      <x:c r="Q17" s="207" t="str">
        <x:v>Карантин → исправление → контрольная загрузка</x:v>
      </x:c>
      <x:c r="R17" s="208" t="str">
        <x:v>3bb52ee0aff1f384b776bedf4aecf5890d2c69c9b6ee62367a5149b609c72ce3</x:v>
      </x:c>
    </x:row>
    <x:row r="18">
      <x:c r="A18" s="206" t="str">
        <x:v>FILE-014</x:v>
      </x:c>
      <x:c r="B18" s="207" t="str">
        <x:v>Выписка_40802810202620002686_01.01.2025–31.12.2025.xlsx</x:v>
      </x:c>
      <x:c r="C18" s="207" t="str">
        <x:v>Excel</x:v>
      </x:c>
      <x:c r="D18" s="207" t="n">
        <x:v>0.097</x:v>
      </x:c>
      <x:c r="E18" s="207" t="str">
        <x:v>Финансы и денежные потоки</x:v>
      </x:c>
      <x:c r="F18" s="207" t="str">
        <x:v>01.01.2025–31.12.2025</x:v>
      </x:c>
      <x:c r="G18" s="207" t="str">
        <x:v>Не указано в названии</x:v>
      </x:c>
      <x:c r="H18" s="207" t="str">
        <x:v>1 лист(ов); 10 403 непустых ячеек; 0 формул</x:v>
      </x:c>
      <x:c r="I18" s="207" t="str">
        <x:v>Полная: значения и формулы извлечены по всем листам</x:v>
      </x:c>
      <x:c r="J18" s="207" t="str">
        <x:v>Низкий</x:v>
      </x:c>
      <x:c r="K18" s="207" t="str">
        <x:v>Технических ошибок при извлечении не обнаружено; бизнес-корректность не подтверждена</x:v>
      </x:c>
      <x:c r="L18" s="207" t="str">
        <x:v>Есть</x:v>
      </x:c>
      <x:c r="M18" s="207" t="str">
        <x:v>Можно использовать как источник после содержательной сверки.</x:v>
      </x:c>
      <x:c r="N18" s="207" t="str">
        <x:v>Обычный внутренний</x:v>
      </x:c>
      <x:c r="O18" s="207" t="str">
        <x:v>ERP/1С + Bank hub + DWH</x:v>
      </x:c>
      <x:c r="P18" s="207" t="str">
        <x:v>Платежи, ДДС, бюджеты, остатки, AR/AP</x:v>
      </x:c>
      <x:c r="Q18" s="207" t="str">
        <x:v>Карантин → исправление → контрольная загрузка</x:v>
      </x:c>
      <x:c r="R18" s="208" t="str">
        <x:v>e56d76d98c0100d2f488a5e9cb129f7691d12f0ee7220897395539e7a866c8ea</x:v>
      </x:c>
    </x:row>
    <x:row r="19">
      <x:c r="A19" s="206" t="str">
        <x:v>FILE-015</x:v>
      </x:c>
      <x:c r="B19" s="207" t="str">
        <x:v>Выписка_40802810202620002686_01.01.2026–23.06.2026.xlsx</x:v>
      </x:c>
      <x:c r="C19" s="207" t="str">
        <x:v>Excel</x:v>
      </x:c>
      <x:c r="D19" s="207" t="n">
        <x:v>0.036</x:v>
      </x:c>
      <x:c r="E19" s="207" t="str">
        <x:v>Финансы и денежные потоки</x:v>
      </x:c>
      <x:c r="F19" s="207" t="str">
        <x:v>01.01.2026–23.06.2026</x:v>
      </x:c>
      <x:c r="G19" s="207" t="str">
        <x:v>Не указано в названии</x:v>
      </x:c>
      <x:c r="H19" s="207" t="str">
        <x:v>1 лист(ов); 3 478 непустых ячеек; 0 формул</x:v>
      </x:c>
      <x:c r="I19" s="207" t="str">
        <x:v>Полная: значения и формулы извлечены по всем листам</x:v>
      </x:c>
      <x:c r="J19" s="207" t="str">
        <x:v>Низкий</x:v>
      </x:c>
      <x:c r="K19" s="207" t="str">
        <x:v>Технических ошибок при извлечении не обнаружено; бизнес-корректность не подтверждена</x:v>
      </x:c>
      <x:c r="L19" s="207" t="str">
        <x:v>Есть</x:v>
      </x:c>
      <x:c r="M19" s="207" t="str">
        <x:v>Можно использовать как источник после содержательной сверки.</x:v>
      </x:c>
      <x:c r="N19" s="207" t="str">
        <x:v>Обычный внутренний</x:v>
      </x:c>
      <x:c r="O19" s="207" t="str">
        <x:v>ERP/1С + Bank hub + DWH</x:v>
      </x:c>
      <x:c r="P19" s="207" t="str">
        <x:v>Платежи, ДДС, бюджеты, остатки, AR/AP</x:v>
      </x:c>
      <x:c r="Q19" s="207" t="str">
        <x:v>Карантин → исправление → контрольная загрузка</x:v>
      </x:c>
      <x:c r="R19" s="208" t="str">
        <x:v>f7e9f79d4112a6de86882297d503d012943fe0e2f282e4436eb04a093cd0e4b5</x:v>
      </x:c>
    </x:row>
    <x:row r="20">
      <x:c r="A20" s="206" t="str">
        <x:v>FILE-016</x:v>
      </x:c>
      <x:c r="B20" s="207" t="str">
        <x:v>Вышивка себестоимость 2024-2026.xlsx</x:v>
      </x:c>
      <x:c r="C20" s="207" t="str">
        <x:v>Excel</x:v>
      </x:c>
      <x:c r="D20" s="207" t="n">
        <x:v>2.22</x:v>
      </x:c>
      <x:c r="E20" s="207" t="str">
        <x:v>Себестоимость и производство</x:v>
      </x:c>
      <x:c r="F20" s="207" t="str">
        <x:v>2024–2026</x:v>
      </x:c>
      <x:c r="G20" s="207" t="str">
        <x:v>ИП Янина / операционный контур (требует подтверждения по части файлов)</x:v>
      </x:c>
      <x:c r="H20" s="207" t="str">
        <x:v>7 лист(ов); 66 623 непустых ячеек; 3 945 формул</x:v>
      </x:c>
      <x:c r="I20" s="207" t="str">
        <x:v>Полная: значения и формулы извлечены по всем листам</x:v>
      </x:c>
      <x:c r="J20" s="207" t="str">
        <x:v>Низкий</x:v>
      </x:c>
      <x:c r="K20" s="207" t="str">
        <x:v>Встроенных медиафайлов: 28</x:v>
      </x:c>
      <x:c r="L20" s="207" t="str">
        <x:v>Есть</x:v>
      </x:c>
      <x:c r="M20" s="207" t="str">
        <x:v>Можно использовать как источник после содержательной сверки.</x:v>
      </x:c>
      <x:c r="N20" s="207" t="str">
        <x:v>Обычный внутренний</x:v>
      </x:c>
      <x:c r="O20" s="207" t="str">
        <x:v>PLM/ERP/MES</x:v>
      </x:c>
      <x:c r="P20" s="207" t="str">
        <x:v>BOM, production order, операции, cost version</x:v>
      </x:c>
      <x:c r="Q20" s="207" t="str">
        <x:v>Мигрировать данные в целевой регистр; файл оставить read-only выгрузкой/архивом</x:v>
      </x:c>
      <x:c r="R20" s="208" t="str">
        <x:v>627daa533ffd16aae4cbeeda651e6012595d9fcbb4e0586b4e2d3b8c5f2a7509</x:v>
      </x:c>
    </x:row>
    <x:row r="21">
      <x:c r="A21" s="206" t="str">
        <x:v>FILE-017</x:v>
      </x:c>
      <x:c r="B21" s="207" t="str">
        <x:v>ДДС 2024.xlsx</x:v>
      </x:c>
      <x:c r="C21" s="207" t="str">
        <x:v>Excel</x:v>
      </x:c>
      <x:c r="D21" s="207" t="n">
        <x:v>0.309</x:v>
      </x:c>
      <x:c r="E21" s="207" t="str">
        <x:v>Финансы и денежные потоки</x:v>
      </x:c>
      <x:c r="F21" s="207" t="str">
        <x:v>2024</x:v>
      </x:c>
      <x:c r="G21" s="207" t="str">
        <x:v>ИП Янина / операционный контур (требует подтверждения по части файлов)</x:v>
      </x:c>
      <x:c r="H21" s="207" t="str">
        <x:v>9 лист(ов); 19 037 непустых ячеек; 288 формул</x:v>
      </x:c>
      <x:c r="I21" s="207" t="str">
        <x:v>Полная: значения и формулы извлечены по всем листам</x:v>
      </x:c>
      <x:c r="J21" s="207" t="str">
        <x:v>Средний</x:v>
      </x:c>
      <x:c r="K21" s="207" t="str">
        <x:v>Внешние ссылки на локальные пути: 2</x:v>
      </x:c>
      <x:c r="L21" s="207" t="str">
        <x:v>Есть частично/с ограничениями</x:v>
      </x:c>
      <x:c r="M21" s="207" t="str">
        <x:v>Можно использовать как источник после содержательной сверки. Перед обновлением ссылок заменить локальные пути или зафиксировать значения.</x:v>
      </x:c>
      <x:c r="N21" s="207" t="str">
        <x:v>Обычный внутренний</x:v>
      </x:c>
      <x:c r="O21" s="207" t="str">
        <x:v>ERP/1С + Bank hub + DWH</x:v>
      </x:c>
      <x:c r="P21" s="207" t="str">
        <x:v>Платежи, ДДС, бюджеты, остатки, AR/AP</x:v>
      </x:c>
      <x:c r="Q21" s="207" t="str">
        <x:v>Карантин → исправление → контрольная загрузка</x:v>
      </x:c>
      <x:c r="R21" s="208" t="str">
        <x:v>cc92902423d37a432056be76995f96aac6593c803d63f9a250797c68f8fe4dc8</x:v>
      </x:c>
    </x:row>
    <x:row r="22">
      <x:c r="A22" s="206" t="str">
        <x:v>FILE-018</x:v>
      </x:c>
      <x:c r="B22" s="207" t="str">
        <x:v>ДДС 2025.xlsx</x:v>
      </x:c>
      <x:c r="C22" s="207" t="str">
        <x:v>Excel</x:v>
      </x:c>
      <x:c r="D22" s="207" t="n">
        <x:v>0.366</x:v>
      </x:c>
      <x:c r="E22" s="207" t="str">
        <x:v>Финансы и денежные потоки</x:v>
      </x:c>
      <x:c r="F22" s="207" t="str">
        <x:v>2025</x:v>
      </x:c>
      <x:c r="G22" s="207" t="str">
        <x:v>ИП Янина / операционный контур (требует подтверждения по части файлов)</x:v>
      </x:c>
      <x:c r="H22" s="207" t="str">
        <x:v>9 лист(ов); 28 368 непустых ячеек; 102 формул</x:v>
      </x:c>
      <x:c r="I22" s="207" t="str">
        <x:v>Полная: значения и формулы извлечены по всем листам</x:v>
      </x:c>
      <x:c r="J22" s="207" t="str">
        <x:v>Низкий</x:v>
      </x:c>
      <x:c r="K22" s="207" t="str">
        <x:v>Технических ошибок при извлечении не обнаружено; бизнес-корректность не подтверждена</x:v>
      </x:c>
      <x:c r="L22" s="207" t="str">
        <x:v>Есть</x:v>
      </x:c>
      <x:c r="M22" s="207" t="str">
        <x:v>Можно использовать как источник после содержательной сверки.</x:v>
      </x:c>
      <x:c r="N22" s="207" t="str">
        <x:v>Обычный внутренний</x:v>
      </x:c>
      <x:c r="O22" s="207" t="str">
        <x:v>ERP/1С + Bank hub + DWH</x:v>
      </x:c>
      <x:c r="P22" s="207" t="str">
        <x:v>Платежи, ДДС, бюджеты, остатки, AR/AP</x:v>
      </x:c>
      <x:c r="Q22" s="207" t="str">
        <x:v>Карантин → исправление → контрольная загрузка</x:v>
      </x:c>
      <x:c r="R22" s="208" t="str">
        <x:v>a4ff290aba3fc9e7828c43781ef3383b7a2308855cc54c5d2fe87086e6ea1f98</x:v>
      </x:c>
    </x:row>
    <x:row r="23">
      <x:c r="A23" s="206" t="str">
        <x:v>FILE-019</x:v>
      </x:c>
      <x:c r="B23" s="207" t="str">
        <x:v>ДДС 2026.xlxs.xlsx</x:v>
      </x:c>
      <x:c r="C23" s="207" t="str">
        <x:v>Excel</x:v>
      </x:c>
      <x:c r="D23" s="207" t="n">
        <x:v>0.189</x:v>
      </x:c>
      <x:c r="E23" s="207" t="str">
        <x:v>Финансы и денежные потоки</x:v>
      </x:c>
      <x:c r="F23" s="207" t="str">
        <x:v>2026</x:v>
      </x:c>
      <x:c r="G23" s="207" t="str">
        <x:v>ИП Янина / операционный контур (требует подтверждения по части файлов)</x:v>
      </x:c>
      <x:c r="H23" s="207" t="str">
        <x:v>8 лист(ов); 11 069 непустых ячеек; 47 формул</x:v>
      </x:c>
      <x:c r="I23" s="207" t="str">
        <x:v>Полная: значения и формулы извлечены по всем листам</x:v>
      </x:c>
      <x:c r="J23" s="207" t="str">
        <x:v>Средний</x:v>
      </x:c>
      <x:c r="K23" s="207" t="str">
        <x:v>Внешние ссылки на локальные пути: 2</x:v>
      </x:c>
      <x:c r="L23" s="207" t="str">
        <x:v>Есть частично/с ограничениями</x:v>
      </x:c>
      <x:c r="M23" s="207" t="str">
        <x:v>Можно использовать как источник после содержательной сверки. Перед обновлением ссылок заменить локальные пути или зафиксировать значения.</x:v>
      </x:c>
      <x:c r="N23" s="207" t="str">
        <x:v>Обычный внутренний</x:v>
      </x:c>
      <x:c r="O23" s="207" t="str">
        <x:v>ERP/1С + Bank hub + DWH</x:v>
      </x:c>
      <x:c r="P23" s="207" t="str">
        <x:v>Платежи, ДДС, бюджеты, остатки, AR/AP</x:v>
      </x:c>
      <x:c r="Q23" s="207" t="str">
        <x:v>Карантин → исправление → контрольная загрузка</x:v>
      </x:c>
      <x:c r="R23" s="208" t="str">
        <x:v>ebe873a7ce956dc8fcffdb33a52fa89347a98e1f7ac7294457e409461390a2d3</x:v>
      </x:c>
    </x:row>
    <x:row r="24">
      <x:c r="A24" s="206" t="str">
        <x:v>FILE-020</x:v>
      </x:c>
      <x:c r="B24" s="207" t="str">
        <x:v>Декларация по НДС за 1 квартал 2025 г. (Янина Ю. Ф. ИП).pdf</x:v>
      </x:c>
      <x:c r="C24" s="207" t="str">
        <x:v>PDF</x:v>
      </x:c>
      <x:c r="D24" s="207" t="n">
        <x:v>1.951</x:v>
      </x:c>
      <x:c r="E24" s="207" t="str">
        <x:v>Налоги и обязательная отчётность</x:v>
      </x:c>
      <x:c r="F24" s="207" t="str">
        <x:v>1 кв. 2025</x:v>
      </x:c>
      <x:c r="G24" s="207" t="str">
        <x:v>ИП Янина / операционный контур (требует подтверждения по части файлов)</x:v>
      </x:c>
      <x:c r="H24" s="207" t="str">
        <x:v>83 стр.; текстовый слой 83/83</x:v>
      </x:c>
      <x:c r="I24" s="207" t="str">
        <x:v>Полная: текст извлечён</x:v>
      </x:c>
      <x:c r="J24" s="207" t="str">
        <x:v>Низкий</x:v>
      </x:c>
      <x:c r="K24" s="207" t="str">
        <x:v>Технических ошибок при извлечении не обнаружено; бизнес-корректность не подтверждена</x:v>
      </x:c>
      <x:c r="L24" s="207" t="str">
        <x:v>Есть</x:v>
      </x:c>
      <x:c r="M24" s="207" t="str">
        <x:v>Можно использовать как источник после содержательной сверки.</x:v>
      </x:c>
      <x:c r="N24" s="207" t="str">
        <x:v>Обычный внутренний</x:v>
      </x:c>
      <x:c r="O24" s="207" t="str">
        <x:v>Tax ledger + ENS register + DMS</x:v>
      </x:c>
      <x:c r="P24" s="207" t="str">
        <x:v>Декларации, обязательства, уведомления, ЕНС</x:v>
      </x:c>
      <x:c r="Q24" s="207" t="str">
        <x:v>Карантин → исправление → контрольная загрузка</x:v>
      </x:c>
      <x:c r="R24" s="208" t="str">
        <x:v>f74a077718eabd5a25bda1f1f7d84c320e27b65a9c8b9b97263170d98be328ec</x:v>
      </x:c>
    </x:row>
    <x:row r="25">
      <x:c r="A25" s="206" t="str">
        <x:v>FILE-021</x:v>
      </x:c>
      <x:c r="B25" s="207" t="str">
        <x:v>Декларация по НДС за 1 квартал 2026 г. (Янина Ю. Ф. ИП).pdf</x:v>
      </x:c>
      <x:c r="C25" s="207" t="str">
        <x:v>PDF</x:v>
      </x:c>
      <x:c r="D25" s="207" t="n">
        <x:v>1.856</x:v>
      </x:c>
      <x:c r="E25" s="207" t="str">
        <x:v>Налоги и обязательная отчётность</x:v>
      </x:c>
      <x:c r="F25" s="207" t="str">
        <x:v>1 кв. 2026</x:v>
      </x:c>
      <x:c r="G25" s="207" t="str">
        <x:v>ИП Янина / операционный контур (требует подтверждения по части файлов)</x:v>
      </x:c>
      <x:c r="H25" s="207" t="str">
        <x:v>75 стр.; текстовый слой 75/75</x:v>
      </x:c>
      <x:c r="I25" s="207" t="str">
        <x:v>Полная: текст извлечён</x:v>
      </x:c>
      <x:c r="J25" s="207" t="str">
        <x:v>Низкий</x:v>
      </x:c>
      <x:c r="K25" s="207" t="str">
        <x:v>Технических ошибок при извлечении не обнаружено; бизнес-корректность не подтверждена</x:v>
      </x:c>
      <x:c r="L25" s="207" t="str">
        <x:v>Есть</x:v>
      </x:c>
      <x:c r="M25" s="207" t="str">
        <x:v>Можно использовать как источник после содержательной сверки.</x:v>
      </x:c>
      <x:c r="N25" s="207" t="str">
        <x:v>Обычный внутренний</x:v>
      </x:c>
      <x:c r="O25" s="207" t="str">
        <x:v>Tax ledger + ENS register + DMS</x:v>
      </x:c>
      <x:c r="P25" s="207" t="str">
        <x:v>Декларации, обязательства, уведомления, ЕНС</x:v>
      </x:c>
      <x:c r="Q25" s="207" t="str">
        <x:v>Карантин → исправление → контрольная загрузка</x:v>
      </x:c>
      <x:c r="R25" s="208" t="str">
        <x:v>58e7c0a3c0a6a7a02e1604b53ac39e08da7c020f7984c526e85316538a637186</x:v>
      </x:c>
    </x:row>
    <x:row r="26">
      <x:c r="A26" s="206" t="str">
        <x:v>FILE-022</x:v>
      </x:c>
      <x:c r="B26" s="207" t="str">
        <x:v>Декларация по НДС за 2 квартал 2025 г. (Янина Ю. Ф. ИП).pdf</x:v>
      </x:c>
      <x:c r="C26" s="207" t="str">
        <x:v>PDF</x:v>
      </x:c>
      <x:c r="D26" s="207" t="n">
        <x:v>1.91</x:v>
      </x:c>
      <x:c r="E26" s="207" t="str">
        <x:v>Налоги и обязательная отчётность</x:v>
      </x:c>
      <x:c r="F26" s="207" t="str">
        <x:v>2 кв. 2025</x:v>
      </x:c>
      <x:c r="G26" s="207" t="str">
        <x:v>ИП Янина / операционный контур (требует подтверждения по части файлов)</x:v>
      </x:c>
      <x:c r="H26" s="207" t="str">
        <x:v>81 стр.; текстовый слой 81/81</x:v>
      </x:c>
      <x:c r="I26" s="207" t="str">
        <x:v>Полная: текст извлечён</x:v>
      </x:c>
      <x:c r="J26" s="207" t="str">
        <x:v>Низкий</x:v>
      </x:c>
      <x:c r="K26" s="207" t="str">
        <x:v>Технических ошибок при извлечении не обнаружено; бизнес-корректность не подтверждена</x:v>
      </x:c>
      <x:c r="L26" s="207" t="str">
        <x:v>Есть</x:v>
      </x:c>
      <x:c r="M26" s="207" t="str">
        <x:v>Можно использовать как источник после содержательной сверки.</x:v>
      </x:c>
      <x:c r="N26" s="207" t="str">
        <x:v>Обычный внутренний</x:v>
      </x:c>
      <x:c r="O26" s="207" t="str">
        <x:v>Tax ledger + ENS register + DMS</x:v>
      </x:c>
      <x:c r="P26" s="207" t="str">
        <x:v>Декларации, обязательства, уведомления, ЕНС</x:v>
      </x:c>
      <x:c r="Q26" s="207" t="str">
        <x:v>Карантин → исправление → контрольная загрузка</x:v>
      </x:c>
      <x:c r="R26" s="208" t="str">
        <x:v>751e72cc84b854ccfa8337778f0292e2ec3d4db787406b27c620d4004fe50fb4</x:v>
      </x:c>
    </x:row>
    <x:row r="27">
      <x:c r="A27" s="206" t="str">
        <x:v>FILE-023</x:v>
      </x:c>
      <x:c r="B27" s="207" t="str">
        <x:v>Декларация по НДС за 3 квартал 2025 г. (Янина Ю. Ф. ИП).pdf</x:v>
      </x:c>
      <x:c r="C27" s="207" t="str">
        <x:v>PDF</x:v>
      </x:c>
      <x:c r="D27" s="207" t="n">
        <x:v>1.629</x:v>
      </x:c>
      <x:c r="E27" s="207" t="str">
        <x:v>Налоги и обязательная отчётность</x:v>
      </x:c>
      <x:c r="F27" s="207" t="str">
        <x:v>3 кв. 2025</x:v>
      </x:c>
      <x:c r="G27" s="207" t="str">
        <x:v>ИП Янина / операционный контур (требует подтверждения по части файлов)</x:v>
      </x:c>
      <x:c r="H27" s="207" t="str">
        <x:v>68 стр.; текстовый слой 68/68</x:v>
      </x:c>
      <x:c r="I27" s="207" t="str">
        <x:v>Полная: текст извлечён</x:v>
      </x:c>
      <x:c r="J27" s="207" t="str">
        <x:v>Низкий</x:v>
      </x:c>
      <x:c r="K27" s="207" t="str">
        <x:v>Технических ошибок при извлечении не обнаружено; бизнес-корректность не подтверждена</x:v>
      </x:c>
      <x:c r="L27" s="207" t="str">
        <x:v>Есть</x:v>
      </x:c>
      <x:c r="M27" s="207" t="str">
        <x:v>Можно использовать как источник после содержательной сверки.</x:v>
      </x:c>
      <x:c r="N27" s="207" t="str">
        <x:v>Обычный внутренний</x:v>
      </x:c>
      <x:c r="O27" s="207" t="str">
        <x:v>Tax ledger + ENS register + DMS</x:v>
      </x:c>
      <x:c r="P27" s="207" t="str">
        <x:v>Декларации, обязательства, уведомления, ЕНС</x:v>
      </x:c>
      <x:c r="Q27" s="207" t="str">
        <x:v>Карантин → исправление → контрольная загрузка</x:v>
      </x:c>
      <x:c r="R27" s="208" t="str">
        <x:v>4189b452903722c4ecbc1a72c3a2a4d418bafb67d6a8a2132c936c79f8bbdd8a</x:v>
      </x:c>
    </x:row>
    <x:row r="28">
      <x:c r="A28" s="206" t="str">
        <x:v>FILE-024</x:v>
      </x:c>
      <x:c r="B28" s="207" t="str">
        <x:v>Декларация по НДС за 4 квартал 2025 г. (Янина Ю. Ф. ИП).pdf</x:v>
      </x:c>
      <x:c r="C28" s="207" t="str">
        <x:v>PDF</x:v>
      </x:c>
      <x:c r="D28" s="207" t="n">
        <x:v>1.907</x:v>
      </x:c>
      <x:c r="E28" s="207" t="str">
        <x:v>Налоги и обязательная отчётность</x:v>
      </x:c>
      <x:c r="F28" s="207" t="str">
        <x:v>4 кв. 2025</x:v>
      </x:c>
      <x:c r="G28" s="207" t="str">
        <x:v>ИП Янина / операционный контур (требует подтверждения по части файлов)</x:v>
      </x:c>
      <x:c r="H28" s="207" t="str">
        <x:v>81 стр.; текстовый слой 81/81</x:v>
      </x:c>
      <x:c r="I28" s="207" t="str">
        <x:v>Полная: текст извлечён</x:v>
      </x:c>
      <x:c r="J28" s="207" t="str">
        <x:v>Низкий</x:v>
      </x:c>
      <x:c r="K28" s="207" t="str">
        <x:v>Технических ошибок при извлечении не обнаружено; бизнес-корректность не подтверждена</x:v>
      </x:c>
      <x:c r="L28" s="207" t="str">
        <x:v>Есть</x:v>
      </x:c>
      <x:c r="M28" s="207" t="str">
        <x:v>Можно использовать как источник после содержательной сверки.</x:v>
      </x:c>
      <x:c r="N28" s="207" t="str">
        <x:v>Обычный внутренний</x:v>
      </x:c>
      <x:c r="O28" s="207" t="str">
        <x:v>Tax ledger + ENS register + DMS</x:v>
      </x:c>
      <x:c r="P28" s="207" t="str">
        <x:v>Декларации, обязательства, уведомления, ЕНС</x:v>
      </x:c>
      <x:c r="Q28" s="207" t="str">
        <x:v>Карантин → исправление → контрольная загрузка</x:v>
      </x:c>
      <x:c r="R28" s="208" t="str">
        <x:v>fd5d253e7ee2ba66265b17ef91dc4112a2241272885bbf706155ad881d29c836</x:v>
      </x:c>
    </x:row>
    <x:row r="29">
      <x:c r="A29" s="206" t="str">
        <x:v>FILE-025</x:v>
      </x:c>
      <x:c r="B29" s="207" t="str">
        <x:v>Декларация по УСН за 2024 г. (ДЕКОР ООО).pdf</x:v>
      </x:c>
      <x:c r="C29" s="207" t="str">
        <x:v>PDF</x:v>
      </x:c>
      <x:c r="D29" s="207" t="n">
        <x:v>0.236</x:v>
      </x:c>
      <x:c r="E29" s="207" t="str">
        <x:v>Налоги и обязательная отчётность</x:v>
      </x:c>
      <x:c r="F29" s="207" t="str">
        <x:v>2024</x:v>
      </x:c>
      <x:c r="G29" s="207" t="str">
        <x:v>ООО «ДЕКОР»</x:v>
      </x:c>
      <x:c r="H29" s="207" t="str">
        <x:v>6 стр.; текстовый слой 6/6</x:v>
      </x:c>
      <x:c r="I29" s="207" t="str">
        <x:v>Полная: текст извлечён</x:v>
      </x:c>
      <x:c r="J29" s="207" t="str">
        <x:v>Низкий</x:v>
      </x:c>
      <x:c r="K29" s="207" t="str">
        <x:v>Технических ошибок при извлечении не обнаружено; бизнес-корректность не подтверждена</x:v>
      </x:c>
      <x:c r="L29" s="207" t="str">
        <x:v>Есть</x:v>
      </x:c>
      <x:c r="M29" s="207" t="str">
        <x:v>Можно использовать как источник после содержательной сверки.</x:v>
      </x:c>
      <x:c r="N29" s="207" t="str">
        <x:v>Обычный внутренний</x:v>
      </x:c>
      <x:c r="O29" s="207" t="str">
        <x:v>Tax ledger + ENS register + DMS</x:v>
      </x:c>
      <x:c r="P29" s="207" t="str">
        <x:v>Декларации, обязательства, уведомления, ЕНС</x:v>
      </x:c>
      <x:c r="Q29" s="207" t="str">
        <x:v>Карантин → исправление → контрольная загрузка</x:v>
      </x:c>
      <x:c r="R29" s="208" t="str">
        <x:v>3c28c9e1de553f4200e67d8a4c1ba533cc8e651d76e6a888b4195ed10a50a99d</x:v>
      </x:c>
    </x:row>
    <x:row r="30">
      <x:c r="A30" s="206" t="str">
        <x:v>FILE-026</x:v>
      </x:c>
      <x:c r="B30" s="207" t="str">
        <x:v>Декларация по УСН за 2024 г. (Янина Ю. Ф. ИП).pdf</x:v>
      </x:c>
      <x:c r="C30" s="207" t="str">
        <x:v>PDF</x:v>
      </x:c>
      <x:c r="D30" s="207" t="n">
        <x:v>0.214</x:v>
      </x:c>
      <x:c r="E30" s="207" t="str">
        <x:v>Налоги и обязательная отчётность</x:v>
      </x:c>
      <x:c r="F30" s="207" t="str">
        <x:v>2024</x:v>
      </x:c>
      <x:c r="G30" s="207" t="str">
        <x:v>ИП Янина / операционный контур (требует подтверждения по части файлов)</x:v>
      </x:c>
      <x:c r="H30" s="207" t="str">
        <x:v>4 стр.; текстовый слой 4/4</x:v>
      </x:c>
      <x:c r="I30" s="207" t="str">
        <x:v>Полная: текст извлечён</x:v>
      </x:c>
      <x:c r="J30" s="207" t="str">
        <x:v>Низкий</x:v>
      </x:c>
      <x:c r="K30" s="207" t="str">
        <x:v>Технических ошибок при извлечении не обнаружено; бизнес-корректность не подтверждена</x:v>
      </x:c>
      <x:c r="L30" s="207" t="str">
        <x:v>Есть</x:v>
      </x:c>
      <x:c r="M30" s="207" t="str">
        <x:v>Можно использовать как источник после содержательной сверки.</x:v>
      </x:c>
      <x:c r="N30" s="207" t="str">
        <x:v>Обычный внутренний</x:v>
      </x:c>
      <x:c r="O30" s="207" t="str">
        <x:v>Tax ledger + ENS register + DMS</x:v>
      </x:c>
      <x:c r="P30" s="207" t="str">
        <x:v>Декларации, обязательства, уведомления, ЕНС</x:v>
      </x:c>
      <x:c r="Q30" s="207" t="str">
        <x:v>Карантин → исправление → контрольная загрузка</x:v>
      </x:c>
      <x:c r="R30" s="208" t="str">
        <x:v>384293b40f8c821fe09c03dadf6526cf0189aed733aa1cfd85a872ed0c2bf721</x:v>
      </x:c>
    </x:row>
    <x:row r="31">
      <x:c r="A31" s="206" t="str">
        <x:v>FILE-027</x:v>
      </x:c>
      <x:c r="B31" s="207" t="str">
        <x:v>Декларация по УСН за 2025 г. (ДЕКОР ООО)(1).pdf</x:v>
      </x:c>
      <x:c r="C31" s="207" t="str">
        <x:v>PDF</x:v>
      </x:c>
      <x:c r="D31" s="207" t="n">
        <x:v>0.236</x:v>
      </x:c>
      <x:c r="E31" s="207" t="str">
        <x:v>Налоги и обязательная отчётность</x:v>
      </x:c>
      <x:c r="F31" s="207" t="str">
        <x:v>2025</x:v>
      </x:c>
      <x:c r="G31" s="207" t="str">
        <x:v>ООО «ДЕКОР»</x:v>
      </x:c>
      <x:c r="H31" s="207" t="str">
        <x:v>6 стр.; текстовый слой 6/6</x:v>
      </x:c>
      <x:c r="I31" s="207" t="str">
        <x:v>Полная: текст извлечён</x:v>
      </x:c>
      <x:c r="J31" s="207" t="str">
        <x:v>Низкий</x:v>
      </x:c>
      <x:c r="K31" s="207" t="str">
        <x:v>Технических ошибок при извлечении не обнаружено; бизнес-корректность не подтверждена</x:v>
      </x:c>
      <x:c r="L31" s="207" t="str">
        <x:v>Есть</x:v>
      </x:c>
      <x:c r="M31" s="207" t="str">
        <x:v>Можно использовать как источник после содержательной сверки.</x:v>
      </x:c>
      <x:c r="N31" s="207" t="str">
        <x:v>Обычный внутренний</x:v>
      </x:c>
      <x:c r="O31" s="207" t="str">
        <x:v>Tax ledger + ENS register + DMS</x:v>
      </x:c>
      <x:c r="P31" s="207" t="str">
        <x:v>Декларации, обязательства, уведомления, ЕНС</x:v>
      </x:c>
      <x:c r="Q31" s="207" t="str">
        <x:v>Карантин → исправление → контрольная загрузка</x:v>
      </x:c>
      <x:c r="R31" s="208" t="str">
        <x:v>12d1111a4489bb076f09469cafbccc8518fbfd2c1a237f73928c5d717f63db98</x:v>
      </x:c>
    </x:row>
    <x:row r="32">
      <x:c r="A32" s="206" t="str">
        <x:v>FILE-028</x:v>
      </x:c>
      <x:c r="B32" s="207" t="str">
        <x:v>Декларация по УСН за 2025 г. (Янина Ю. Ф. ИП)(1).pdf</x:v>
      </x:c>
      <x:c r="C32" s="207" t="str">
        <x:v>PDF</x:v>
      </x:c>
      <x:c r="D32" s="207" t="n">
        <x:v>0.206</x:v>
      </x:c>
      <x:c r="E32" s="207" t="str">
        <x:v>Налоги и обязательная отчётность</x:v>
      </x:c>
      <x:c r="F32" s="207" t="str">
        <x:v>2025</x:v>
      </x:c>
      <x:c r="G32" s="207" t="str">
        <x:v>ИП Янина / операционный контур (требует подтверждения по части файлов)</x:v>
      </x:c>
      <x:c r="H32" s="207" t="str">
        <x:v>4 стр.; текстовый слой 4/4</x:v>
      </x:c>
      <x:c r="I32" s="207" t="str">
        <x:v>Полная: текст извлечён</x:v>
      </x:c>
      <x:c r="J32" s="207" t="str">
        <x:v>Низкий</x:v>
      </x:c>
      <x:c r="K32" s="207" t="str">
        <x:v>Технических ошибок при извлечении не обнаружено; бизнес-корректность не подтверждена</x:v>
      </x:c>
      <x:c r="L32" s="207" t="str">
        <x:v>Есть</x:v>
      </x:c>
      <x:c r="M32" s="207" t="str">
        <x:v>Можно использовать как источник после содержательной сверки.</x:v>
      </x:c>
      <x:c r="N32" s="207" t="str">
        <x:v>Обычный внутренний</x:v>
      </x:c>
      <x:c r="O32" s="207" t="str">
        <x:v>Tax ledger + ENS register + DMS</x:v>
      </x:c>
      <x:c r="P32" s="207" t="str">
        <x:v>Декларации, обязательства, уведомления, ЕНС</x:v>
      </x:c>
      <x:c r="Q32" s="207" t="str">
        <x:v>Карантин → исправление → контрольная загрузка</x:v>
      </x:c>
      <x:c r="R32" s="208" t="str">
        <x:v>6f9b905decfd14564f228f9dcce3e3806b42234cfea27b4cc9cf510544cbfae6</x:v>
      </x:c>
    </x:row>
    <x:row r="33">
      <x:c r="A33" s="206" t="str">
        <x:v>FILE-029</x:v>
      </x:c>
      <x:c r="B33" s="207" t="str">
        <x:v>Договор_комплексной_диагностики_ИП_Янина_+_паспорт.docx</x:v>
      </x:c>
      <x:c r="C33" s="207" t="str">
        <x:v>Word DOCX</x:v>
      </x:c>
      <x:c r="D33" s="207" t="n">
        <x:v>0.042</x:v>
      </x:c>
      <x:c r="E33" s="207" t="str">
        <x:v>Договоры и проектные документы</x:v>
      </x:c>
      <x:c r="F33" s="207" t="str">
        <x:v>Не определён из названия</x:v>
      </x:c>
      <x:c r="G33" s="207" t="str">
        <x:v>ИП Янина / операционный контур (требует подтверждения по части файлов)</x:v>
      </x:c>
      <x:c r="H33" s="207" t="str">
        <x:v>Извлечение: complete</x:v>
      </x:c>
      <x:c r="I33" s="207" t="str">
        <x:v>Полная: текст/таблицы извлечены</x:v>
      </x:c>
      <x:c r="J33" s="207" t="str">
        <x:v>Низкий</x:v>
      </x:c>
      <x:c r="K33" s="207" t="str">
        <x:v>Содержит паспортные/персональные данные</x:v>
      </x:c>
      <x:c r="L33" s="207" t="str">
        <x:v>Есть</x:v>
      </x:c>
      <x:c r="M33" s="207" t="str">
        <x:v>Использовать только в защищённом контуре; не включать персональные данные в аналитические витрины.</x:v>
      </x:c>
      <x:c r="N33" s="207" t="str">
        <x:v>Ограниченный доступ: паспортные/персональные данные</x:v>
      </x:c>
      <x:c r="O33" s="207" t="str">
        <x:v>DMS/GRC</x:v>
      </x:c>
      <x:c r="P33" s="207" t="str">
        <x:v>Договоры, NDA, регламенты, approvals</x:v>
      </x:c>
      <x:c r="Q33" s="207" t="str">
        <x:v>Хранить только в защищённом DMS; не загружать в аналитические витрины</x:v>
      </x:c>
      <x:c r="R33" s="208" t="str">
        <x:v>0e9a2e8aa89b4fa9de90726540538048b5e1d1f215851d3cb39d74e0b0baccae</x:v>
      </x:c>
    </x:row>
    <x:row r="34">
      <x:c r="A34" s="206" t="str">
        <x:v>FILE-030</x:v>
      </x:c>
      <x:c r="B34" s="207" t="str">
        <x:v>ЗП за апрель 2025.xlsx</x:v>
      </x:c>
      <x:c r="C34" s="207" t="str">
        <x:v>Excel</x:v>
      </x:c>
      <x:c r="D34" s="207" t="n">
        <x:v>0.411</x:v>
      </x:c>
      <x:c r="E34" s="207" t="str">
        <x:v>Персонал и оплата труда</x:v>
      </x:c>
      <x:c r="F34" s="207" t="str">
        <x:v>2025</x:v>
      </x:c>
      <x:c r="G34" s="207" t="str">
        <x:v>ИП Янина / операционный контур (требует подтверждения по части файлов)</x:v>
      </x:c>
      <x:c r="H34" s="207" t="str">
        <x:v>11 лист(ов); 3 340 непустых ячеек; 282 формул</x:v>
      </x:c>
      <x:c r="I34" s="207" t="str">
        <x:v>Полная: значения и формулы извлечены по всем листам</x:v>
      </x:c>
      <x:c r="J34" s="207" t="str">
        <x:v>Низкий</x:v>
      </x:c>
      <x:c r="K34" s="207" t="str">
        <x:v>Встроенных медиафайлов: 1</x:v>
      </x:c>
      <x:c r="L34" s="207" t="str">
        <x:v>Есть</x:v>
      </x:c>
      <x:c r="M34" s="207" t="str">
        <x:v>Можно использовать как источник после содержательной сверки.</x:v>
      </x:c>
      <x:c r="N34" s="207" t="str">
        <x:v>Обычный внутренний</x:v>
      </x:c>
      <x:c r="O34" s="207" t="str">
        <x:v>HRIS/ЗУП + Payroll ledger</x:v>
      </x:c>
      <x:c r="P34" s="207" t="str">
        <x:v>Сотрудники, начисления, реестры выплат</x:v>
      </x:c>
      <x:c r="Q34" s="207" t="str">
        <x:v>Мигрировать данные в целевой регистр; файл оставить read-only выгрузкой/архивом</x:v>
      </x:c>
      <x:c r="R34" s="208" t="str">
        <x:v>bd6b213893f2c7b34aca27074eb51daafb68ce9163623b63cc21f962479c567b</x:v>
      </x:c>
    </x:row>
    <x:row r="35">
      <x:c r="A35" s="206" t="str">
        <x:v>FILE-031</x:v>
      </x:c>
      <x:c r="B35" s="207" t="str">
        <x:v>ЗП за апрель 2026.xlsx</x:v>
      </x:c>
      <x:c r="C35" s="207" t="str">
        <x:v>Excel</x:v>
      </x:c>
      <x:c r="D35" s="207" t="n">
        <x:v>0.079</x:v>
      </x:c>
      <x:c r="E35" s="207" t="str">
        <x:v>Персонал и оплата труда</x:v>
      </x:c>
      <x:c r="F35" s="207" t="str">
        <x:v>2026</x:v>
      </x:c>
      <x:c r="G35" s="207" t="str">
        <x:v>ИП Янина / операционный контур (требует подтверждения по части файлов)</x:v>
      </x:c>
      <x:c r="H35" s="207" t="str">
        <x:v>12 лист(ов); 3 906 непустых ячеек; 376 формул</x:v>
      </x:c>
      <x:c r="I35" s="207" t="str">
        <x:v>Полная: значения и формулы извлечены по всем листам</x:v>
      </x:c>
      <x:c r="J35" s="207" t="str">
        <x:v>Низкий</x:v>
      </x:c>
      <x:c r="K35" s="207" t="str">
        <x:v>Технических ошибок при извлечении не обнаружено; бизнес-корректность не подтверждена</x:v>
      </x:c>
      <x:c r="L35" s="207" t="str">
        <x:v>Есть</x:v>
      </x:c>
      <x:c r="M35" s="207" t="str">
        <x:v>Можно использовать как источник после содержательной сверки.</x:v>
      </x:c>
      <x:c r="N35" s="207" t="str">
        <x:v>Обычный внутренний</x:v>
      </x:c>
      <x:c r="O35" s="207" t="str">
        <x:v>HRIS/ЗУП + Payroll ledger</x:v>
      </x:c>
      <x:c r="P35" s="207" t="str">
        <x:v>Сотрудники, начисления, реестры выплат</x:v>
      </x:c>
      <x:c r="Q35" s="207" t="str">
        <x:v>Карантин → исправление → контрольная загрузка</x:v>
      </x:c>
      <x:c r="R35" s="208" t="str">
        <x:v>a3d0ba92fb36c1a6eda83cf583c84a2bc0d074b45bf92023e946bc6aba98ec78</x:v>
      </x:c>
    </x:row>
    <x:row r="36">
      <x:c r="A36" s="206" t="str">
        <x:v>FILE-032</x:v>
      </x:c>
      <x:c r="B36" s="207" t="str">
        <x:v>ЗП за июнь 2025.xlsx</x:v>
      </x:c>
      <x:c r="C36" s="207" t="str">
        <x:v>Excel</x:v>
      </x:c>
      <x:c r="D36" s="207" t="n">
        <x:v>0.07</x:v>
      </x:c>
      <x:c r="E36" s="207" t="str">
        <x:v>Персонал и оплата труда</x:v>
      </x:c>
      <x:c r="F36" s="207" t="str">
        <x:v>2025</x:v>
      </x:c>
      <x:c r="G36" s="207" t="str">
        <x:v>ИП Янина / операционный контур (требует подтверждения по части файлов)</x:v>
      </x:c>
      <x:c r="H36" s="207" t="str">
        <x:v>11 лист(ов); 3 458 непустых ячеек; 309 формул</x:v>
      </x:c>
      <x:c r="I36" s="207" t="str">
        <x:v>Полная: значения и формулы извлечены по всем листам</x:v>
      </x:c>
      <x:c r="J36" s="207" t="str">
        <x:v>Низкий</x:v>
      </x:c>
      <x:c r="K36" s="207" t="str">
        <x:v>Технических ошибок при извлечении не обнаружено; бизнес-корректность не подтверждена</x:v>
      </x:c>
      <x:c r="L36" s="207" t="str">
        <x:v>Есть</x:v>
      </x:c>
      <x:c r="M36" s="207" t="str">
        <x:v>Можно использовать как источник после содержательной сверки.</x:v>
      </x:c>
      <x:c r="N36" s="207" t="str">
        <x:v>Обычный внутренний</x:v>
      </x:c>
      <x:c r="O36" s="207" t="str">
        <x:v>HRIS/ЗУП + Payroll ledger</x:v>
      </x:c>
      <x:c r="P36" s="207" t="str">
        <x:v>Сотрудники, начисления, реестры выплат</x:v>
      </x:c>
      <x:c r="Q36" s="207" t="str">
        <x:v>Карантин → исправление → контрольная загрузка</x:v>
      </x:c>
      <x:c r="R36" s="208" t="str">
        <x:v>fb5cfe41ed03d0742bdff0d1e392b1cd6f20e1654ddec6980aca3f634ed2aaab</x:v>
      </x:c>
    </x:row>
    <x:row r="37">
      <x:c r="A37" s="206" t="str">
        <x:v>FILE-033</x:v>
      </x:c>
      <x:c r="B37" s="207" t="str">
        <x:v>ЗП за май 2025.xlsx</x:v>
      </x:c>
      <x:c r="C37" s="207" t="str">
        <x:v>Excel</x:v>
      </x:c>
      <x:c r="D37" s="207" t="n">
        <x:v>0.065</x:v>
      </x:c>
      <x:c r="E37" s="207" t="str">
        <x:v>Персонал и оплата труда</x:v>
      </x:c>
      <x:c r="F37" s="207" t="str">
        <x:v>2025</x:v>
      </x:c>
      <x:c r="G37" s="207" t="str">
        <x:v>ИП Янина / операционный контур (требует подтверждения по части файлов)</x:v>
      </x:c>
      <x:c r="H37" s="207" t="str">
        <x:v>11 лист(ов); 3 191 непустых ячеек; 271 формул</x:v>
      </x:c>
      <x:c r="I37" s="207" t="str">
        <x:v>Полная: значения и формулы извлечены по всем листам</x:v>
      </x:c>
      <x:c r="J37" s="207" t="str">
        <x:v>Низкий</x:v>
      </x:c>
      <x:c r="K37" s="207" t="str">
        <x:v>Технических ошибок при извлечении не обнаружено; бизнес-корректность не подтверждена</x:v>
      </x:c>
      <x:c r="L37" s="207" t="str">
        <x:v>Есть</x:v>
      </x:c>
      <x:c r="M37" s="207" t="str">
        <x:v>Можно использовать как источник после содержательной сверки.</x:v>
      </x:c>
      <x:c r="N37" s="207" t="str">
        <x:v>Обычный внутренний</x:v>
      </x:c>
      <x:c r="O37" s="207" t="str">
        <x:v>HRIS/ЗУП + Payroll ledger</x:v>
      </x:c>
      <x:c r="P37" s="207" t="str">
        <x:v>Сотрудники, начисления, реестры выплат</x:v>
      </x:c>
      <x:c r="Q37" s="207" t="str">
        <x:v>Карантин → исправление → контрольная загрузка</x:v>
      </x:c>
      <x:c r="R37" s="208" t="str">
        <x:v>5cdda43eb16378f186c51bf58bff4101d49d9188de2f899955b11efcb54166af</x:v>
      </x:c>
    </x:row>
    <x:row r="38">
      <x:c r="A38" s="206" t="str">
        <x:v>FILE-034</x:v>
      </x:c>
      <x:c r="B38" s="207" t="str">
        <x:v>ЗП за май 2026.xlsx</x:v>
      </x:c>
      <x:c r="C38" s="207" t="str">
        <x:v>Excel</x:v>
      </x:c>
      <x:c r="D38" s="207" t="n">
        <x:v>0.079</x:v>
      </x:c>
      <x:c r="E38" s="207" t="str">
        <x:v>Персонал и оплата труда</x:v>
      </x:c>
      <x:c r="F38" s="207" t="str">
        <x:v>2026</x:v>
      </x:c>
      <x:c r="G38" s="207" t="str">
        <x:v>ИП Янина / операционный контур (требует подтверждения по части файлов)</x:v>
      </x:c>
      <x:c r="H38" s="207" t="str">
        <x:v>12 лист(ов); 3 694 непустых ячеек; 368 формул</x:v>
      </x:c>
      <x:c r="I38" s="207" t="str">
        <x:v>Полная: значения и формулы извлечены по всем листам</x:v>
      </x:c>
      <x:c r="J38" s="207" t="str">
        <x:v>Низкий</x:v>
      </x:c>
      <x:c r="K38" s="207" t="str">
        <x:v>Технических ошибок при извлечении не обнаружено; бизнес-корректность не подтверждена</x:v>
      </x:c>
      <x:c r="L38" s="207" t="str">
        <x:v>Есть</x:v>
      </x:c>
      <x:c r="M38" s="207" t="str">
        <x:v>Можно использовать как источник после содержательной сверки.</x:v>
      </x:c>
      <x:c r="N38" s="207" t="str">
        <x:v>Обычный внутренний</x:v>
      </x:c>
      <x:c r="O38" s="207" t="str">
        <x:v>HRIS/ЗУП + Payroll ledger</x:v>
      </x:c>
      <x:c r="P38" s="207" t="str">
        <x:v>Сотрудники, начисления, реестры выплат</x:v>
      </x:c>
      <x:c r="Q38" s="207" t="str">
        <x:v>Карантин → исправление → контрольная загрузка</x:v>
      </x:c>
      <x:c r="R38" s="208" t="str">
        <x:v>3de974947bcad3855ebb6685bac9733f2093d16069206b857f8e94e3676227cd</x:v>
      </x:c>
    </x:row>
    <x:row r="39">
      <x:c r="A39" s="206" t="str">
        <x:v>FILE-035</x:v>
      </x:c>
      <x:c r="B39" s="207" t="str">
        <x:v>ЗП за март 2025.xlsx</x:v>
      </x:c>
      <x:c r="C39" s="207" t="str">
        <x:v>Excel</x:v>
      </x:c>
      <x:c r="D39" s="207" t="n">
        <x:v>0.589</x:v>
      </x:c>
      <x:c r="E39" s="207" t="str">
        <x:v>Персонал и оплата труда</x:v>
      </x:c>
      <x:c r="F39" s="207" t="str">
        <x:v>2025</x:v>
      </x:c>
      <x:c r="G39" s="207" t="str">
        <x:v>ИП Янина / операционный контур (требует подтверждения по части файлов)</x:v>
      </x:c>
      <x:c r="H39" s="207" t="str">
        <x:v>11 лист(ов); 3 180 непустых ячеек; 247 формул</x:v>
      </x:c>
      <x:c r="I39" s="207" t="str">
        <x:v>Полная: значения и формулы извлечены по всем листам</x:v>
      </x:c>
      <x:c r="J39" s="207" t="str">
        <x:v>Низкий</x:v>
      </x:c>
      <x:c r="K39" s="207" t="str">
        <x:v>Встроенных медиафайлов: 1</x:v>
      </x:c>
      <x:c r="L39" s="207" t="str">
        <x:v>Есть</x:v>
      </x:c>
      <x:c r="M39" s="207" t="str">
        <x:v>Можно использовать как источник после содержательной сверки.</x:v>
      </x:c>
      <x:c r="N39" s="207" t="str">
        <x:v>Обычный внутренний</x:v>
      </x:c>
      <x:c r="O39" s="207" t="str">
        <x:v>HRIS/ЗУП + Payroll ledger</x:v>
      </x:c>
      <x:c r="P39" s="207" t="str">
        <x:v>Сотрудники, начисления, реестры выплат</x:v>
      </x:c>
      <x:c r="Q39" s="207" t="str">
        <x:v>Мигрировать данные в целевой регистр; файл оставить read-only выгрузкой/архивом</x:v>
      </x:c>
      <x:c r="R39" s="208" t="str">
        <x:v>bbdde3bd1fdf91f390564c24b53a7e2dfdb1d81798fc53d6bc2c18cb0d119b53</x:v>
      </x:c>
    </x:row>
    <x:row r="40">
      <x:c r="A40" s="206" t="str">
        <x:v>FILE-036</x:v>
      </x:c>
      <x:c r="B40" s="207" t="str">
        <x:v>ЗП за март 2026.xlsx</x:v>
      </x:c>
      <x:c r="C40" s="207" t="str">
        <x:v>Excel</x:v>
      </x:c>
      <x:c r="D40" s="207" t="n">
        <x:v>0.071</x:v>
      </x:c>
      <x:c r="E40" s="207" t="str">
        <x:v>Персонал и оплата труда</x:v>
      </x:c>
      <x:c r="F40" s="207" t="str">
        <x:v>2026</x:v>
      </x:c>
      <x:c r="G40" s="207" t="str">
        <x:v>ИП Янина / операционный контур (требует подтверждения по части файлов)</x:v>
      </x:c>
      <x:c r="H40" s="207" t="str">
        <x:v>11 лист(ов); 3 749 непустых ячеек; 348 формул</x:v>
      </x:c>
      <x:c r="I40" s="207" t="str">
        <x:v>Полная: значения и формулы извлечены по всем листам</x:v>
      </x:c>
      <x:c r="J40" s="207" t="str">
        <x:v>Низкий</x:v>
      </x:c>
      <x:c r="K40" s="207" t="str">
        <x:v>Технических ошибок при извлечении не обнаружено; бизнес-корректность не подтверждена</x:v>
      </x:c>
      <x:c r="L40" s="207" t="str">
        <x:v>Есть</x:v>
      </x:c>
      <x:c r="M40" s="207" t="str">
        <x:v>Можно использовать как источник после содержательной сверки.</x:v>
      </x:c>
      <x:c r="N40" s="207" t="str">
        <x:v>Обычный внутренний</x:v>
      </x:c>
      <x:c r="O40" s="207" t="str">
        <x:v>HRIS/ЗУП + Payroll ledger</x:v>
      </x:c>
      <x:c r="P40" s="207" t="str">
        <x:v>Сотрудники, начисления, реестры выплат</x:v>
      </x:c>
      <x:c r="Q40" s="207" t="str">
        <x:v>Карантин → исправление → контрольная загрузка</x:v>
      </x:c>
      <x:c r="R40" s="208" t="str">
        <x:v>0bb9ee76440947352d23014c5be96fddd514ddf12a0ea99c13dddfbd86f256ba</x:v>
      </x:c>
    </x:row>
    <x:row r="41">
      <x:c r="A41" s="206" t="str">
        <x:v>FILE-037</x:v>
      </x:c>
      <x:c r="B41" s="207" t="str">
        <x:v>ЗП за февраль 2025.xlsx</x:v>
      </x:c>
      <x:c r="C41" s="207" t="str">
        <x:v>Excel</x:v>
      </x:c>
      <x:c r="D41" s="207" t="n">
        <x:v>0.125</x:v>
      </x:c>
      <x:c r="E41" s="207" t="str">
        <x:v>Персонал и оплата труда</x:v>
      </x:c>
      <x:c r="F41" s="207" t="str">
        <x:v>2025</x:v>
      </x:c>
      <x:c r="G41" s="207" t="str">
        <x:v>ИП Янина / операционный контур (требует подтверждения по части файлов)</x:v>
      </x:c>
      <x:c r="H41" s="207" t="str">
        <x:v>11 лист(ов); 3 032 непустых ячеек; 281 формул</x:v>
      </x:c>
      <x:c r="I41" s="207" t="str">
        <x:v>Полная: значения и формулы извлечены по всем листам</x:v>
      </x:c>
      <x:c r="J41" s="207" t="str">
        <x:v>Низкий</x:v>
      </x:c>
      <x:c r="K41" s="207" t="str">
        <x:v>Встроенных медиафайлов: 1</x:v>
      </x:c>
      <x:c r="L41" s="207" t="str">
        <x:v>Есть</x:v>
      </x:c>
      <x:c r="M41" s="207" t="str">
        <x:v>Можно использовать как источник после содержательной сверки.</x:v>
      </x:c>
      <x:c r="N41" s="207" t="str">
        <x:v>Обычный внутренний</x:v>
      </x:c>
      <x:c r="O41" s="207" t="str">
        <x:v>HRIS/ЗУП + Payroll ledger</x:v>
      </x:c>
      <x:c r="P41" s="207" t="str">
        <x:v>Сотрудники, начисления, реестры выплат</x:v>
      </x:c>
      <x:c r="Q41" s="207" t="str">
        <x:v>Мигрировать данные в целевой регистр; файл оставить read-only выгрузкой/архивом</x:v>
      </x:c>
      <x:c r="R41" s="208" t="str">
        <x:v>2fd7298151e1a5d9ae8c4ce520e9613a78e16e7e8b851f218ca7c3278d1b8041</x:v>
      </x:c>
    </x:row>
    <x:row r="42">
      <x:c r="A42" s="206" t="str">
        <x:v>FILE-038</x:v>
      </x:c>
      <x:c r="B42" s="207" t="str">
        <x:v>ЗП за февраль 2026.xlsx</x:v>
      </x:c>
      <x:c r="C42" s="207" t="str">
        <x:v>Excel</x:v>
      </x:c>
      <x:c r="D42" s="207" t="n">
        <x:v>0.073</x:v>
      </x:c>
      <x:c r="E42" s="207" t="str">
        <x:v>Персонал и оплата труда</x:v>
      </x:c>
      <x:c r="F42" s="207" t="str">
        <x:v>2026</x:v>
      </x:c>
      <x:c r="G42" s="207" t="str">
        <x:v>ИП Янина / операционный контур (требует подтверждения по части файлов)</x:v>
      </x:c>
      <x:c r="H42" s="207" t="str">
        <x:v>11 лист(ов); 3 604 непустых ячеек; 337 формул</x:v>
      </x:c>
      <x:c r="I42" s="207" t="str">
        <x:v>Полная: значения и формулы извлечены по всем листам</x:v>
      </x:c>
      <x:c r="J42" s="207" t="str">
        <x:v>Критический</x:v>
      </x:c>
      <x:c r="K42" s="207" t="str">
        <x:v>10 × #REF!</x:v>
      </x:c>
      <x:c r="L42" s="207" t="str">
        <x:v>Есть</x:v>
      </x:c>
      <x:c r="M42" s="207" t="str">
        <x:v>Не использовать зависимые итоги и распределения до восстановления ссылок.</x:v>
      </x:c>
      <x:c r="N42" s="207" t="str">
        <x:v>Обычный внутренний</x:v>
      </x:c>
      <x:c r="O42" s="207" t="str">
        <x:v>HRIS/ЗУП + Payroll ledger</x:v>
      </x:c>
      <x:c r="P42" s="207" t="str">
        <x:v>Сотрудники, начисления, реестры выплат</x:v>
      </x:c>
      <x:c r="Q42" s="207" t="str">
        <x:v>Карантин → исправление → контрольная загрузка</x:v>
      </x:c>
      <x:c r="R42" s="208" t="str">
        <x:v>cb8e8dd591819aef6e585d3b2c8cbbfbbda250f11fdcaf9390e309f62fe91e1f</x:v>
      </x:c>
    </x:row>
    <x:row r="43">
      <x:c r="A43" s="206" t="str">
        <x:v>FILE-039</x:v>
      </x:c>
      <x:c r="B43" s="207" t="str">
        <x:v>ЗП за январь 2025.xlsx</x:v>
      </x:c>
      <x:c r="C43" s="207" t="str">
        <x:v>Excel</x:v>
      </x:c>
      <x:c r="D43" s="207" t="n">
        <x:v>0.329</x:v>
      </x:c>
      <x:c r="E43" s="207" t="str">
        <x:v>Персонал и оплата труда</x:v>
      </x:c>
      <x:c r="F43" s="207" t="str">
        <x:v>2025</x:v>
      </x:c>
      <x:c r="G43" s="207" t="str">
        <x:v>ИП Янина / операционный контур (требует подтверждения по части файлов)</x:v>
      </x:c>
      <x:c r="H43" s="207" t="str">
        <x:v>11 лист(ов); 2 735 непустых ячеек; 239 формул</x:v>
      </x:c>
      <x:c r="I43" s="207" t="str">
        <x:v>Полная: значения и формулы извлечены по всем листам</x:v>
      </x:c>
      <x:c r="J43" s="207" t="str">
        <x:v>Низкий</x:v>
      </x:c>
      <x:c r="K43" s="207" t="str">
        <x:v>Встроенных медиафайлов: 1</x:v>
      </x:c>
      <x:c r="L43" s="207" t="str">
        <x:v>Есть</x:v>
      </x:c>
      <x:c r="M43" s="207" t="str">
        <x:v>Можно использовать как источник после содержательной сверки.</x:v>
      </x:c>
      <x:c r="N43" s="207" t="str">
        <x:v>Обычный внутренний</x:v>
      </x:c>
      <x:c r="O43" s="207" t="str">
        <x:v>HRIS/ЗУП + Payroll ledger</x:v>
      </x:c>
      <x:c r="P43" s="207" t="str">
        <x:v>Сотрудники, начисления, реестры выплат</x:v>
      </x:c>
      <x:c r="Q43" s="207" t="str">
        <x:v>Мигрировать данные в целевой регистр; файл оставить read-only выгрузкой/архивом</x:v>
      </x:c>
      <x:c r="R43" s="208" t="str">
        <x:v>9b9fb12c59e9ef47a35d6d95ab8d48ee46a400ed8bad276a4eb353986a6123d7</x:v>
      </x:c>
    </x:row>
    <x:row r="44">
      <x:c r="A44" s="206" t="str">
        <x:v>FILE-040</x:v>
      </x:c>
      <x:c r="B44" s="207" t="str">
        <x:v>ЗП за январь 2026.xlsx</x:v>
      </x:c>
      <x:c r="C44" s="207" t="str">
        <x:v>Excel</x:v>
      </x:c>
      <x:c r="D44" s="207" t="n">
        <x:v>0.077</x:v>
      </x:c>
      <x:c r="E44" s="207" t="str">
        <x:v>Персонал и оплата труда</x:v>
      </x:c>
      <x:c r="F44" s="207" t="str">
        <x:v>2026</x:v>
      </x:c>
      <x:c r="G44" s="207" t="str">
        <x:v>ИП Янина / операционный контур (требует подтверждения по части файлов)</x:v>
      </x:c>
      <x:c r="H44" s="207" t="str">
        <x:v>12 лист(ов); 3 635 непустых ячеек; 352 формул</x:v>
      </x:c>
      <x:c r="I44" s="207" t="str">
        <x:v>Полная: значения и формулы извлечены по всем листам</x:v>
      </x:c>
      <x:c r="J44" s="207" t="str">
        <x:v>Критический</x:v>
      </x:c>
      <x:c r="K44" s="207" t="str">
        <x:v>4 × #REF!</x:v>
      </x:c>
      <x:c r="L44" s="207" t="str">
        <x:v>Есть</x:v>
      </x:c>
      <x:c r="M44" s="207" t="str">
        <x:v>Не использовать зависимые итоги и распределения до восстановления ссылок.</x:v>
      </x:c>
      <x:c r="N44" s="207" t="str">
        <x:v>Обычный внутренний</x:v>
      </x:c>
      <x:c r="O44" s="207" t="str">
        <x:v>HRIS/ЗУП + Payroll ledger</x:v>
      </x:c>
      <x:c r="P44" s="207" t="str">
        <x:v>Сотрудники, начисления, реестры выплат</x:v>
      </x:c>
      <x:c r="Q44" s="207" t="str">
        <x:v>Карантин → исправление → контрольная загрузка</x:v>
      </x:c>
      <x:c r="R44" s="208" t="str">
        <x:v>b4ed2a1be4900c1f275865b9e8918f7d2dde9d347f6b12e84a6c390deaf56e93</x:v>
      </x:c>
    </x:row>
    <x:row r="45">
      <x:c r="A45" s="206" t="str">
        <x:v>FILE-041</x:v>
      </x:c>
      <x:c r="B45" s="207" t="str">
        <x:v>зп_конструкторы_01.26.xlsx</x:v>
      </x:c>
      <x:c r="C45" s="207" t="str">
        <x:v>Excel</x:v>
      </x:c>
      <x:c r="D45" s="207" t="n">
        <x:v>0.043</x:v>
      </x:c>
      <x:c r="E45" s="207" t="str">
        <x:v>Персонал и оплата труда</x:v>
      </x:c>
      <x:c r="F45" s="207" t="str">
        <x:v>01.2026</x:v>
      </x:c>
      <x:c r="G45" s="207" t="str">
        <x:v>ИП Янина / операционный контур (требует подтверждения по части файлов)</x:v>
      </x:c>
      <x:c r="H45" s="207" t="str">
        <x:v>4 лист(ов); 1 289 непустых ячеек; 166 формул</x:v>
      </x:c>
      <x:c r="I45" s="207" t="str">
        <x:v>Полная: значения и формулы извлечены по всем листам</x:v>
      </x:c>
      <x:c r="J45" s="207" t="str">
        <x:v>Низкий</x:v>
      </x:c>
      <x:c r="K45" s="207" t="str">
        <x:v>Технических ошибок при извлечении не обнаружено; бизнес-корректность не подтверждена</x:v>
      </x:c>
      <x:c r="L45" s="207" t="str">
        <x:v>Есть</x:v>
      </x:c>
      <x:c r="M45" s="207" t="str">
        <x:v>Можно использовать как источник после содержательной сверки.</x:v>
      </x:c>
      <x:c r="N45" s="207" t="str">
        <x:v>Обычный внутренний</x:v>
      </x:c>
      <x:c r="O45" s="207" t="str">
        <x:v>HRIS/ЗУП + Payroll ledger</x:v>
      </x:c>
      <x:c r="P45" s="207" t="str">
        <x:v>Сотрудники, начисления, реестры выплат</x:v>
      </x:c>
      <x:c r="Q45" s="207" t="str">
        <x:v>Карантин → исправление → контрольная загрузка</x:v>
      </x:c>
      <x:c r="R45" s="208" t="str">
        <x:v>d0aa6a1a63832e0184b1654f899acbb0cd418c65a90e4ba26c91ca2b63a58c37</x:v>
      </x:c>
    </x:row>
    <x:row r="46">
      <x:c r="A46" s="206" t="str">
        <x:v>FILE-042</x:v>
      </x:c>
      <x:c r="B46" s="207" t="str">
        <x:v>зп_конструкторы_02.26.xlsx</x:v>
      </x:c>
      <x:c r="C46" s="207" t="str">
        <x:v>Excel</x:v>
      </x:c>
      <x:c r="D46" s="207" t="n">
        <x:v>0.042</x:v>
      </x:c>
      <x:c r="E46" s="207" t="str">
        <x:v>Персонал и оплата труда</x:v>
      </x:c>
      <x:c r="F46" s="207" t="str">
        <x:v>02.2026</x:v>
      </x:c>
      <x:c r="G46" s="207" t="str">
        <x:v>ИП Янина / операционный контур (требует подтверждения по части файлов)</x:v>
      </x:c>
      <x:c r="H46" s="207" t="str">
        <x:v>4 лист(ов); 1 291 непустых ячеек; 167 формул</x:v>
      </x:c>
      <x:c r="I46" s="207" t="str">
        <x:v>Полная: значения и формулы извлечены по всем листам</x:v>
      </x:c>
      <x:c r="J46" s="207" t="str">
        <x:v>Низкий</x:v>
      </x:c>
      <x:c r="K46" s="207" t="str">
        <x:v>Технических ошибок при извлечении не обнаружено; бизнес-корректность не подтверждена</x:v>
      </x:c>
      <x:c r="L46" s="207" t="str">
        <x:v>Есть</x:v>
      </x:c>
      <x:c r="M46" s="207" t="str">
        <x:v>Можно использовать как источник после содержательной сверки.</x:v>
      </x:c>
      <x:c r="N46" s="207" t="str">
        <x:v>Обычный внутренний</x:v>
      </x:c>
      <x:c r="O46" s="207" t="str">
        <x:v>HRIS/ЗУП + Payroll ledger</x:v>
      </x:c>
      <x:c r="P46" s="207" t="str">
        <x:v>Сотрудники, начисления, реестры выплат</x:v>
      </x:c>
      <x:c r="Q46" s="207" t="str">
        <x:v>Карантин → исправление → контрольная загрузка</x:v>
      </x:c>
      <x:c r="R46" s="208" t="str">
        <x:v>1d6289fef8a44651b165c336b8ebb2332a13a6fb9b0b1008b61e26aa5cbf686a</x:v>
      </x:c>
    </x:row>
    <x:row r="47">
      <x:c r="A47" s="206" t="str">
        <x:v>FILE-043</x:v>
      </x:c>
      <x:c r="B47" s="207" t="str">
        <x:v>зп_конструкторы_03.26.xlsx</x:v>
      </x:c>
      <x:c r="C47" s="207" t="str">
        <x:v>Excel</x:v>
      </x:c>
      <x:c r="D47" s="207" t="n">
        <x:v>0.043</x:v>
      </x:c>
      <x:c r="E47" s="207" t="str">
        <x:v>Персонал и оплата труда</x:v>
      </x:c>
      <x:c r="F47" s="207" t="str">
        <x:v>03.2026</x:v>
      </x:c>
      <x:c r="G47" s="207" t="str">
        <x:v>ИП Янина / операционный контур (требует подтверждения по части файлов)</x:v>
      </x:c>
      <x:c r="H47" s="207" t="str">
        <x:v>4 лист(ов); 1 291 непустых ячеек; 167 формул</x:v>
      </x:c>
      <x:c r="I47" s="207" t="str">
        <x:v>Полная: значения и формулы извлечены по всем листам</x:v>
      </x:c>
      <x:c r="J47" s="207" t="str">
        <x:v>Низкий</x:v>
      </x:c>
      <x:c r="K47" s="207" t="str">
        <x:v>Технических ошибок при извлечении не обнаружено; бизнес-корректность не подтверждена</x:v>
      </x:c>
      <x:c r="L47" s="207" t="str">
        <x:v>Есть</x:v>
      </x:c>
      <x:c r="M47" s="207" t="str">
        <x:v>Можно использовать как источник после содержательной сверки.</x:v>
      </x:c>
      <x:c r="N47" s="207" t="str">
        <x:v>Обычный внутренний</x:v>
      </x:c>
      <x:c r="O47" s="207" t="str">
        <x:v>HRIS/ЗУП + Payroll ledger</x:v>
      </x:c>
      <x:c r="P47" s="207" t="str">
        <x:v>Сотрудники, начисления, реестры выплат</x:v>
      </x:c>
      <x:c r="Q47" s="207" t="str">
        <x:v>Карантин → исправление → контрольная загрузка</x:v>
      </x:c>
      <x:c r="R47" s="208" t="str">
        <x:v>17cbbbf54cf2909d71a4e254aa34fedfede6700865d35c4c5ab352ee2c243d46</x:v>
      </x:c>
    </x:row>
    <x:row r="48">
      <x:c r="A48" s="206" t="str">
        <x:v>FILE-044</x:v>
      </x:c>
      <x:c r="B48" s="207" t="str">
        <x:v>зп_конструкторы_04.26.xlsx</x:v>
      </x:c>
      <x:c r="C48" s="207" t="str">
        <x:v>Excel</x:v>
      </x:c>
      <x:c r="D48" s="207" t="n">
        <x:v>0.043</x:v>
      </x:c>
      <x:c r="E48" s="207" t="str">
        <x:v>Персонал и оплата труда</x:v>
      </x:c>
      <x:c r="F48" s="207" t="str">
        <x:v>04.2026</x:v>
      </x:c>
      <x:c r="G48" s="207" t="str">
        <x:v>ИП Янина / операционный контур (требует подтверждения по части файлов)</x:v>
      </x:c>
      <x:c r="H48" s="207" t="str">
        <x:v>4 лист(ов); 1 288 непустых ячеек; 167 формул</x:v>
      </x:c>
      <x:c r="I48" s="207" t="str">
        <x:v>Полная: значения и формулы извлечены по всем листам</x:v>
      </x:c>
      <x:c r="J48" s="207" t="str">
        <x:v>Низкий</x:v>
      </x:c>
      <x:c r="K48" s="207" t="str">
        <x:v>Технических ошибок при извлечении не обнаружено; бизнес-корректность не подтверждена</x:v>
      </x:c>
      <x:c r="L48" s="207" t="str">
        <x:v>Есть</x:v>
      </x:c>
      <x:c r="M48" s="207" t="str">
        <x:v>Можно использовать как источник после содержательной сверки.</x:v>
      </x:c>
      <x:c r="N48" s="207" t="str">
        <x:v>Обычный внутренний</x:v>
      </x:c>
      <x:c r="O48" s="207" t="str">
        <x:v>HRIS/ЗУП + Payroll ledger</x:v>
      </x:c>
      <x:c r="P48" s="207" t="str">
        <x:v>Сотрудники, начисления, реестры выплат</x:v>
      </x:c>
      <x:c r="Q48" s="207" t="str">
        <x:v>Карантин → исправление → контрольная загрузка</x:v>
      </x:c>
      <x:c r="R48" s="208" t="str">
        <x:v>098d5b89e567506fa9b002b41339c2e428abe702c31c7af5f948a73f79bbca1b</x:v>
      </x:c>
    </x:row>
    <x:row r="49">
      <x:c r="A49" s="206" t="str">
        <x:v>FILE-045</x:v>
      </x:c>
      <x:c r="B49" s="207" t="str">
        <x:v>зп_конструкторы_05.26.xlsx</x:v>
      </x:c>
      <x:c r="C49" s="207" t="str">
        <x:v>Excel</x:v>
      </x:c>
      <x:c r="D49" s="207" t="n">
        <x:v>0.044</x:v>
      </x:c>
      <x:c r="E49" s="207" t="str">
        <x:v>Персонал и оплата труда</x:v>
      </x:c>
      <x:c r="F49" s="207" t="str">
        <x:v>05.2026</x:v>
      </x:c>
      <x:c r="G49" s="207" t="str">
        <x:v>ИП Янина / операционный контур (требует подтверждения по части файлов)</x:v>
      </x:c>
      <x:c r="H49" s="207" t="str">
        <x:v>4 лист(ов); 1 355 непустых ячеек; 180 формул</x:v>
      </x:c>
      <x:c r="I49" s="207" t="str">
        <x:v>Полная: значения и формулы извлечены по всем листам</x:v>
      </x:c>
      <x:c r="J49" s="207" t="str">
        <x:v>Низкий</x:v>
      </x:c>
      <x:c r="K49" s="207" t="str">
        <x:v>Технических ошибок при извлечении не обнаружено; бизнес-корректность не подтверждена</x:v>
      </x:c>
      <x:c r="L49" s="207" t="str">
        <x:v>Есть</x:v>
      </x:c>
      <x:c r="M49" s="207" t="str">
        <x:v>Можно использовать как источник после содержательной сверки.</x:v>
      </x:c>
      <x:c r="N49" s="207" t="str">
        <x:v>Обычный внутренний</x:v>
      </x:c>
      <x:c r="O49" s="207" t="str">
        <x:v>HRIS/ЗУП + Payroll ledger</x:v>
      </x:c>
      <x:c r="P49" s="207" t="str">
        <x:v>Сотрудники, начисления, реестры выплат</x:v>
      </x:c>
      <x:c r="Q49" s="207" t="str">
        <x:v>Карантин → исправление → контрольная загрузка</x:v>
      </x:c>
      <x:c r="R49" s="208" t="str">
        <x:v>d2207ee54fbefd9fa34f8a21b6b30ba7010a60206989506a3bda6a55cb2e15d2</x:v>
      </x:c>
    </x:row>
    <x:row r="50">
      <x:c r="A50" s="206" t="str">
        <x:v>FILE-046</x:v>
      </x:c>
      <x:c r="B50" s="207" t="str">
        <x:v>ЗП_ЦЕХ 01.26.xlsx</x:v>
      </x:c>
      <x:c r="C50" s="207" t="str">
        <x:v>Excel</x:v>
      </x:c>
      <x:c r="D50" s="207" t="n">
        <x:v>0.09</x:v>
      </x:c>
      <x:c r="E50" s="207" t="str">
        <x:v>Персонал и оплата труда</x:v>
      </x:c>
      <x:c r="F50" s="207" t="str">
        <x:v>01.2026</x:v>
      </x:c>
      <x:c r="G50" s="207" t="str">
        <x:v>ИП Янина / операционный контур (требует подтверждения по части файлов)</x:v>
      </x:c>
      <x:c r="H50" s="207" t="str">
        <x:v>2 лист(ов); 2 706 непустых ячеек; 248 формул</x:v>
      </x:c>
      <x:c r="I50" s="207" t="str">
        <x:v>Полная: значения и формулы извлечены по всем листам</x:v>
      </x:c>
      <x:c r="J50" s="207" t="str">
        <x:v>Низкий</x:v>
      </x:c>
      <x:c r="K50" s="207" t="str">
        <x:v>Технических ошибок при извлечении не обнаружено; бизнес-корректность не подтверждена</x:v>
      </x:c>
      <x:c r="L50" s="207" t="str">
        <x:v>Есть</x:v>
      </x:c>
      <x:c r="M50" s="207" t="str">
        <x:v>Можно использовать как источник после содержательной сверки.</x:v>
      </x:c>
      <x:c r="N50" s="207" t="str">
        <x:v>Обычный внутренний</x:v>
      </x:c>
      <x:c r="O50" s="207" t="str">
        <x:v>HRIS/ЗУП + Payroll ledger</x:v>
      </x:c>
      <x:c r="P50" s="207" t="str">
        <x:v>Сотрудники, начисления, реестры выплат</x:v>
      </x:c>
      <x:c r="Q50" s="207" t="str">
        <x:v>Карантин → исправление → контрольная загрузка</x:v>
      </x:c>
      <x:c r="R50" s="208" t="str">
        <x:v>baf7bff99489bf3b33d0214d5a29a9f333b2dd9a0fa290032d74abdfc46a32d2</x:v>
      </x:c>
    </x:row>
    <x:row r="51">
      <x:c r="A51" s="206" t="str">
        <x:v>FILE-047</x:v>
      </x:c>
      <x:c r="B51" s="207" t="str">
        <x:v>ЗП_ЦЕХ 02.26.xlsx</x:v>
      </x:c>
      <x:c r="C51" s="207" t="str">
        <x:v>Excel</x:v>
      </x:c>
      <x:c r="D51" s="207" t="n">
        <x:v>0.086</x:v>
      </x:c>
      <x:c r="E51" s="207" t="str">
        <x:v>Персонал и оплата труда</x:v>
      </x:c>
      <x:c r="F51" s="207" t="str">
        <x:v>02.2026</x:v>
      </x:c>
      <x:c r="G51" s="207" t="str">
        <x:v>ИП Янина / операционный контур (требует подтверждения по части файлов)</x:v>
      </x:c>
      <x:c r="H51" s="207" t="str">
        <x:v>2 лист(ов); 2 543 непустых ячеек; 250 формул</x:v>
      </x:c>
      <x:c r="I51" s="207" t="str">
        <x:v>Полная: значения и формулы извлечены по всем листам</x:v>
      </x:c>
      <x:c r="J51" s="207" t="str">
        <x:v>Низкий</x:v>
      </x:c>
      <x:c r="K51" s="207" t="str">
        <x:v>Технических ошибок при извлечении не обнаружено; бизнес-корректность не подтверждена</x:v>
      </x:c>
      <x:c r="L51" s="207" t="str">
        <x:v>Есть</x:v>
      </x:c>
      <x:c r="M51" s="207" t="str">
        <x:v>Можно использовать как источник после содержательной сверки.</x:v>
      </x:c>
      <x:c r="N51" s="207" t="str">
        <x:v>Обычный внутренний</x:v>
      </x:c>
      <x:c r="O51" s="207" t="str">
        <x:v>HRIS/ЗУП + Payroll ledger</x:v>
      </x:c>
      <x:c r="P51" s="207" t="str">
        <x:v>Сотрудники, начисления, реестры выплат</x:v>
      </x:c>
      <x:c r="Q51" s="207" t="str">
        <x:v>Карантин → исправление → контрольная загрузка</x:v>
      </x:c>
      <x:c r="R51" s="208" t="str">
        <x:v>bd500a7bc88ce62a53382c9ba4a8401878125fcbda24b7695cac35ff0aa11b09</x:v>
      </x:c>
    </x:row>
    <x:row r="52">
      <x:c r="A52" s="206" t="str">
        <x:v>FILE-048</x:v>
      </x:c>
      <x:c r="B52" s="207" t="str">
        <x:v>ЗП_ЦЕХ 03.26.xlsx</x:v>
      </x:c>
      <x:c r="C52" s="207" t="str">
        <x:v>Excel</x:v>
      </x:c>
      <x:c r="D52" s="207" t="n">
        <x:v>0.096</x:v>
      </x:c>
      <x:c r="E52" s="207" t="str">
        <x:v>Персонал и оплата труда</x:v>
      </x:c>
      <x:c r="F52" s="207" t="str">
        <x:v>03.2026</x:v>
      </x:c>
      <x:c r="G52" s="207" t="str">
        <x:v>ИП Янина / операционный контур (требует подтверждения по части файлов)</x:v>
      </x:c>
      <x:c r="H52" s="207" t="str">
        <x:v>2 лист(ов); 3 128 непустых ячеек; 302 формул</x:v>
      </x:c>
      <x:c r="I52" s="207" t="str">
        <x:v>Полная: значения и формулы извлечены по всем листам</x:v>
      </x:c>
      <x:c r="J52" s="207" t="str">
        <x:v>Низкий</x:v>
      </x:c>
      <x:c r="K52" s="207" t="str">
        <x:v>Технических ошибок при извлечении не обнаружено; бизнес-корректность не подтверждена</x:v>
      </x:c>
      <x:c r="L52" s="207" t="str">
        <x:v>Есть</x:v>
      </x:c>
      <x:c r="M52" s="207" t="str">
        <x:v>Можно использовать как источник после содержательной сверки.</x:v>
      </x:c>
      <x:c r="N52" s="207" t="str">
        <x:v>Обычный внутренний</x:v>
      </x:c>
      <x:c r="O52" s="207" t="str">
        <x:v>HRIS/ЗУП + Payroll ledger</x:v>
      </x:c>
      <x:c r="P52" s="207" t="str">
        <x:v>Сотрудники, начисления, реестры выплат</x:v>
      </x:c>
      <x:c r="Q52" s="207" t="str">
        <x:v>Карантин → исправление → контрольная загрузка</x:v>
      </x:c>
      <x:c r="R52" s="208" t="str">
        <x:v>dc5e6177775f710e5326359751f2e30e75ee628d0a1aafe4a084384d4246155c</x:v>
      </x:c>
    </x:row>
    <x:row r="53">
      <x:c r="A53" s="206" t="str">
        <x:v>FILE-049</x:v>
      </x:c>
      <x:c r="B53" s="207" t="str">
        <x:v>ЗП_ЦЕХ 04.26.xlsx</x:v>
      </x:c>
      <x:c r="C53" s="207" t="str">
        <x:v>Excel</x:v>
      </x:c>
      <x:c r="D53" s="207" t="n">
        <x:v>0.094</x:v>
      </x:c>
      <x:c r="E53" s="207" t="str">
        <x:v>Персонал и оплата труда</x:v>
      </x:c>
      <x:c r="F53" s="207" t="str">
        <x:v>04.2026</x:v>
      </x:c>
      <x:c r="G53" s="207" t="str">
        <x:v>ИП Янина / операционный контур (требует подтверждения по части файлов)</x:v>
      </x:c>
      <x:c r="H53" s="207" t="str">
        <x:v>2 лист(ов); 3 023 непустых ячеек; 288 формул</x:v>
      </x:c>
      <x:c r="I53" s="207" t="str">
        <x:v>Полная: значения и формулы извлечены по всем листам</x:v>
      </x:c>
      <x:c r="J53" s="207" t="str">
        <x:v>Низкий</x:v>
      </x:c>
      <x:c r="K53" s="207" t="str">
        <x:v>Технических ошибок при извлечении не обнаружено; бизнес-корректность не подтверждена</x:v>
      </x:c>
      <x:c r="L53" s="207" t="str">
        <x:v>Есть</x:v>
      </x:c>
      <x:c r="M53" s="207" t="str">
        <x:v>Можно использовать как источник после содержательной сверки.</x:v>
      </x:c>
      <x:c r="N53" s="207" t="str">
        <x:v>Обычный внутренний</x:v>
      </x:c>
      <x:c r="O53" s="207" t="str">
        <x:v>HRIS/ЗУП + Payroll ledger</x:v>
      </x:c>
      <x:c r="P53" s="207" t="str">
        <x:v>Сотрудники, начисления, реестры выплат</x:v>
      </x:c>
      <x:c r="Q53" s="207" t="str">
        <x:v>Карантин → исправление → контрольная загрузка</x:v>
      </x:c>
      <x:c r="R53" s="208" t="str">
        <x:v>400d80f1258c2081bf06559290a7c34f2000c571944dd0bd2aef00b601989c2e</x:v>
      </x:c>
    </x:row>
    <x:row r="54">
      <x:c r="A54" s="206" t="str">
        <x:v>FILE-050</x:v>
      </x:c>
      <x:c r="B54" s="207" t="str">
        <x:v>ЗП_ЦЕХ 05.26.xlsx</x:v>
      </x:c>
      <x:c r="C54" s="207" t="str">
        <x:v>Excel</x:v>
      </x:c>
      <x:c r="D54" s="207" t="n">
        <x:v>0.091</x:v>
      </x:c>
      <x:c r="E54" s="207" t="str">
        <x:v>Персонал и оплата труда</x:v>
      </x:c>
      <x:c r="F54" s="207" t="str">
        <x:v>05.2026</x:v>
      </x:c>
      <x:c r="G54" s="207" t="str">
        <x:v>ИП Янина / операционный контур (требует подтверждения по части файлов)</x:v>
      </x:c>
      <x:c r="H54" s="207" t="str">
        <x:v>2 лист(ов); 2 956 непустых ячеек; 248 формул</x:v>
      </x:c>
      <x:c r="I54" s="207" t="str">
        <x:v>Полная: значения и формулы извлечены по всем листам</x:v>
      </x:c>
      <x:c r="J54" s="207" t="str">
        <x:v>Низкий</x:v>
      </x:c>
      <x:c r="K54" s="207" t="str">
        <x:v>Технических ошибок при извлечении не обнаружено; бизнес-корректность не подтверждена</x:v>
      </x:c>
      <x:c r="L54" s="207" t="str">
        <x:v>Есть</x:v>
      </x:c>
      <x:c r="M54" s="207" t="str">
        <x:v>Можно использовать как источник после содержательной сверки.</x:v>
      </x:c>
      <x:c r="N54" s="207" t="str">
        <x:v>Обычный внутренний</x:v>
      </x:c>
      <x:c r="O54" s="207" t="str">
        <x:v>HRIS/ЗУП + Payroll ledger</x:v>
      </x:c>
      <x:c r="P54" s="207" t="str">
        <x:v>Сотрудники, начисления, реестры выплат</x:v>
      </x:c>
      <x:c r="Q54" s="207" t="str">
        <x:v>Карантин → исправление → контрольная загрузка</x:v>
      </x:c>
      <x:c r="R54" s="208" t="str">
        <x:v>83e3de58784856c6dd0ddb810d1ac32a35998b734490c8b55e8e263020644ba3</x:v>
      </x:c>
    </x:row>
    <x:row r="55">
      <x:c r="A55" s="206" t="str">
        <x:v>FILE-051</x:v>
      </x:c>
      <x:c r="B55" s="207" t="str">
        <x:v>МД — копия.xlsx</x:v>
      </x:c>
      <x:c r="C55" s="207" t="str">
        <x:v>Excel</x:v>
      </x:c>
      <x:c r="D55" s="207" t="n">
        <x:v>2.177</x:v>
      </x:c>
      <x:c r="E55" s="207" t="str">
        <x:v>Себестоимость и производство</x:v>
      </x:c>
      <x:c r="F55" s="207" t="str">
        <x:v>Не определён из названия</x:v>
      </x:c>
      <x:c r="G55" s="207" t="str">
        <x:v>Не указано в названии</x:v>
      </x:c>
      <x:c r="H55" s="207" t="str">
        <x:v>3 лист(ов); 182 964 непустых ячеек; 4 271 формул</x:v>
      </x:c>
      <x:c r="I55" s="207" t="str">
        <x:v>Полная: значения и формулы извлечены по всем листам</x:v>
      </x:c>
      <x:c r="J55" s="207" t="str">
        <x:v>Низкий</x:v>
      </x:c>
      <x:c r="K55" s="207" t="str">
        <x:v>Технических ошибок при извлечении не обнаружено; бизнес-корректность не подтверждена</x:v>
      </x:c>
      <x:c r="L55" s="207" t="str">
        <x:v>Есть</x:v>
      </x:c>
      <x:c r="M55" s="207" t="str">
        <x:v>Можно использовать как источник после содержательной сверки.</x:v>
      </x:c>
      <x:c r="N55" s="207" t="str">
        <x:v>Обычный внутренний</x:v>
      </x:c>
      <x:c r="O55" s="207" t="str">
        <x:v>PLM/ERP/MES</x:v>
      </x:c>
      <x:c r="P55" s="207" t="str">
        <x:v>BOM, production order, операции, cost version</x:v>
      </x:c>
      <x:c r="Q55" s="207" t="str">
        <x:v>Карантин → исправление → контрольная загрузка</x:v>
      </x:c>
      <x:c r="R55" s="208" t="str">
        <x:v>47d5b18b8e3a5494d32af6b38a6f4b6ba6adb6abd590cbf131e36d37eec60c1c</x:v>
      </x:c>
    </x:row>
    <x:row r="56">
      <x:c r="A56" s="206" t="str">
        <x:v>FILE-052</x:v>
      </x:c>
      <x:c r="B56" s="207" t="str">
        <x:v>Орг. структура на 28.05.2026.pdf</x:v>
      </x:c>
      <x:c r="C56" s="207" t="str">
        <x:v>PDF</x:v>
      </x:c>
      <x:c r="D56" s="207" t="n">
        <x:v>0.389</x:v>
      </x:c>
      <x:c r="E56" s="207" t="str">
        <x:v>Персонал и оплата труда</x:v>
      </x:c>
      <x:c r="F56" s="207" t="str">
        <x:v>2026</x:v>
      </x:c>
      <x:c r="G56" s="207" t="str">
        <x:v>Не указано в названии</x:v>
      </x:c>
      <x:c r="H56" s="207" t="str">
        <x:v>1 стр.; текстовый слой 1/1</x:v>
      </x:c>
      <x:c r="I56" s="207" t="str">
        <x:v>Полная: текст извлечён</x:v>
      </x:c>
      <x:c r="J56" s="207" t="str">
        <x:v>Низкий</x:v>
      </x:c>
      <x:c r="K56" s="207" t="str">
        <x:v>Технических ошибок при извлечении не обнаружено; бизнес-корректность не подтверждена</x:v>
      </x:c>
      <x:c r="L56" s="207" t="str">
        <x:v>Есть</x:v>
      </x:c>
      <x:c r="M56" s="207" t="str">
        <x:v>Можно использовать как источник после содержательной сверки.</x:v>
      </x:c>
      <x:c r="N56" s="207" t="str">
        <x:v>Обычный внутренний</x:v>
      </x:c>
      <x:c r="O56" s="207" t="str">
        <x:v>HRIS/ЗУП + Payroll ledger</x:v>
      </x:c>
      <x:c r="P56" s="207" t="str">
        <x:v>Сотрудники, начисления, реестры выплат</x:v>
      </x:c>
      <x:c r="Q56" s="207" t="str">
        <x:v>Карантин → исправление → контрольная загрузка</x:v>
      </x:c>
      <x:c r="R56" s="208" t="str">
        <x:v>6ff053438e3246cabc00f86470b834f07b3aa3270ce031bcbf1f4b1f3db71e91</x:v>
      </x:c>
    </x:row>
    <x:row r="57">
      <x:c r="A57" s="206" t="str">
        <x:v>FILE-053</x:v>
      </x:c>
      <x:c r="B57" s="207" t="str">
        <x:v>Остатки ткани из 1С на 31.05.2026.xlsx</x:v>
      </x:c>
      <x:c r="C57" s="207" t="str">
        <x:v>Excel</x:v>
      </x:c>
      <x:c r="D57" s="207" t="n">
        <x:v>0.049</x:v>
      </x:c>
      <x:c r="E57" s="207" t="str">
        <x:v>Закупки и запасы</x:v>
      </x:c>
      <x:c r="F57" s="207" t="str">
        <x:v>2026</x:v>
      </x:c>
      <x:c r="G57" s="207" t="str">
        <x:v>ИП Янина / операционный контур (требует подтверждения по части файлов)</x:v>
      </x:c>
      <x:c r="H57" s="207" t="str">
        <x:v>1 лист(ов); 5 372 непустых ячеек; 0 формул</x:v>
      </x:c>
      <x:c r="I57" s="207" t="str">
        <x:v>Полная: значения и формулы извлечены по всем листам</x:v>
      </x:c>
      <x:c r="J57" s="207" t="str">
        <x:v>Низкий</x:v>
      </x:c>
      <x:c r="K57" s="207" t="str">
        <x:v>Технических ошибок при извлечении не обнаружено; бизнес-корректность не подтверждена</x:v>
      </x:c>
      <x:c r="L57" s="207" t="str">
        <x:v>Есть</x:v>
      </x:c>
      <x:c r="M57" s="207" t="str">
        <x:v>Можно использовать как источник после содержательной сверки.</x:v>
      </x:c>
      <x:c r="N57" s="207" t="str">
        <x:v>Обычный внутренний</x:v>
      </x:c>
      <x:c r="O57" s="207" t="str">
        <x:v>ERP/1С + WMS</x:v>
      </x:c>
      <x:c r="P57" s="207" t="str">
        <x:v>Поставщики, PO, приёмка, материалы, партии</x:v>
      </x:c>
      <x:c r="Q57" s="207" t="str">
        <x:v>Карантин → исправление → контрольная загрузка</x:v>
      </x:c>
      <x:c r="R57" s="208" t="str">
        <x:v>7348edc937a61c525b04495a1c2868073ac6868d54d6667cc949b977c90e4379</x:v>
      </x:c>
    </x:row>
    <x:row r="58">
      <x:c r="A58" s="206" t="str">
        <x:v>FILE-054</x:v>
      </x:c>
      <x:c r="B58" s="207" t="str">
        <x:v>план работы.docx</x:v>
      </x:c>
      <x:c r="C58" s="207" t="str">
        <x:v>Word DOCX</x:v>
      </x:c>
      <x:c r="D58" s="207" t="n">
        <x:v>0.017</x:v>
      </x:c>
      <x:c r="E58" s="207" t="str">
        <x:v>Договоры и проектные документы</x:v>
      </x:c>
      <x:c r="F58" s="207" t="str">
        <x:v>Не определён из названия</x:v>
      </x:c>
      <x:c r="G58" s="207" t="str">
        <x:v>Не указано в названии</x:v>
      </x:c>
      <x:c r="H58" s="207" t="str">
        <x:v>Извлечение: complete</x:v>
      </x:c>
      <x:c r="I58" s="207" t="str">
        <x:v>Полная: текст/таблицы извлечены</x:v>
      </x:c>
      <x:c r="J58" s="207" t="str">
        <x:v>Низкий</x:v>
      </x:c>
      <x:c r="K58" s="207" t="str">
        <x:v>Технических ошибок при извлечении не обнаружено; бизнес-корректность не подтверждена</x:v>
      </x:c>
      <x:c r="L58" s="207" t="str">
        <x:v>Есть</x:v>
      </x:c>
      <x:c r="M58" s="207" t="str">
        <x:v>Можно использовать как источник после содержательной сверки.</x:v>
      </x:c>
      <x:c r="N58" s="207" t="str">
        <x:v>Обычный внутренний</x:v>
      </x:c>
      <x:c r="O58" s="207" t="str">
        <x:v>DMS/GRC</x:v>
      </x:c>
      <x:c r="P58" s="207" t="str">
        <x:v>Договоры, NDA, регламенты, approvals</x:v>
      </x:c>
      <x:c r="Q58" s="207" t="str">
        <x:v>Карантин → исправление → контрольная загрузка</x:v>
      </x:c>
      <x:c r="R58" s="208" t="str">
        <x:v>f5394740b494cb40eeb5ff8f5df7d8958b7440d57e3d64543dfd663d45a410ec</x:v>
      </x:c>
    </x:row>
    <x:row r="59">
      <x:c r="A59" s="206" t="str">
        <x:v>FILE-055</x:v>
      </x:c>
      <x:c r="B59" s="207" t="str">
        <x:v>Положение об оплате труда и премировании в ИП Янина.doc</x:v>
      </x:c>
      <x:c r="C59" s="207" t="str">
        <x:v>Word DOC</x:v>
      </x:c>
      <x:c r="D59" s="207" t="n">
        <x:v>0.12</x:v>
      </x:c>
      <x:c r="E59" s="207" t="str">
        <x:v>Персонал и оплата труда</x:v>
      </x:c>
      <x:c r="F59" s="207" t="str">
        <x:v>Не определён из названия</x:v>
      </x:c>
      <x:c r="G59" s="207" t="str">
        <x:v>ИП Янина / операционный контур (требует подтверждения по части файлов)</x:v>
      </x:c>
      <x:c r="H59" s="207" t="str">
        <x:v>Извлечение: complete</x:v>
      </x:c>
      <x:c r="I59" s="207" t="str">
        <x:v>Полная: текст/таблицы извлечены</x:v>
      </x:c>
      <x:c r="J59" s="207" t="str">
        <x:v>Низкий</x:v>
      </x:c>
      <x:c r="K59" s="207" t="str">
        <x:v>Технических ошибок при извлечении не обнаружено; бизнес-корректность не подтверждена</x:v>
      </x:c>
      <x:c r="L59" s="207" t="str">
        <x:v>Есть</x:v>
      </x:c>
      <x:c r="M59" s="207" t="str">
        <x:v>Можно использовать как источник после содержательной сверки.</x:v>
      </x:c>
      <x:c r="N59" s="207" t="str">
        <x:v>Обычный внутренний</x:v>
      </x:c>
      <x:c r="O59" s="207" t="str">
        <x:v>HRIS/ЗУП + Payroll ledger</x:v>
      </x:c>
      <x:c r="P59" s="207" t="str">
        <x:v>Сотрудники, начисления, реестры выплат</x:v>
      </x:c>
      <x:c r="Q59" s="207" t="str">
        <x:v>Карантин → исправление → контрольная загрузка</x:v>
      </x:c>
      <x:c r="R59" s="208" t="str">
        <x:v>270aeff96e0f38e6e8eade841de53dee04dda71115217f3a070ae9c60b0dbf51</x:v>
      </x:c>
    </x:row>
    <x:row r="60">
      <x:c r="A60" s="206" t="str">
        <x:v>FILE-056</x:v>
      </x:c>
      <x:c r="B60" s="207" t="str">
        <x:v>Приложение 1 к положению.docx</x:v>
      </x:c>
      <x:c r="C60" s="207" t="str">
        <x:v>Word DOCX</x:v>
      </x:c>
      <x:c r="D60" s="207" t="n">
        <x:v>0.739</x:v>
      </x:c>
      <x:c r="E60" s="207" t="str">
        <x:v>Персонал и оплата труда</x:v>
      </x:c>
      <x:c r="F60" s="207" t="str">
        <x:v>Не определён из названия</x:v>
      </x:c>
      <x:c r="G60" s="207" t="str">
        <x:v>Не указано в названии</x:v>
      </x:c>
      <x:c r="H60" s="207" t="str">
        <x:v>Извлечение: complete</x:v>
      </x:c>
      <x:c r="I60" s="207" t="str">
        <x:v>Полная: текст/таблицы извлечены</x:v>
      </x:c>
      <x:c r="J60" s="207" t="str">
        <x:v>Низкий</x:v>
      </x:c>
      <x:c r="K60" s="207" t="str">
        <x:v>Технических ошибок при извлечении не обнаружено; бизнес-корректность не подтверждена</x:v>
      </x:c>
      <x:c r="L60" s="207" t="str">
        <x:v>Есть</x:v>
      </x:c>
      <x:c r="M60" s="207" t="str">
        <x:v>Можно использовать как источник после содержательной сверки.</x:v>
      </x:c>
      <x:c r="N60" s="207" t="str">
        <x:v>Обычный внутренний</x:v>
      </x:c>
      <x:c r="O60" s="207" t="str">
        <x:v>HRIS/ЗУП + Payroll ledger</x:v>
      </x:c>
      <x:c r="P60" s="207" t="str">
        <x:v>Сотрудники, начисления, реестры выплат</x:v>
      </x:c>
      <x:c r="Q60" s="207" t="str">
        <x:v>Карантин → исправление → контрольная загрузка</x:v>
      </x:c>
      <x:c r="R60" s="208" t="str">
        <x:v>a594e1f3e73e5513f1cf3ff237b877b190404fe33c8223c8f3f4630266175674</x:v>
      </x:c>
    </x:row>
    <x:row r="61">
      <x:c r="A61" s="206" t="str">
        <x:v>FILE-057</x:v>
      </x:c>
      <x:c r="B61" s="207" t="str">
        <x:v>Продажи ЦУМ 2024.xlsx</x:v>
      </x:c>
      <x:c r="C61" s="207" t="str">
        <x:v>Excel</x:v>
      </x:c>
      <x:c r="D61" s="207" t="n">
        <x:v>0.09</x:v>
      </x:c>
      <x:c r="E61" s="207" t="str">
        <x:v>Продажи и каналы</x:v>
      </x:c>
      <x:c r="F61" s="207" t="str">
        <x:v>2024</x:v>
      </x:c>
      <x:c r="G61" s="207" t="str">
        <x:v>ИП Янина / операционный контур (требует подтверждения по части файлов)</x:v>
      </x:c>
      <x:c r="H61" s="207" t="str">
        <x:v>1 лист(ов); 3 223 непустых ячеек; 0 формул</x:v>
      </x:c>
      <x:c r="I61" s="207" t="str">
        <x:v>Полная: значения и формулы извлечены по всем листам</x:v>
      </x:c>
      <x:c r="J61" s="207" t="str">
        <x:v>Низкий</x:v>
      </x:c>
      <x:c r="K61" s="207" t="str">
        <x:v>Технических ошибок при извлечении не обнаружено; бизнес-корректность не подтверждена</x:v>
      </x:c>
      <x:c r="L61" s="207" t="str">
        <x:v>Есть</x:v>
      </x:c>
      <x:c r="M61" s="207" t="str">
        <x:v>Можно использовать как источник после содержательной сверки.</x:v>
      </x:c>
      <x:c r="N61" s="207" t="str">
        <x:v>Обычный внутренний</x:v>
      </x:c>
      <x:c r="O61" s="207" t="str">
        <x:v>CRM/POS/CMS + ERP</x:v>
      </x:c>
      <x:c r="P61" s="207" t="str">
        <x:v>Заказы, строки продаж, возвраты, settlement</x:v>
      </x:c>
      <x:c r="Q61" s="207" t="str">
        <x:v>Карантин → исправление → контрольная загрузка</x:v>
      </x:c>
      <x:c r="R61" s="208" t="str">
        <x:v>cc75592daf4117c0cde38741cf8cb62b185cb381096e8e715973bb4a4c961235</x:v>
      </x:c>
    </x:row>
    <x:row r="62">
      <x:c r="A62" s="206" t="str">
        <x:v>FILE-058</x:v>
      </x:c>
      <x:c r="B62" s="207" t="str">
        <x:v>Продажи ЦУМ 2025.xlsx</x:v>
      </x:c>
      <x:c r="C62" s="207" t="str">
        <x:v>Excel</x:v>
      </x:c>
      <x:c r="D62" s="207" t="n">
        <x:v>0.092</x:v>
      </x:c>
      <x:c r="E62" s="207" t="str">
        <x:v>Продажи и каналы</x:v>
      </x:c>
      <x:c r="F62" s="207" t="str">
        <x:v>2025</x:v>
      </x:c>
      <x:c r="G62" s="207" t="str">
        <x:v>ИП Янина / операционный контур (требует подтверждения по части файлов)</x:v>
      </x:c>
      <x:c r="H62" s="207" t="str">
        <x:v>1 лист(ов); 3 057 непустых ячеек; 0 формул</x:v>
      </x:c>
      <x:c r="I62" s="207" t="str">
        <x:v>Полная: значения и формулы извлечены по всем листам</x:v>
      </x:c>
      <x:c r="J62" s="207" t="str">
        <x:v>Низкий</x:v>
      </x:c>
      <x:c r="K62" s="207" t="str">
        <x:v>Технических ошибок при извлечении не обнаружено; бизнес-корректность не подтверждена</x:v>
      </x:c>
      <x:c r="L62" s="207" t="str">
        <x:v>Есть</x:v>
      </x:c>
      <x:c r="M62" s="207" t="str">
        <x:v>Можно использовать как источник после содержательной сверки.</x:v>
      </x:c>
      <x:c r="N62" s="207" t="str">
        <x:v>Обычный внутренний</x:v>
      </x:c>
      <x:c r="O62" s="207" t="str">
        <x:v>CRM/POS/CMS + ERP</x:v>
      </x:c>
      <x:c r="P62" s="207" t="str">
        <x:v>Заказы, строки продаж, возвраты, settlement</x:v>
      </x:c>
      <x:c r="Q62" s="207" t="str">
        <x:v>Карантин → исправление → контрольная загрузка</x:v>
      </x:c>
      <x:c r="R62" s="208" t="str">
        <x:v>a2b1d2b1ed4e71dbd5bfe584489bbc74dc82fb0f966c7d6cfaf84abe717e6658</x:v>
      </x:c>
    </x:row>
    <x:row r="63">
      <x:c r="A63" s="206" t="str">
        <x:v>FILE-059</x:v>
      </x:c>
      <x:c r="B63" s="207" t="str">
        <x:v>Продажи ЦУМ 2026.xlsx</x:v>
      </x:c>
      <x:c r="C63" s="207" t="str">
        <x:v>Excel</x:v>
      </x:c>
      <x:c r="D63" s="207" t="n">
        <x:v>0.073</x:v>
      </x:c>
      <x:c r="E63" s="207" t="str">
        <x:v>Продажи и каналы</x:v>
      </x:c>
      <x:c r="F63" s="207" t="str">
        <x:v>2026</x:v>
      </x:c>
      <x:c r="G63" s="207" t="str">
        <x:v>ИП Янина / операционный контур (требует подтверждения по части файлов)</x:v>
      </x:c>
      <x:c r="H63" s="207" t="str">
        <x:v>1 лист(ов); 1 360 непустых ячеек; 0 формул</x:v>
      </x:c>
      <x:c r="I63" s="207" t="str">
        <x:v>Полная: значения и формулы извлечены по всем листам</x:v>
      </x:c>
      <x:c r="J63" s="207" t="str">
        <x:v>Низкий</x:v>
      </x:c>
      <x:c r="K63" s="207" t="str">
        <x:v>Технических ошибок при извлечении не обнаружено; бизнес-корректность не подтверждена</x:v>
      </x:c>
      <x:c r="L63" s="207" t="str">
        <x:v>Есть</x:v>
      </x:c>
      <x:c r="M63" s="207" t="str">
        <x:v>Можно использовать как источник после содержательной сверки.</x:v>
      </x:c>
      <x:c r="N63" s="207" t="str">
        <x:v>Обычный внутренний</x:v>
      </x:c>
      <x:c r="O63" s="207" t="str">
        <x:v>CRM/POS/CMS + ERP</x:v>
      </x:c>
      <x:c r="P63" s="207" t="str">
        <x:v>Заказы, строки продаж, возвраты, settlement</x:v>
      </x:c>
      <x:c r="Q63" s="207" t="str">
        <x:v>Карантин → исправление → контрольная загрузка</x:v>
      </x:c>
      <x:c r="R63" s="208" t="str">
        <x:v>463526e0fbb41a8edf0e3adcbb788351067d1b79c40769f04d05be9150937b1a</x:v>
      </x:c>
    </x:row>
    <x:row r="64">
      <x:c r="A64" s="206" t="str">
        <x:v>FILE-060</x:v>
      </x:c>
      <x:c r="B64" s="207" t="str">
        <x:v>Расходы 2024.xlsx</x:v>
      </x:c>
      <x:c r="C64" s="207" t="str">
        <x:v>Excel</x:v>
      </x:c>
      <x:c r="D64" s="207" t="n">
        <x:v>0.141</x:v>
      </x:c>
      <x:c r="E64" s="207" t="str">
        <x:v>Финансы и денежные потоки</x:v>
      </x:c>
      <x:c r="F64" s="207" t="str">
        <x:v>2024</x:v>
      </x:c>
      <x:c r="G64" s="207" t="str">
        <x:v>ИП Янина / операционный контур (требует подтверждения по части файлов)</x:v>
      </x:c>
      <x:c r="H64" s="207" t="str">
        <x:v>16 лист(ов); 4 477 непустых ячеек; 892 формул</x:v>
      </x:c>
      <x:c r="I64" s="207" t="str">
        <x:v>Полная: значения и формулы извлечены по всем листам</x:v>
      </x:c>
      <x:c r="J64" s="207" t="str">
        <x:v>Низкий</x:v>
      </x:c>
      <x:c r="K64" s="207" t="str">
        <x:v>Технических ошибок при извлечении не обнаружено; бизнес-корректность не подтверждена</x:v>
      </x:c>
      <x:c r="L64" s="207" t="str">
        <x:v>Есть</x:v>
      </x:c>
      <x:c r="M64" s="207" t="str">
        <x:v>Можно использовать как источник после содержательной сверки.</x:v>
      </x:c>
      <x:c r="N64" s="207" t="str">
        <x:v>Обычный внутренний</x:v>
      </x:c>
      <x:c r="O64" s="207" t="str">
        <x:v>ERP/1С + Bank hub + DWH</x:v>
      </x:c>
      <x:c r="P64" s="207" t="str">
        <x:v>Платежи, ДДС, бюджеты, остатки, AR/AP</x:v>
      </x:c>
      <x:c r="Q64" s="207" t="str">
        <x:v>Карантин → исправление → контрольная загрузка</x:v>
      </x:c>
      <x:c r="R64" s="208" t="str">
        <x:v>2caa0acfd98b050a349b20d4374e9d2c872d4f8f89ee681f15f69494fabfd43b</x:v>
      </x:c>
    </x:row>
    <x:row r="65">
      <x:c r="A65" s="206" t="str">
        <x:v>FILE-061</x:v>
      </x:c>
      <x:c r="B65" s="207" t="str">
        <x:v>Расходы 2025.xlsx</x:v>
      </x:c>
      <x:c r="C65" s="207" t="str">
        <x:v>Excel</x:v>
      </x:c>
      <x:c r="D65" s="207" t="n">
        <x:v>0.102</x:v>
      </x:c>
      <x:c r="E65" s="207" t="str">
        <x:v>Финансы и денежные потоки</x:v>
      </x:c>
      <x:c r="F65" s="207" t="str">
        <x:v>2025</x:v>
      </x:c>
      <x:c r="G65" s="207" t="str">
        <x:v>ИП Янина / операционный контур (требует подтверждения по части файлов)</x:v>
      </x:c>
      <x:c r="H65" s="207" t="str">
        <x:v>12 лист(ов); 3 714 непустых ячеек; 931 формул</x:v>
      </x:c>
      <x:c r="I65" s="207" t="str">
        <x:v>Полная: значения и формулы извлечены по всем листам</x:v>
      </x:c>
      <x:c r="J65" s="207" t="str">
        <x:v>Низкий</x:v>
      </x:c>
      <x:c r="K65" s="207" t="str">
        <x:v>Технических ошибок при извлечении не обнаружено; бизнес-корректность не подтверждена</x:v>
      </x:c>
      <x:c r="L65" s="207" t="str">
        <x:v>Есть</x:v>
      </x:c>
      <x:c r="M65" s="207" t="str">
        <x:v>Можно использовать как источник после содержательной сверки.</x:v>
      </x:c>
      <x:c r="N65" s="207" t="str">
        <x:v>Обычный внутренний</x:v>
      </x:c>
      <x:c r="O65" s="207" t="str">
        <x:v>ERP/1С + Bank hub + DWH</x:v>
      </x:c>
      <x:c r="P65" s="207" t="str">
        <x:v>Платежи, ДДС, бюджеты, остатки, AR/AP</x:v>
      </x:c>
      <x:c r="Q65" s="207" t="str">
        <x:v>Карантин → исправление → контрольная загрузка</x:v>
      </x:c>
      <x:c r="R65" s="208" t="str">
        <x:v>9838a6cf583edc16a36b02ec374bc55fa8b4c032331632f9ad78f178322d017a</x:v>
      </x:c>
    </x:row>
    <x:row r="66">
      <x:c r="A66" s="206" t="str">
        <x:v>FILE-062</x:v>
      </x:c>
      <x:c r="B66" s="207" t="str">
        <x:v>Расходы 2026.xlsx</x:v>
      </x:c>
      <x:c r="C66" s="207" t="str">
        <x:v>Excel</x:v>
      </x:c>
      <x:c r="D66" s="207" t="n">
        <x:v>0.058</x:v>
      </x:c>
      <x:c r="E66" s="207" t="str">
        <x:v>Финансы и денежные потоки</x:v>
      </x:c>
      <x:c r="F66" s="207" t="str">
        <x:v>2026</x:v>
      </x:c>
      <x:c r="G66" s="207" t="str">
        <x:v>ИП Янина / операционный контур (требует подтверждения по части файлов)</x:v>
      </x:c>
      <x:c r="H66" s="207" t="str">
        <x:v>6 лист(ов); 1 775 непустых ячеек; 441 формул</x:v>
      </x:c>
      <x:c r="I66" s="207" t="str">
        <x:v>Полная: значения и формулы извлечены по всем листам</x:v>
      </x:c>
      <x:c r="J66" s="207" t="str">
        <x:v>Низкий</x:v>
      </x:c>
      <x:c r="K66" s="207" t="str">
        <x:v>Технических ошибок при извлечении не обнаружено; бизнес-корректность не подтверждена</x:v>
      </x:c>
      <x:c r="L66" s="207" t="str">
        <x:v>Есть</x:v>
      </x:c>
      <x:c r="M66" s="207" t="str">
        <x:v>Можно использовать как источник после содержательной сверки.</x:v>
      </x:c>
      <x:c r="N66" s="207" t="str">
        <x:v>Обычный внутренний</x:v>
      </x:c>
      <x:c r="O66" s="207" t="str">
        <x:v>ERP/1С + Bank hub + DWH</x:v>
      </x:c>
      <x:c r="P66" s="207" t="str">
        <x:v>Платежи, ДДС, бюджеты, остатки, AR/AP</x:v>
      </x:c>
      <x:c r="Q66" s="207" t="str">
        <x:v>Карантин → исправление → контрольная загрузка</x:v>
      </x:c>
      <x:c r="R66" s="208" t="str">
        <x:v>ed89ca0f5abf1e2db44255b4cff99d82460c1dfd2978834ea9941a07e84a0a05</x:v>
      </x:c>
    </x:row>
    <x:row r="67">
      <x:c r="A67" s="206" t="str">
        <x:v>FILE-063</x:v>
      </x:c>
      <x:c r="B67" s="207" t="str">
        <x:v>Расчет по страховым взносам за 1 квартал 2026 г. (Янина Ю. Ф. ИП).pdf</x:v>
      </x:c>
      <x:c r="C67" s="207" t="str">
        <x:v>PDF</x:v>
      </x:c>
      <x:c r="D67" s="207" t="n">
        <x:v>2.642</x:v>
      </x:c>
      <x:c r="E67" s="207" t="str">
        <x:v>Налоги и обязательная отчётность</x:v>
      </x:c>
      <x:c r="F67" s="207" t="str">
        <x:v>1 кв. 2026</x:v>
      </x:c>
      <x:c r="G67" s="207" t="str">
        <x:v>ИП Янина / операционный контур (требует подтверждения по части файлов)</x:v>
      </x:c>
      <x:c r="H67" s="207" t="str">
        <x:v>112 стр.; текстовый слой 112/112</x:v>
      </x:c>
      <x:c r="I67" s="207" t="str">
        <x:v>Полная: текст извлечён</x:v>
      </x:c>
      <x:c r="J67" s="207" t="str">
        <x:v>Низкий</x:v>
      </x:c>
      <x:c r="K67" s="207" t="str">
        <x:v>Технических ошибок при извлечении не обнаружено; бизнес-корректность не подтверждена</x:v>
      </x:c>
      <x:c r="L67" s="207" t="str">
        <x:v>Есть</x:v>
      </x:c>
      <x:c r="M67" s="207" t="str">
        <x:v>Можно использовать как источник после содержательной сверки.</x:v>
      </x:c>
      <x:c r="N67" s="207" t="str">
        <x:v>Обычный внутренний</x:v>
      </x:c>
      <x:c r="O67" s="207" t="str">
        <x:v>Tax ledger + ENS register + DMS</x:v>
      </x:c>
      <x:c r="P67" s="207" t="str">
        <x:v>Декларации, обязательства, уведомления, ЕНС</x:v>
      </x:c>
      <x:c r="Q67" s="207" t="str">
        <x:v>Карантин → исправление → контрольная загрузка</x:v>
      </x:c>
      <x:c r="R67" s="208" t="str">
        <x:v>65decad2cb32bd2381bcd501f125a712db98fc2c099b67823d5bd6af06479e91</x:v>
      </x:c>
    </x:row>
    <x:row r="68">
      <x:c r="A68" s="206" t="str">
        <x:v>FILE-064</x:v>
      </x:c>
      <x:c r="B68" s="207" t="str">
        <x:v>Расчет по страховым взносам за 2024 г. (ДЕКОР ООО).pdf</x:v>
      </x:c>
      <x:c r="C68" s="207" t="str">
        <x:v>PDF</x:v>
      </x:c>
      <x:c r="D68" s="207" t="n">
        <x:v>1.447</x:v>
      </x:c>
      <x:c r="E68" s="207" t="str">
        <x:v>Налоги и обязательная отчётность</x:v>
      </x:c>
      <x:c r="F68" s="207" t="str">
        <x:v>2024</x:v>
      </x:c>
      <x:c r="G68" s="207" t="str">
        <x:v>ООО «ДЕКОР»</x:v>
      </x:c>
      <x:c r="H68" s="207" t="str">
        <x:v>61 стр.; текстовый слой 61/61</x:v>
      </x:c>
      <x:c r="I68" s="207" t="str">
        <x:v>Полная: текст извлечён</x:v>
      </x:c>
      <x:c r="J68" s="207" t="str">
        <x:v>Низкий</x:v>
      </x:c>
      <x:c r="K68" s="207" t="str">
        <x:v>Технических ошибок при извлечении не обнаружено; бизнес-корректность не подтверждена</x:v>
      </x:c>
      <x:c r="L68" s="207" t="str">
        <x:v>Есть</x:v>
      </x:c>
      <x:c r="M68" s="207" t="str">
        <x:v>Можно использовать как источник после содержательной сверки.</x:v>
      </x:c>
      <x:c r="N68" s="207" t="str">
        <x:v>Обычный внутренний</x:v>
      </x:c>
      <x:c r="O68" s="207" t="str">
        <x:v>Tax ledger + ENS register + DMS</x:v>
      </x:c>
      <x:c r="P68" s="207" t="str">
        <x:v>Декларации, обязательства, уведомления, ЕНС</x:v>
      </x:c>
      <x:c r="Q68" s="207" t="str">
        <x:v>Карантин → исправление → контрольная загрузка</x:v>
      </x:c>
      <x:c r="R68" s="208" t="str">
        <x:v>8b2e6e29f3b1354bc1951d33d0041877f841cfde506c041422d18fe0d439c827</x:v>
      </x:c>
    </x:row>
    <x:row r="69">
      <x:c r="A69" s="206" t="str">
        <x:v>FILE-065</x:v>
      </x:c>
      <x:c r="B69" s="207" t="str">
        <x:v>Расчет по страховым взносам за 2024 г. (Янина Ю. Ф. ИП).pdf</x:v>
      </x:c>
      <x:c r="C69" s="207" t="str">
        <x:v>PDF</x:v>
      </x:c>
      <x:c r="D69" s="207" t="n">
        <x:v>0.983</x:v>
      </x:c>
      <x:c r="E69" s="207" t="str">
        <x:v>Налоги и обязательная отчётность</x:v>
      </x:c>
      <x:c r="F69" s="207" t="str">
        <x:v>2024</x:v>
      </x:c>
      <x:c r="G69" s="207" t="str">
        <x:v>ИП Янина / операционный контур (требует подтверждения по части файлов)</x:v>
      </x:c>
      <x:c r="H69" s="207" t="str">
        <x:v>40 стр.; текстовый слой 40/40</x:v>
      </x:c>
      <x:c r="I69" s="207" t="str">
        <x:v>Полная: текст извлечён</x:v>
      </x:c>
      <x:c r="J69" s="207" t="str">
        <x:v>Низкий</x:v>
      </x:c>
      <x:c r="K69" s="207" t="str">
        <x:v>Технических ошибок при извлечении не обнаружено; бизнес-корректность не подтверждена</x:v>
      </x:c>
      <x:c r="L69" s="207" t="str">
        <x:v>Есть</x:v>
      </x:c>
      <x:c r="M69" s="207" t="str">
        <x:v>Можно использовать как источник после содержательной сверки.</x:v>
      </x:c>
      <x:c r="N69" s="207" t="str">
        <x:v>Обычный внутренний</x:v>
      </x:c>
      <x:c r="O69" s="207" t="str">
        <x:v>Tax ledger + ENS register + DMS</x:v>
      </x:c>
      <x:c r="P69" s="207" t="str">
        <x:v>Декларации, обязательства, уведомления, ЕНС</x:v>
      </x:c>
      <x:c r="Q69" s="207" t="str">
        <x:v>Карантин → исправление → контрольная загрузка</x:v>
      </x:c>
      <x:c r="R69" s="208" t="str">
        <x:v>db643e47a4e75326e6db7c23c36f5cb9c70549034f873fc7b993474a363ba9fd</x:v>
      </x:c>
    </x:row>
    <x:row r="70">
      <x:c r="A70" s="206" t="str">
        <x:v>FILE-066</x:v>
      </x:c>
      <x:c r="B70" s="207" t="str">
        <x:v>Расчет по страховым взносам за 2025 г. (ДЕКОР ООО).pdf</x:v>
      </x:c>
      <x:c r="C70" s="207" t="str">
        <x:v>PDF</x:v>
      </x:c>
      <x:c r="D70" s="207" t="n">
        <x:v>1.342</x:v>
      </x:c>
      <x:c r="E70" s="207" t="str">
        <x:v>Налоги и обязательная отчётность</x:v>
      </x:c>
      <x:c r="F70" s="207" t="str">
        <x:v>2025</x:v>
      </x:c>
      <x:c r="G70" s="207" t="str">
        <x:v>ООО «ДЕКОР»</x:v>
      </x:c>
      <x:c r="H70" s="207" t="str">
        <x:v>56 стр.; текстовый слой 56/56</x:v>
      </x:c>
      <x:c r="I70" s="207" t="str">
        <x:v>Полная: текст извлечён</x:v>
      </x:c>
      <x:c r="J70" s="207" t="str">
        <x:v>Низкий</x:v>
      </x:c>
      <x:c r="K70" s="207" t="str">
        <x:v>Технических ошибок при извлечении не обнаружено; бизнес-корректность не подтверждена</x:v>
      </x:c>
      <x:c r="L70" s="207" t="str">
        <x:v>Есть</x:v>
      </x:c>
      <x:c r="M70" s="207" t="str">
        <x:v>Можно использовать как источник после содержательной сверки.</x:v>
      </x:c>
      <x:c r="N70" s="207" t="str">
        <x:v>Обычный внутренний</x:v>
      </x:c>
      <x:c r="O70" s="207" t="str">
        <x:v>Tax ledger + ENS register + DMS</x:v>
      </x:c>
      <x:c r="P70" s="207" t="str">
        <x:v>Декларации, обязательства, уведомления, ЕНС</x:v>
      </x:c>
      <x:c r="Q70" s="207" t="str">
        <x:v>Карантин → исправление → контрольная загрузка</x:v>
      </x:c>
      <x:c r="R70" s="208" t="str">
        <x:v>011873cc74e26353685e937c2e0e18356ab318b5befea9ca07fdcf3115c977c5</x:v>
      </x:c>
    </x:row>
    <x:row r="71">
      <x:c r="A71" s="206" t="str">
        <x:v>FILE-067</x:v>
      </x:c>
      <x:c r="B71" s="207" t="str">
        <x:v>Расчет по страховым взносам за 2025 г. (Янина Ю. Ф. ИП).pdf</x:v>
      </x:c>
      <x:c r="C71" s="207" t="str">
        <x:v>PDF</x:v>
      </x:c>
      <x:c r="D71" s="207" t="n">
        <x:v>1.898</x:v>
      </x:c>
      <x:c r="E71" s="207" t="str">
        <x:v>Налоги и обязательная отчётность</x:v>
      </x:c>
      <x:c r="F71" s="207" t="str">
        <x:v>2025</x:v>
      </x:c>
      <x:c r="G71" s="207" t="str">
        <x:v>ИП Янина / операционный контур (требует подтверждения по части файлов)</x:v>
      </x:c>
      <x:c r="H71" s="207" t="str">
        <x:v>80 стр.; текстовый слой 80/80</x:v>
      </x:c>
      <x:c r="I71" s="207" t="str">
        <x:v>Полная: текст извлечён</x:v>
      </x:c>
      <x:c r="J71" s="207" t="str">
        <x:v>Низкий</x:v>
      </x:c>
      <x:c r="K71" s="207" t="str">
        <x:v>Технических ошибок при извлечении не обнаружено; бизнес-корректность не подтверждена</x:v>
      </x:c>
      <x:c r="L71" s="207" t="str">
        <x:v>Есть</x:v>
      </x:c>
      <x:c r="M71" s="207" t="str">
        <x:v>Можно использовать как источник после содержательной сверки.</x:v>
      </x:c>
      <x:c r="N71" s="207" t="str">
        <x:v>Обычный внутренний</x:v>
      </x:c>
      <x:c r="O71" s="207" t="str">
        <x:v>Tax ledger + ENS register + DMS</x:v>
      </x:c>
      <x:c r="P71" s="207" t="str">
        <x:v>Декларации, обязательства, уведомления, ЕНС</x:v>
      </x:c>
      <x:c r="Q71" s="207" t="str">
        <x:v>Карантин → исправление → контрольная загрузка</x:v>
      </x:c>
      <x:c r="R71" s="208" t="str">
        <x:v>8dbbd4be38b074b5ef437b0c010204e59150d1d267eb610eba554a908427842e</x:v>
      </x:c>
    </x:row>
    <x:row r="72">
      <x:c r="A72" s="206" t="str">
        <x:v>FILE-068</x:v>
      </x:c>
      <x:c r="B72" s="207" t="str">
        <x:v>результат капсула 2024.xlsx</x:v>
      </x:c>
      <x:c r="C72" s="207" t="str">
        <x:v>Excel</x:v>
      </x:c>
      <x:c r="D72" s="207" t="n">
        <x:v>1.189</x:v>
      </x:c>
      <x:c r="E72" s="207" t="str">
        <x:v>Коллекции и продукт</x:v>
      </x:c>
      <x:c r="F72" s="207" t="str">
        <x:v>2024</x:v>
      </x:c>
      <x:c r="G72" s="207" t="str">
        <x:v>ИП Янина / операционный контур (требует подтверждения по части файлов)</x:v>
      </x:c>
      <x:c r="H72" s="207" t="str">
        <x:v>2 лист(ов); 1 238 непустых ячеек; 9 формул</x:v>
      </x:c>
      <x:c r="I72" s="207" t="str">
        <x:v>Полная: значения и формулы извлечены по всем листам</x:v>
      </x:c>
      <x:c r="J72" s="207" t="str">
        <x:v>Низкий</x:v>
      </x:c>
      <x:c r="K72" s="207" t="str">
        <x:v>Встроенных медиафайлов: 46</x:v>
      </x:c>
      <x:c r="L72" s="207" t="str">
        <x:v>Есть</x:v>
      </x:c>
      <x:c r="M72" s="207" t="str">
        <x:v>Можно использовать как источник после содержательной сверки.</x:v>
      </x:c>
      <x:c r="N72" s="207" t="str">
        <x:v>Обычный внутренний</x:v>
      </x:c>
      <x:c r="O72" s="207" t="str">
        <x:v>PLM/MDM</x:v>
      </x:c>
      <x:c r="P72" s="207" t="str">
        <x:v>Коллекции, модели, SKU, версии</x:v>
      </x:c>
      <x:c r="Q72" s="207" t="str">
        <x:v>Мигрировать данные в целевой регистр; файл оставить read-only выгрузкой/архивом</x:v>
      </x:c>
      <x:c r="R72" s="208" t="str">
        <x:v>0db64a857c29ffe11f7098f246ab3204ed07a8842fc401f7abe4c22232e2e629</x:v>
      </x:c>
    </x:row>
    <x:row r="73">
      <x:c r="A73" s="206" t="str">
        <x:v>FILE-069</x:v>
      </x:c>
      <x:c r="B73" s="207" t="str">
        <x:v>результат капсула 2025.xlsx</x:v>
      </x:c>
      <x:c r="C73" s="207" t="str">
        <x:v>Excel</x:v>
      </x:c>
      <x:c r="D73" s="207" t="n">
        <x:v>1.819</x:v>
      </x:c>
      <x:c r="E73" s="207" t="str">
        <x:v>Коллекции и продукт</x:v>
      </x:c>
      <x:c r="F73" s="207" t="str">
        <x:v>2025</x:v>
      </x:c>
      <x:c r="G73" s="207" t="str">
        <x:v>ИП Янина / операционный контур (требует подтверждения по части файлов)</x:v>
      </x:c>
      <x:c r="H73" s="207" t="str">
        <x:v>2 лист(ов); 1 708 непустых ячеек; 72 формул</x:v>
      </x:c>
      <x:c r="I73" s="207" t="str">
        <x:v>Полная: значения и формулы извлечены по всем листам</x:v>
      </x:c>
      <x:c r="J73" s="207" t="str">
        <x:v>Низкий</x:v>
      </x:c>
      <x:c r="K73" s="207" t="str">
        <x:v>Встроенных медиафайлов: 67</x:v>
      </x:c>
      <x:c r="L73" s="207" t="str">
        <x:v>Есть</x:v>
      </x:c>
      <x:c r="M73" s="207" t="str">
        <x:v>Можно использовать как источник после содержательной сверки.</x:v>
      </x:c>
      <x:c r="N73" s="207" t="str">
        <x:v>Обычный внутренний</x:v>
      </x:c>
      <x:c r="O73" s="207" t="str">
        <x:v>PLM/MDM</x:v>
      </x:c>
      <x:c r="P73" s="207" t="str">
        <x:v>Коллекции, модели, SKU, версии</x:v>
      </x:c>
      <x:c r="Q73" s="207" t="str">
        <x:v>Мигрировать данные в целевой регистр; файл оставить read-only выгрузкой/архивом</x:v>
      </x:c>
      <x:c r="R73" s="208" t="str">
        <x:v>2e85f06f7fa424c61cb0a9a73986d9f0a03841164c71f38023bdb4c5863cdd81</x:v>
      </x:c>
    </x:row>
    <x:row r="74">
      <x:c r="A74" s="206" t="str">
        <x:v>FILE-070</x:v>
      </x:c>
      <x:c r="B74" s="207" t="str">
        <x:v>результат кол-я 43 (янв 2024).xlsx</x:v>
      </x:c>
      <x:c r="C74" s="207" t="str">
        <x:v>Excel</x:v>
      </x:c>
      <x:c r="D74" s="207" t="n">
        <x:v>1.002</x:v>
      </x:c>
      <x:c r="E74" s="207" t="str">
        <x:v>Коллекции и продукт</x:v>
      </x:c>
      <x:c r="F74" s="207" t="str">
        <x:v>2024</x:v>
      </x:c>
      <x:c r="G74" s="207" t="str">
        <x:v>ИП Янина / операционный контур (требует подтверждения по части файлов)</x:v>
      </x:c>
      <x:c r="H74" s="207" t="str">
        <x:v>3 лист(ов); 1 051 непустых ячеек; 59 формул</x:v>
      </x:c>
      <x:c r="I74" s="207" t="str">
        <x:v>Полная: значения и формулы извлечены по всем листам</x:v>
      </x:c>
      <x:c r="J74" s="207" t="str">
        <x:v>Средний</x:v>
      </x:c>
      <x:c r="K74" s="207" t="str">
        <x:v>Внешние ссылки на локальные пути: 1 | Встроенных медиафайлов: 43</x:v>
      </x:c>
      <x:c r="L74" s="207" t="str">
        <x:v>Есть частично/с ограничениями</x:v>
      </x:c>
      <x:c r="M74" s="207" t="str">
        <x:v>Можно использовать как источник после содержательной сверки. Перед обновлением ссылок заменить локальные пути или зафиксировать значения.</x:v>
      </x:c>
      <x:c r="N74" s="207" t="str">
        <x:v>Обычный внутренний</x:v>
      </x:c>
      <x:c r="O74" s="207" t="str">
        <x:v>PLM/MDM</x:v>
      </x:c>
      <x:c r="P74" s="207" t="str">
        <x:v>Коллекции, модели, SKU, версии</x:v>
      </x:c>
      <x:c r="Q74" s="207" t="str">
        <x:v>Карантин → исправление → контрольная загрузка</x:v>
      </x:c>
      <x:c r="R74" s="208" t="str">
        <x:v>e677b0690075db9bc51a202b337963d0f988f700e9f50ef0651a393e74f5f050</x:v>
      </x:c>
    </x:row>
    <x:row r="75">
      <x:c r="A75" s="206" t="str">
        <x:v>FILE-071</x:v>
      </x:c>
      <x:c r="B75" s="207" t="str">
        <x:v>результат кол-я 44 (июнь 2024).xlsx</x:v>
      </x:c>
      <x:c r="C75" s="207" t="str">
        <x:v>Excel</x:v>
      </x:c>
      <x:c r="D75" s="207" t="n">
        <x:v>0.838</x:v>
      </x:c>
      <x:c r="E75" s="207" t="str">
        <x:v>Коллекции и продукт</x:v>
      </x:c>
      <x:c r="F75" s="207" t="str">
        <x:v>2024</x:v>
      </x:c>
      <x:c r="G75" s="207" t="str">
        <x:v>ИП Янина / операционный контур (требует подтверждения по части файлов)</x:v>
      </x:c>
      <x:c r="H75" s="207" t="str">
        <x:v>3 лист(ов); 614 непустых ячеек; 61 формул</x:v>
      </x:c>
      <x:c r="I75" s="207" t="str">
        <x:v>Полная: значения и формулы извлечены по всем листам</x:v>
      </x:c>
      <x:c r="J75" s="207" t="str">
        <x:v>Средний</x:v>
      </x:c>
      <x:c r="K75" s="207" t="str">
        <x:v>Внешние ссылки на локальные пути: 1 | Встроенных медиафайлов: 31</x:v>
      </x:c>
      <x:c r="L75" s="207" t="str">
        <x:v>Есть частично/с ограничениями</x:v>
      </x:c>
      <x:c r="M75" s="207" t="str">
        <x:v>Можно использовать как источник после содержательной сверки. Перед обновлением ссылок заменить локальные пути или зафиксировать значения.</x:v>
      </x:c>
      <x:c r="N75" s="207" t="str">
        <x:v>Обычный внутренний</x:v>
      </x:c>
      <x:c r="O75" s="207" t="str">
        <x:v>PLM/MDM</x:v>
      </x:c>
      <x:c r="P75" s="207" t="str">
        <x:v>Коллекции, модели, SKU, версии</x:v>
      </x:c>
      <x:c r="Q75" s="207" t="str">
        <x:v>Карантин → исправление → контрольная загрузка</x:v>
      </x:c>
      <x:c r="R75" s="208" t="str">
        <x:v>7e1258ee5d2dc92632370a1961179104474a9fc319322e6d5a56f9ee9b95d345</x:v>
      </x:c>
    </x:row>
    <x:row r="76">
      <x:c r="A76" s="206" t="str">
        <x:v>FILE-072</x:v>
      </x:c>
      <x:c r="B76" s="207" t="str">
        <x:v>результат кол-я 45 (янв 2025).xlsx</x:v>
      </x:c>
      <x:c r="C76" s="207" t="str">
        <x:v>Excel</x:v>
      </x:c>
      <x:c r="D76" s="207" t="n">
        <x:v>0.701</x:v>
      </x:c>
      <x:c r="E76" s="207" t="str">
        <x:v>Коллекции и продукт</x:v>
      </x:c>
      <x:c r="F76" s="207" t="str">
        <x:v>2025</x:v>
      </x:c>
      <x:c r="G76" s="207" t="str">
        <x:v>ИП Янина / операционный контур (требует подтверждения по части файлов)</x:v>
      </x:c>
      <x:c r="H76" s="207" t="str">
        <x:v>3 лист(ов); 574 непустых ячеек; 9 формул</x:v>
      </x:c>
      <x:c r="I76" s="207" t="str">
        <x:v>Полная: значения и формулы извлечены по всем листам</x:v>
      </x:c>
      <x:c r="J76" s="207" t="str">
        <x:v>Средний</x:v>
      </x:c>
      <x:c r="K76" s="207" t="str">
        <x:v>Внешние ссылки на локальные пути: 1 | Встроенных медиафайлов: 33</x:v>
      </x:c>
      <x:c r="L76" s="207" t="str">
        <x:v>Есть частично/с ограничениями</x:v>
      </x:c>
      <x:c r="M76" s="207" t="str">
        <x:v>Можно использовать как источник после содержательной сверки. Перед обновлением ссылок заменить локальные пути или зафиксировать значения.</x:v>
      </x:c>
      <x:c r="N76" s="207" t="str">
        <x:v>Обычный внутренний</x:v>
      </x:c>
      <x:c r="O76" s="207" t="str">
        <x:v>PLM/MDM</x:v>
      </x:c>
      <x:c r="P76" s="207" t="str">
        <x:v>Коллекции, модели, SKU, версии</x:v>
      </x:c>
      <x:c r="Q76" s="207" t="str">
        <x:v>Карантин → исправление → контрольная загрузка</x:v>
      </x:c>
      <x:c r="R76" s="208" t="str">
        <x:v>a05546f621ab5af9fb57e96a698d6ab7660a104c5489538f22157a4cef812e46</x:v>
      </x:c>
    </x:row>
    <x:row r="77">
      <x:c r="A77" s="206" t="str">
        <x:v>FILE-073</x:v>
      </x:c>
      <x:c r="B77" s="207" t="str">
        <x:v>результат кол-я 46 (июль 2025).xlsx</x:v>
      </x:c>
      <x:c r="C77" s="207" t="str">
        <x:v>Excel</x:v>
      </x:c>
      <x:c r="D77" s="207" t="n">
        <x:v>0.447</x:v>
      </x:c>
      <x:c r="E77" s="207" t="str">
        <x:v>Коллекции и продукт</x:v>
      </x:c>
      <x:c r="F77" s="207" t="str">
        <x:v>2025</x:v>
      </x:c>
      <x:c r="G77" s="207" t="str">
        <x:v>ИП Янина / операционный контур (требует подтверждения по части файлов)</x:v>
      </x:c>
      <x:c r="H77" s="207" t="str">
        <x:v>3 лист(ов); 396 непустых ячеек; 1 формул</x:v>
      </x:c>
      <x:c r="I77" s="207" t="str">
        <x:v>Полная: значения и формулы извлечены по всем листам</x:v>
      </x:c>
      <x:c r="J77" s="207" t="str">
        <x:v>Средний</x:v>
      </x:c>
      <x:c r="K77" s="207" t="str">
        <x:v>Внешние ссылки на локальные пути: 1 | Встроенных медиафайлов: 25</x:v>
      </x:c>
      <x:c r="L77" s="207" t="str">
        <x:v>Есть частично/с ограничениями</x:v>
      </x:c>
      <x:c r="M77" s="207" t="str">
        <x:v>Можно использовать как источник после содержательной сверки. Перед обновлением ссылок заменить локальные пути или зафиксировать значения.</x:v>
      </x:c>
      <x:c r="N77" s="207" t="str">
        <x:v>Обычный внутренний</x:v>
      </x:c>
      <x:c r="O77" s="207" t="str">
        <x:v>PLM/MDM</x:v>
      </x:c>
      <x:c r="P77" s="207" t="str">
        <x:v>Коллекции, модели, SKU, версии</x:v>
      </x:c>
      <x:c r="Q77" s="207" t="str">
        <x:v>Карантин → исправление → контрольная загрузка</x:v>
      </x:c>
      <x:c r="R77" s="208" t="str">
        <x:v>975a4d4c055dfdf68d5c34b274c88a023c1cc6fdcbb3201c5e3d1e8a1a9e6753</x:v>
      </x:c>
    </x:row>
    <x:row r="78">
      <x:c r="A78" s="206" t="str">
        <x:v>FILE-074</x:v>
      </x:c>
      <x:c r="B78" s="207" t="str">
        <x:v>результат кол-я 47 (янв 2026).xlsx</x:v>
      </x:c>
      <x:c r="C78" s="207" t="str">
        <x:v>Excel</x:v>
      </x:c>
      <x:c r="D78" s="207" t="n">
        <x:v>1.403</x:v>
      </x:c>
      <x:c r="E78" s="207" t="str">
        <x:v>Коллекции и продукт</x:v>
      </x:c>
      <x:c r="F78" s="207" t="str">
        <x:v>2026</x:v>
      </x:c>
      <x:c r="G78" s="207" t="str">
        <x:v>ИП Янина / операционный контур (требует подтверждения по части файлов)</x:v>
      </x:c>
      <x:c r="H78" s="207" t="str">
        <x:v>3 лист(ов); 673 непустых ячеек; 4 формул</x:v>
      </x:c>
      <x:c r="I78" s="207" t="str">
        <x:v>Полная: значения и формулы извлечены по всем листам</x:v>
      </x:c>
      <x:c r="J78" s="207" t="str">
        <x:v>Средний</x:v>
      </x:c>
      <x:c r="K78" s="207" t="str">
        <x:v>Внешние ссылки на локальные пути: 1 | Встроенных медиафайлов: 32</x:v>
      </x:c>
      <x:c r="L78" s="207" t="str">
        <x:v>Есть частично/с ограничениями</x:v>
      </x:c>
      <x:c r="M78" s="207" t="str">
        <x:v>Можно использовать как источник после содержательной сверки. Перед обновлением ссылок заменить локальные пути или зафиксировать значения.</x:v>
      </x:c>
      <x:c r="N78" s="207" t="str">
        <x:v>Обычный внутренний</x:v>
      </x:c>
      <x:c r="O78" s="207" t="str">
        <x:v>PLM/MDM</x:v>
      </x:c>
      <x:c r="P78" s="207" t="str">
        <x:v>Коллекции, модели, SKU, версии</x:v>
      </x:c>
      <x:c r="Q78" s="207" t="str">
        <x:v>Карантин → исправление → контрольная загрузка</x:v>
      </x:c>
      <x:c r="R78" s="208" t="str">
        <x:v>d215da62070cbc794e73360ed6fc47d1b1ae64a2fe416cc261cdf6eaa9a9f631</x:v>
      </x:c>
    </x:row>
    <x:row r="79">
      <x:c r="A79" s="206" t="str">
        <x:v>FILE-075</x:v>
      </x:c>
      <x:c r="B79" s="207" t="str">
        <x:v>результат круиз 09.04.25.xlsx</x:v>
      </x:c>
      <x:c r="C79" s="207" t="str">
        <x:v>Excel</x:v>
      </x:c>
      <x:c r="D79" s="207" t="n">
        <x:v>5.025</x:v>
      </x:c>
      <x:c r="E79" s="207" t="str">
        <x:v>Коллекции и продукт</x:v>
      </x:c>
      <x:c r="F79" s="207" t="str">
        <x:v>Не определён из названия</x:v>
      </x:c>
      <x:c r="G79" s="207" t="str">
        <x:v>ИП Янина / операционный контур (требует подтверждения по части файлов)</x:v>
      </x:c>
      <x:c r="H79" s="207" t="str">
        <x:v>1 лист(ов); 2 905 непустых ячеек; 310 формул</x:v>
      </x:c>
      <x:c r="I79" s="207" t="str">
        <x:v>Полная: значения и формулы извлечены по всем листам</x:v>
      </x:c>
      <x:c r="J79" s="207" t="str">
        <x:v>Низкий</x:v>
      </x:c>
      <x:c r="K79" s="207" t="str">
        <x:v>Встроенных медиафайлов: 176</x:v>
      </x:c>
      <x:c r="L79" s="207" t="str">
        <x:v>Есть</x:v>
      </x:c>
      <x:c r="M79" s="207" t="str">
        <x:v>Можно использовать как источник после содержательной сверки.</x:v>
      </x:c>
      <x:c r="N79" s="207" t="str">
        <x:v>Обычный внутренний</x:v>
      </x:c>
      <x:c r="O79" s="207" t="str">
        <x:v>PLM/MDM</x:v>
      </x:c>
      <x:c r="P79" s="207" t="str">
        <x:v>Коллекции, модели, SKU, версии</x:v>
      </x:c>
      <x:c r="Q79" s="207" t="str">
        <x:v>Мигрировать данные в целевой регистр; файл оставить read-only выгрузкой/архивом</x:v>
      </x:c>
      <x:c r="R79" s="208" t="str">
        <x:v>25bcd1e70d4cffc8a59e4608daf1b493be408dd4b78fcf1f0e009d12af6a0ffe</x:v>
      </x:c>
    </x:row>
    <x:row r="80">
      <x:c r="A80" s="206" t="str">
        <x:v>FILE-076</x:v>
      </x:c>
      <x:c r="B80" s="207" t="str">
        <x:v>результат круиз 14.04.26.xlsx</x:v>
      </x:c>
      <x:c r="C80" s="207" t="str">
        <x:v>Excel</x:v>
      </x:c>
      <x:c r="D80" s="207" t="n">
        <x:v>9.661</x:v>
      </x:c>
      <x:c r="E80" s="207" t="str">
        <x:v>Коллекции и продукт</x:v>
      </x:c>
      <x:c r="F80" s="207" t="str">
        <x:v>Не определён из названия</x:v>
      </x:c>
      <x:c r="G80" s="207" t="str">
        <x:v>ИП Янина / операционный контур (требует подтверждения по части файлов)</x:v>
      </x:c>
      <x:c r="H80" s="207" t="str">
        <x:v>2 лист(ов); 3 035 непустых ячеек; 60 формул</x:v>
      </x:c>
      <x:c r="I80" s="207" t="str">
        <x:v>Полная: значения и формулы извлечены по всем листам</x:v>
      </x:c>
      <x:c r="J80" s="207" t="str">
        <x:v>Низкий</x:v>
      </x:c>
      <x:c r="K80" s="207" t="str">
        <x:v>Встроенных медиафайлов: 110</x:v>
      </x:c>
      <x:c r="L80" s="207" t="str">
        <x:v>Есть</x:v>
      </x:c>
      <x:c r="M80" s="207" t="str">
        <x:v>Можно использовать как источник после содержательной сверки.</x:v>
      </x:c>
      <x:c r="N80" s="207" t="str">
        <x:v>Обычный внутренний</x:v>
      </x:c>
      <x:c r="O80" s="207" t="str">
        <x:v>PLM/MDM</x:v>
      </x:c>
      <x:c r="P80" s="207" t="str">
        <x:v>Коллекции, модели, SKU, версии</x:v>
      </x:c>
      <x:c r="Q80" s="207" t="str">
        <x:v>Мигрировать данные в целевой регистр; файл оставить read-only выгрузкой/архивом</x:v>
      </x:c>
      <x:c r="R80" s="208" t="str">
        <x:v>964463aee6013779a0e7991b2d15f994eabce8edcae5c2ccb9f4de97275f1168</x:v>
      </x:c>
    </x:row>
    <x:row r="81">
      <x:c r="A81" s="206" t="str">
        <x:v>FILE-077</x:v>
      </x:c>
      <x:c r="B81" s="207" t="str">
        <x:v>результат круиз 22.04.24.xlsx</x:v>
      </x:c>
      <x:c r="C81" s="207" t="str">
        <x:v>Excel</x:v>
      </x:c>
      <x:c r="D81" s="207" t="n">
        <x:v>6.287</x:v>
      </x:c>
      <x:c r="E81" s="207" t="str">
        <x:v>Коллекции и продукт</x:v>
      </x:c>
      <x:c r="F81" s="207" t="str">
        <x:v>Не определён из названия</x:v>
      </x:c>
      <x:c r="G81" s="207" t="str">
        <x:v>ИП Янина / операционный контур (требует подтверждения по части файлов)</x:v>
      </x:c>
      <x:c r="H81" s="207" t="str">
        <x:v>1 лист(ов); 2 735 непустых ячеек; 169 формул</x:v>
      </x:c>
      <x:c r="I81" s="207" t="str">
        <x:v>Полная: значения и формулы извлечены по всем листам</x:v>
      </x:c>
      <x:c r="J81" s="207" t="str">
        <x:v>Низкий</x:v>
      </x:c>
      <x:c r="K81" s="207" t="str">
        <x:v>Встроенных медиафайлов: 108</x:v>
      </x:c>
      <x:c r="L81" s="207" t="str">
        <x:v>Есть</x:v>
      </x:c>
      <x:c r="M81" s="207" t="str">
        <x:v>Можно использовать как источник после содержательной сверки.</x:v>
      </x:c>
      <x:c r="N81" s="207" t="str">
        <x:v>Обычный внутренний</x:v>
      </x:c>
      <x:c r="O81" s="207" t="str">
        <x:v>PLM/MDM</x:v>
      </x:c>
      <x:c r="P81" s="207" t="str">
        <x:v>Коллекции, модели, SKU, версии</x:v>
      </x:c>
      <x:c r="Q81" s="207" t="str">
        <x:v>Мигрировать данные в целевой регистр; файл оставить read-only выгрузкой/архивом</x:v>
      </x:c>
      <x:c r="R81" s="208" t="str">
        <x:v>655d54fe75333d8102a2326ba7b881dc9876838227150fa36de078637a59d637</x:v>
      </x:c>
    </x:row>
    <x:row r="82">
      <x:c r="A82" s="206" t="str">
        <x:v>FILE-078</x:v>
      </x:c>
      <x:c r="B82" s="207" t="str">
        <x:v>результат НГ 2024.xlsx</x:v>
      </x:c>
      <x:c r="C82" s="207" t="str">
        <x:v>Excel</x:v>
      </x:c>
      <x:c r="D82" s="207" t="n">
        <x:v>2.053</x:v>
      </x:c>
      <x:c r="E82" s="207" t="str">
        <x:v>Коллекции и продукт</x:v>
      </x:c>
      <x:c r="F82" s="207" t="str">
        <x:v>2024</x:v>
      </x:c>
      <x:c r="G82" s="207" t="str">
        <x:v>ИП Янина / операционный контур (требует подтверждения по части файлов)</x:v>
      </x:c>
      <x:c r="H82" s="207" t="str">
        <x:v>2 лист(ов); 1 481 непустых ячеек; 123 формул</x:v>
      </x:c>
      <x:c r="I82" s="207" t="str">
        <x:v>Полная: значения и формулы извлечены по всем листам</x:v>
      </x:c>
      <x:c r="J82" s="207" t="str">
        <x:v>Низкий</x:v>
      </x:c>
      <x:c r="K82" s="207" t="str">
        <x:v>Встроенных медиафайлов: 80</x:v>
      </x:c>
      <x:c r="L82" s="207" t="str">
        <x:v>Есть</x:v>
      </x:c>
      <x:c r="M82" s="207" t="str">
        <x:v>Можно использовать как источник после содержательной сверки.</x:v>
      </x:c>
      <x:c r="N82" s="207" t="str">
        <x:v>Обычный внутренний</x:v>
      </x:c>
      <x:c r="O82" s="207" t="str">
        <x:v>PLM/MDM</x:v>
      </x:c>
      <x:c r="P82" s="207" t="str">
        <x:v>Коллекции, модели, SKU, версии</x:v>
      </x:c>
      <x:c r="Q82" s="207" t="str">
        <x:v>Мигрировать данные в целевой регистр; файл оставить read-only выгрузкой/архивом</x:v>
      </x:c>
      <x:c r="R82" s="208" t="str">
        <x:v>a7421e474c22789b11de4e4714f07ff84708a279af575d01eb6dffcdd6c29fe2</x:v>
      </x:c>
    </x:row>
    <x:row r="83">
      <x:c r="A83" s="206" t="str">
        <x:v>FILE-079</x:v>
      </x:c>
      <x:c r="B83" s="207" t="str">
        <x:v>результат НГ 24.11.25.xlsx</x:v>
      </x:c>
      <x:c r="C83" s="207" t="str">
        <x:v>Excel</x:v>
      </x:c>
      <x:c r="D83" s="207" t="n">
        <x:v>1.082</x:v>
      </x:c>
      <x:c r="E83" s="207" t="str">
        <x:v>Коллекции и продукт</x:v>
      </x:c>
      <x:c r="F83" s="207" t="str">
        <x:v>Не определён из названия</x:v>
      </x:c>
      <x:c r="G83" s="207" t="str">
        <x:v>ИП Янина / операционный контур (требует подтверждения по части файлов)</x:v>
      </x:c>
      <x:c r="H83" s="207" t="str">
        <x:v>2 лист(ов); 1 028 непустых ячеек; 4 формул</x:v>
      </x:c>
      <x:c r="I83" s="207" t="str">
        <x:v>Полная: значения и формулы извлечены по всем листам</x:v>
      </x:c>
      <x:c r="J83" s="207" t="str">
        <x:v>Низкий</x:v>
      </x:c>
      <x:c r="K83" s="207" t="str">
        <x:v>Встроенных медиафайлов: 36</x:v>
      </x:c>
      <x:c r="L83" s="207" t="str">
        <x:v>Есть</x:v>
      </x:c>
      <x:c r="M83" s="207" t="str">
        <x:v>Можно использовать как источник после содержательной сверки.</x:v>
      </x:c>
      <x:c r="N83" s="207" t="str">
        <x:v>Обычный внутренний</x:v>
      </x:c>
      <x:c r="O83" s="207" t="str">
        <x:v>PLM/MDM</x:v>
      </x:c>
      <x:c r="P83" s="207" t="str">
        <x:v>Коллекции, модели, SKU, версии</x:v>
      </x:c>
      <x:c r="Q83" s="207" t="str">
        <x:v>Мигрировать данные в целевой регистр; файл оставить read-only выгрузкой/архивом</x:v>
      </x:c>
      <x:c r="R83" s="208" t="str">
        <x:v>ff307568db942231ef7e9639463d49c8bc00e6e017211d344b492377ba50e710</x:v>
      </x:c>
    </x:row>
    <x:row r="84">
      <x:c r="A84" s="206" t="str">
        <x:v>FILE-080</x:v>
      </x:c>
      <x:c r="B84" s="207" t="str">
        <x:v>Сведения о наличии отрицательного сальдо ЕНС.pdf</x:v>
      </x:c>
      <x:c r="C84" s="207" t="str">
        <x:v>PDF</x:v>
      </x:c>
      <x:c r="D84" s="207" t="n">
        <x:v>0.136</x:v>
      </x:c>
      <x:c r="E84" s="207" t="str">
        <x:v>Налоги и обязательная отчётность</x:v>
      </x:c>
      <x:c r="F84" s="207" t="str">
        <x:v>Не определён из названия</x:v>
      </x:c>
      <x:c r="G84" s="207" t="str">
        <x:v>Не указано в названии</x:v>
      </x:c>
      <x:c r="H84" s="207" t="str">
        <x:v>1 стр.; текстовый слой 0/1</x:v>
      </x:c>
      <x:c r="I84" s="207" t="str">
        <x:v>Только изображение; проверено визуально</x:v>
      </x:c>
      <x:c r="J84" s="207" t="str">
        <x:v>Средний</x:v>
      </x:c>
      <x:c r="K84" s="207" t="str">
        <x:v>Нет текстового слоя | Визуально проверено: по состоянию на 25.06.2026 неисполненной обязанности нет.</x:v>
      </x:c>
      <x:c r="L84" s="207" t="str">
        <x:v>Есть частично/с ограничениями</x:v>
      </x:c>
      <x:c r="M84" s="207" t="str">
        <x:v>Можно использовать как подтверждающий документ; автоматический поиск и сверка ограничены.</x:v>
      </x:c>
      <x:c r="N84" s="207" t="str">
        <x:v>Обычный внутренний</x:v>
      </x:c>
      <x:c r="O84" s="207" t="str">
        <x:v>Tax ledger + ENS register + DMS</x:v>
      </x:c>
      <x:c r="P84" s="207" t="str">
        <x:v>Декларации, обязательства, уведомления, ЕНС</x:v>
      </x:c>
      <x:c r="Q84" s="207" t="str">
        <x:v>Хранить как первичный/официальный документ в DMS; метаданные связать с регистром</x:v>
      </x:c>
      <x:c r="R84" s="208" t="str">
        <x:v>74b267159f9036a828700385d64c92975abf17c79021e5532b3a9134698f959c</x:v>
      </x:c>
    </x:row>
    <x:row r="85">
      <x:c r="A85" s="206" t="str">
        <x:v>FILE-081</x:v>
      </x:c>
      <x:c r="B85" s="207" t="str">
        <x:v>Себестоимость Жукова.xlsx</x:v>
      </x:c>
      <x:c r="C85" s="207" t="str">
        <x:v>Excel</x:v>
      </x:c>
      <x:c r="D85" s="207" t="n">
        <x:v>2.162</x:v>
      </x:c>
      <x:c r="E85" s="207" t="str">
        <x:v>Себестоимость и производство</x:v>
      </x:c>
      <x:c r="F85" s="207" t="str">
        <x:v>Не определён из названия</x:v>
      </x:c>
      <x:c r="G85" s="207" t="str">
        <x:v>ИП Янина / операционный контур (требует подтверждения по части файлов)</x:v>
      </x:c>
      <x:c r="H85" s="207" t="str">
        <x:v>6 лист(ов); 32 384 непустых ячеек; 3 939 формул</x:v>
      </x:c>
      <x:c r="I85" s="207" t="str">
        <x:v>Полная: значения и формулы извлечены по всем листам</x:v>
      </x:c>
      <x:c r="J85" s="207" t="str">
        <x:v>Высокий</x:v>
      </x:c>
      <x:c r="K85" s="207" t="str">
        <x:v>488 × #DIV/0! | Встроенных медиафайлов: 5</x:v>
      </x:c>
      <x:c r="L85" s="207" t="str">
        <x:v>Есть частично/с ограничениями</x:v>
      </x:c>
      <x:c r="M85" s="207" t="str">
        <x:v>Использовать только строки без ошибок; расчёты себестоимости с #DIV/0! исключить до заполнения знаменателя.</x:v>
      </x:c>
      <x:c r="N85" s="207" t="str">
        <x:v>Обычный внутренний</x:v>
      </x:c>
      <x:c r="O85" s="207" t="str">
        <x:v>PLM/ERP/MES</x:v>
      </x:c>
      <x:c r="P85" s="207" t="str">
        <x:v>BOM, production order, операции, cost version</x:v>
      </x:c>
      <x:c r="Q85" s="207" t="str">
        <x:v>Карантин → исправление → контрольная загрузка</x:v>
      </x:c>
      <x:c r="R85" s="208" t="str">
        <x:v>ccfa8b9574eb8479608de30194fcff84fc91272a453fb10656f4fca644376286</x:v>
      </x:c>
    </x:row>
    <x:row r="86">
      <x:c r="A86" s="206" t="str">
        <x:v>FILE-082</x:v>
      </x:c>
      <x:c r="B86" s="207" t="str">
        <x:v>Себестоимость Меркушина.xlsx</x:v>
      </x:c>
      <x:c r="C86" s="207" t="str">
        <x:v>Excel</x:v>
      </x:c>
      <x:c r="D86" s="207" t="n">
        <x:v>0.302</x:v>
      </x:c>
      <x:c r="E86" s="207" t="str">
        <x:v>Себестоимость и производство</x:v>
      </x:c>
      <x:c r="F86" s="207" t="str">
        <x:v>Не определён из названия</x:v>
      </x:c>
      <x:c r="G86" s="207" t="str">
        <x:v>ИП Янина / операционный контур (требует подтверждения по части файлов)</x:v>
      </x:c>
      <x:c r="H86" s="207" t="str">
        <x:v>4 лист(ов); 12 880 непустых ячеек; 2 430 формул</x:v>
      </x:c>
      <x:c r="I86" s="207" t="str">
        <x:v>Полная: значения и формулы извлечены по всем листам</x:v>
      </x:c>
      <x:c r="J86" s="207" t="str">
        <x:v>Средний</x:v>
      </x:c>
      <x:c r="K86" s="207" t="str">
        <x:v>15 × #DIV/0!</x:v>
      </x:c>
      <x:c r="L86" s="207" t="str">
        <x:v>Есть частично/с ограничениями</x:v>
      </x:c>
      <x:c r="M86" s="207" t="str">
        <x:v>Использовать только строки без ошибок; проверить нулевые количества в ошибочных блоках.</x:v>
      </x:c>
      <x:c r="N86" s="207" t="str">
        <x:v>Обычный внутренний</x:v>
      </x:c>
      <x:c r="O86" s="207" t="str">
        <x:v>PLM/ERP/MES</x:v>
      </x:c>
      <x:c r="P86" s="207" t="str">
        <x:v>BOM, production order, операции, cost version</x:v>
      </x:c>
      <x:c r="Q86" s="207" t="str">
        <x:v>Карантин → исправление → контрольная загрузка</x:v>
      </x:c>
      <x:c r="R86" s="208" t="str">
        <x:v>823ce027153ee9e66da2b5c18295147e430a2b7535175ace89f2749448ba7a31</x:v>
      </x:c>
    </x:row>
    <x:row r="87">
      <x:c r="A87" s="206" t="str">
        <x:v>FILE-083</x:v>
      </x:c>
      <x:c r="B87" s="207" t="str">
        <x:v>себестоимость Мокеева 2025.xlsx</x:v>
      </x:c>
      <x:c r="C87" s="207" t="str">
        <x:v>Excel</x:v>
      </x:c>
      <x:c r="D87" s="207" t="n">
        <x:v>0.188</x:v>
      </x:c>
      <x:c r="E87" s="207" t="str">
        <x:v>Себестоимость и производство</x:v>
      </x:c>
      <x:c r="F87" s="207" t="str">
        <x:v>2025</x:v>
      </x:c>
      <x:c r="G87" s="207" t="str">
        <x:v>ИП Янина / операционный контур (требует подтверждения по части файлов)</x:v>
      </x:c>
      <x:c r="H87" s="207" t="str">
        <x:v>1 лист(ов); 16 217 непустых ячеек; 82 формул</x:v>
      </x:c>
      <x:c r="I87" s="207" t="str">
        <x:v>Полная: значения и формулы извлечены по всем листам</x:v>
      </x:c>
      <x:c r="J87" s="207" t="str">
        <x:v>Низкий</x:v>
      </x:c>
      <x:c r="K87" s="207" t="str">
        <x:v>Технических ошибок при извлечении не обнаружено; бизнес-корректность не подтверждена</x:v>
      </x:c>
      <x:c r="L87" s="207" t="str">
        <x:v>Есть</x:v>
      </x:c>
      <x:c r="M87" s="207" t="str">
        <x:v>Можно использовать как источник после содержательной сверки.</x:v>
      </x:c>
      <x:c r="N87" s="207" t="str">
        <x:v>Обычный внутренний</x:v>
      </x:c>
      <x:c r="O87" s="207" t="str">
        <x:v>PLM/ERP/MES</x:v>
      </x:c>
      <x:c r="P87" s="207" t="str">
        <x:v>BOM, production order, операции, cost version</x:v>
      </x:c>
      <x:c r="Q87" s="207" t="str">
        <x:v>Карантин → исправление → контрольная загрузка</x:v>
      </x:c>
      <x:c r="R87" s="208" t="str">
        <x:v>5ae5aea8b2021895480f3ae743e1eb4a3bb5d1f62cdf41a4ad34c0a5a9647105</x:v>
      </x:c>
    </x:row>
    <x:row r="88">
      <x:c r="A88" s="206" t="str">
        <x:v>FILE-084</x:v>
      </x:c>
      <x:c r="B88" s="207" t="str">
        <x:v>себестоимость Мокеева 2026.xlsx</x:v>
      </x:c>
      <x:c r="C88" s="207" t="str">
        <x:v>Excel</x:v>
      </x:c>
      <x:c r="D88" s="207" t="n">
        <x:v>0.081</x:v>
      </x:c>
      <x:c r="E88" s="207" t="str">
        <x:v>Себестоимость и производство</x:v>
      </x:c>
      <x:c r="F88" s="207" t="str">
        <x:v>2026</x:v>
      </x:c>
      <x:c r="G88" s="207" t="str">
        <x:v>ИП Янина / операционный контур (требует подтверждения по части файлов)</x:v>
      </x:c>
      <x:c r="H88" s="207" t="str">
        <x:v>1 лист(ов); 8 158 непустых ячеек; 76 формул</x:v>
      </x:c>
      <x:c r="I88" s="207" t="str">
        <x:v>Полная: значения и формулы извлечены по всем листам</x:v>
      </x:c>
      <x:c r="J88" s="207" t="str">
        <x:v>Низкий</x:v>
      </x:c>
      <x:c r="K88" s="207" t="str">
        <x:v>Технических ошибок при извлечении не обнаружено; бизнес-корректность не подтверждена</x:v>
      </x:c>
      <x:c r="L88" s="207" t="str">
        <x:v>Есть</x:v>
      </x:c>
      <x:c r="M88" s="207" t="str">
        <x:v>Можно использовать как источник после содержательной сверки.</x:v>
      </x:c>
      <x:c r="N88" s="207" t="str">
        <x:v>Обычный внутренний</x:v>
      </x:c>
      <x:c r="O88" s="207" t="str">
        <x:v>PLM/ERP/MES</x:v>
      </x:c>
      <x:c r="P88" s="207" t="str">
        <x:v>BOM, production order, операции, cost version</x:v>
      </x:c>
      <x:c r="Q88" s="207" t="str">
        <x:v>Карантин → исправление → контрольная загрузка</x:v>
      </x:c>
      <x:c r="R88" s="208" t="str">
        <x:v>064cdedd5bf73212cd556b4554cda27096f3ad9515753876d10f68a503e9c5c2</x:v>
      </x:c>
    </x:row>
    <x:row r="89">
      <x:c r="A89" s="206" t="str">
        <x:v>FILE-085</x:v>
      </x:c>
      <x:c r="B89" s="207" t="str">
        <x:v>Список контрагентов по закупке.xlsx</x:v>
      </x:c>
      <x:c r="C89" s="207" t="str">
        <x:v>Excel</x:v>
      </x:c>
      <x:c r="D89" s="207" t="n">
        <x:v>0.014</x:v>
      </x:c>
      <x:c r="E89" s="207" t="str">
        <x:v>Закупки и запасы</x:v>
      </x:c>
      <x:c r="F89" s="207" t="str">
        <x:v>Не определён из названия</x:v>
      </x:c>
      <x:c r="G89" s="207" t="str">
        <x:v>Не указано в названии</x:v>
      </x:c>
      <x:c r="H89" s="207" t="str">
        <x:v>1 лист(ов); 132 непустых ячеек; 0 формул</x:v>
      </x:c>
      <x:c r="I89" s="207" t="str">
        <x:v>Полная: значения и формулы извлечены по всем листам</x:v>
      </x:c>
      <x:c r="J89" s="207" t="str">
        <x:v>Низкий</x:v>
      </x:c>
      <x:c r="K89" s="207" t="str">
        <x:v>Технических ошибок при извлечении не обнаружено; бизнес-корректность не подтверждена</x:v>
      </x:c>
      <x:c r="L89" s="207" t="str">
        <x:v>Есть</x:v>
      </x:c>
      <x:c r="M89" s="207" t="str">
        <x:v>Можно использовать как источник после содержательной сверки.</x:v>
      </x:c>
      <x:c r="N89" s="207" t="str">
        <x:v>Обычный внутренний</x:v>
      </x:c>
      <x:c r="O89" s="207" t="str">
        <x:v>ERP/1С + WMS</x:v>
      </x:c>
      <x:c r="P89" s="207" t="str">
        <x:v>Поставщики, PO, приёмка, материалы, партии</x:v>
      </x:c>
      <x:c r="Q89" s="207" t="str">
        <x:v>Карантин → исправление → контрольная загрузка</x:v>
      </x:c>
      <x:c r="R89" s="208" t="str">
        <x:v>11f7b2d33f442889faf07fce5092f043008799fdd622b7f65a1dea11a906460b</x:v>
      </x:c>
    </x:row>
    <x:row r="90">
      <x:c r="A90" s="206" t="str">
        <x:v>FILE-086</x:v>
      </x:c>
      <x:c r="B90" s="207" t="str">
        <x:v>Список представленной отчетности за 2024.pdf</x:v>
      </x:c>
      <x:c r="C90" s="207" t="str">
        <x:v>PDF</x:v>
      </x:c>
      <x:c r="D90" s="207" t="n">
        <x:v>1.355</x:v>
      </x:c>
      <x:c r="E90" s="207" t="str">
        <x:v>Налоги и обязательная отчётность</x:v>
      </x:c>
      <x:c r="F90" s="207" t="str">
        <x:v>2024</x:v>
      </x:c>
      <x:c r="G90" s="207" t="str">
        <x:v>Не указано в названии</x:v>
      </x:c>
      <x:c r="H90" s="207" t="str">
        <x:v>5 стр.; текстовый слой 0/5</x:v>
      </x:c>
      <x:c r="I90" s="207" t="str">
        <x:v>Только изображение; проверено визуально</x:v>
      </x:c>
      <x:c r="J90" s="207" t="str">
        <x:v>Средний</x:v>
      </x:c>
      <x:c r="K90" s="207" t="str">
        <x:v>Нет текстового слоя | Визуально проверено: 5 страниц заполненного перечня представленной отчётности; текстового слоя нет.</x:v>
      </x:c>
      <x:c r="L90" s="207" t="str">
        <x:v>Есть частично/с ограничениями</x:v>
      </x:c>
      <x:c r="M90" s="207" t="str">
        <x:v>Можно использовать как подтверждающий документ; автоматический поиск и сверка ограничены.</x:v>
      </x:c>
      <x:c r="N90" s="207" t="str">
        <x:v>Обычный внутренний</x:v>
      </x:c>
      <x:c r="O90" s="207" t="str">
        <x:v>Tax ledger + ENS register + DMS</x:v>
      </x:c>
      <x:c r="P90" s="207" t="str">
        <x:v>Декларации, обязательства, уведомления, ЕНС</x:v>
      </x:c>
      <x:c r="Q90" s="207" t="str">
        <x:v>Хранить как первичный/официальный документ в DMS; метаданные связать с регистром</x:v>
      </x:c>
      <x:c r="R90" s="208" t="str">
        <x:v>0a59904dd2d1c14c64b73e3e86935e07aa75bf1bc8e665820dda11f7cc1afecb</x:v>
      </x:c>
    </x:row>
    <x:row r="91">
      <x:c r="A91" s="206" t="str">
        <x:v>FILE-087</x:v>
      </x:c>
      <x:c r="B91" s="207" t="str">
        <x:v>Список представленной отчетности за 2025.pdf</x:v>
      </x:c>
      <x:c r="C91" s="207" t="str">
        <x:v>PDF</x:v>
      </x:c>
      <x:c r="D91" s="207" t="n">
        <x:v>1.491</x:v>
      </x:c>
      <x:c r="E91" s="207" t="str">
        <x:v>Налоги и обязательная отчётность</x:v>
      </x:c>
      <x:c r="F91" s="207" t="str">
        <x:v>2025</x:v>
      </x:c>
      <x:c r="G91" s="207" t="str">
        <x:v>Не указано в названии</x:v>
      </x:c>
      <x:c r="H91" s="207" t="str">
        <x:v>5 стр.; текстовый слой 0/5</x:v>
      </x:c>
      <x:c r="I91" s="207" t="str">
        <x:v>Только изображение; проверено визуально</x:v>
      </x:c>
      <x:c r="J91" s="207" t="str">
        <x:v>Средний</x:v>
      </x:c>
      <x:c r="K91" s="207" t="str">
        <x:v>Нет текстового слоя | Визуально проверено: 5 страниц заполненного перечня представленной отчётности; текстового слоя нет.</x:v>
      </x:c>
      <x:c r="L91" s="207" t="str">
        <x:v>Есть частично/с ограничениями</x:v>
      </x:c>
      <x:c r="M91" s="207" t="str">
        <x:v>Можно использовать как подтверждающий документ; автоматический поиск и сверка ограничены.</x:v>
      </x:c>
      <x:c r="N91" s="207" t="str">
        <x:v>Обычный внутренний</x:v>
      </x:c>
      <x:c r="O91" s="207" t="str">
        <x:v>Tax ledger + ENS register + DMS</x:v>
      </x:c>
      <x:c r="P91" s="207" t="str">
        <x:v>Декларации, обязательства, уведомления, ЕНС</x:v>
      </x:c>
      <x:c r="Q91" s="207" t="str">
        <x:v>Хранить как первичный/официальный документ в DMS; метаданные связать с регистром</x:v>
      </x:c>
      <x:c r="R91" s="208" t="str">
        <x:v>446e4dda8aa45a3e2a5b952aef2f4e89845630a2446b087742464f581e9c7152</x:v>
      </x:c>
    </x:row>
    <x:row r="92">
      <x:c r="A92" s="206" t="str">
        <x:v>FILE-088</x:v>
      </x:c>
      <x:c r="B92" s="207" t="str">
        <x:v>Список представленной отчетности за 2026.pdf</x:v>
      </x:c>
      <x:c r="C92" s="207" t="str">
        <x:v>PDF</x:v>
      </x:c>
      <x:c r="D92" s="207" t="n">
        <x:v>0.808</x:v>
      </x:c>
      <x:c r="E92" s="207" t="str">
        <x:v>Налоги и обязательная отчётность</x:v>
      </x:c>
      <x:c r="F92" s="207" t="str">
        <x:v>2026</x:v>
      </x:c>
      <x:c r="G92" s="207" t="str">
        <x:v>Не указано в названии</x:v>
      </x:c>
      <x:c r="H92" s="207" t="str">
        <x:v>3 стр.; текстовый слой 0/3</x:v>
      </x:c>
      <x:c r="I92" s="207" t="str">
        <x:v>Только изображение; проверено визуально</x:v>
      </x:c>
      <x:c r="J92" s="207" t="str">
        <x:v>Средний</x:v>
      </x:c>
      <x:c r="K92" s="207" t="str">
        <x:v>Нет текстового слоя | Визуально проверено: 3 страницы заполненного перечня представленной отчётности; текстового слоя нет.</x:v>
      </x:c>
      <x:c r="L92" s="207" t="str">
        <x:v>Есть частично/с ограничениями</x:v>
      </x:c>
      <x:c r="M92" s="207" t="str">
        <x:v>Можно использовать как подтверждающий документ; автоматический поиск и сверка ограничены.</x:v>
      </x:c>
      <x:c r="N92" s="207" t="str">
        <x:v>Обычный внутренний</x:v>
      </x:c>
      <x:c r="O92" s="207" t="str">
        <x:v>Tax ledger + ENS register + DMS</x:v>
      </x:c>
      <x:c r="P92" s="207" t="str">
        <x:v>Декларации, обязательства, уведомления, ЕНС</x:v>
      </x:c>
      <x:c r="Q92" s="207" t="str">
        <x:v>Хранить как первичный/официальный документ в DMS; метаданные связать с регистром</x:v>
      </x:c>
      <x:c r="R92" s="208" t="str">
        <x:v>48b008b303e010265150317b93a3b961f298b65240bca5e776221ccac1bb9c77</x:v>
      </x:c>
    </x:row>
    <x:row r="93">
      <x:c r="A93" s="206" t="str">
        <x:v>FILE-089</x:v>
      </x:c>
      <x:c r="B93" s="207" t="str">
        <x:v>Справка о расчетах по взносам на несч.сл на 25.06.2026.pdf</x:v>
      </x:c>
      <x:c r="C93" s="207" t="str">
        <x:v>PDF</x:v>
      </x:c>
      <x:c r="D93" s="207" t="n">
        <x:v>0.604</x:v>
      </x:c>
      <x:c r="E93" s="207" t="str">
        <x:v>Налоги и обязательная отчётность</x:v>
      </x:c>
      <x:c r="F93" s="207" t="str">
        <x:v>2026</x:v>
      </x:c>
      <x:c r="G93" s="207" t="str">
        <x:v>Не указано в названии</x:v>
      </x:c>
      <x:c r="H93" s="207" t="str">
        <x:v>2 стр.; текстовый слой 0/2</x:v>
      </x:c>
      <x:c r="I93" s="207" t="str">
        <x:v>Только изображение; проверено визуально</x:v>
      </x:c>
      <x:c r="J93" s="207" t="str">
        <x:v>Средний</x:v>
      </x:c>
      <x:c r="K93" s="207" t="str">
        <x:v>Нет текстового слоя | Визуально проверено: отрицательные значения означают переплату; взносы −29 080,68 руб., пени −242,34 руб.; штрафы 0,00 руб.</x:v>
      </x:c>
      <x:c r="L93" s="207" t="str">
        <x:v>Есть частично/с ограничениями</x:v>
      </x:c>
      <x:c r="M93" s="207" t="str">
        <x:v>Можно использовать как подтверждающий документ; автоматический поиск и сверка ограничены.</x:v>
      </x:c>
      <x:c r="N93" s="207" t="str">
        <x:v>Обычный внутренний</x:v>
      </x:c>
      <x:c r="O93" s="207" t="str">
        <x:v>Tax ledger + ENS register + DMS</x:v>
      </x:c>
      <x:c r="P93" s="207" t="str">
        <x:v>Декларации, обязательства, уведомления, ЕНС</x:v>
      </x:c>
      <x:c r="Q93" s="207" t="str">
        <x:v>Хранить как первичный/официальный документ в DMS; метаданные связать с регистром</x:v>
      </x:c>
      <x:c r="R93" s="208" t="str">
        <x:v>52671eb999e4ce9e26af9b964002a4274bbfe5c4caf90b0325169b0a7f89aca1</x:v>
      </x:c>
    </x:row>
    <x:row r="94">
      <x:c r="A94" s="206" t="str">
        <x:v>FILE-090</x:v>
      </x:c>
      <x:c r="B94" s="207" t="str">
        <x:v>Справка об исполнении обязанности по налогам.pdf</x:v>
      </x:c>
      <x:c r="C94" s="207" t="str">
        <x:v>PDF</x:v>
      </x:c>
      <x:c r="D94" s="207" t="n">
        <x:v>0.156</x:v>
      </x:c>
      <x:c r="E94" s="207" t="str">
        <x:v>Налоги и обязательная отчётность</x:v>
      </x:c>
      <x:c r="F94" s="207" t="str">
        <x:v>Не определён из названия</x:v>
      </x:c>
      <x:c r="G94" s="207" t="str">
        <x:v>Не указано в названии</x:v>
      </x:c>
      <x:c r="H94" s="207" t="str">
        <x:v>1 стр.; текстовый слой 0/1</x:v>
      </x:c>
      <x:c r="I94" s="207" t="str">
        <x:v>Только изображение; проверено визуально</x:v>
      </x:c>
      <x:c r="J94" s="207" t="str">
        <x:v>Средний</x:v>
      </x:c>
      <x:c r="K94" s="207" t="str">
        <x:v>Нет текстового слоя | Визуально проверено: по состоянию на 25.06.2026 неисполненной обязанности нет.</x:v>
      </x:c>
      <x:c r="L94" s="207" t="str">
        <x:v>Есть частично/с ограничениями</x:v>
      </x:c>
      <x:c r="M94" s="207" t="str">
        <x:v>Можно использовать как подтверждающий документ; автоматический поиск и сверка ограничены.</x:v>
      </x:c>
      <x:c r="N94" s="207" t="str">
        <x:v>Обычный внутренний</x:v>
      </x:c>
      <x:c r="O94" s="207" t="str">
        <x:v>Tax ledger + ENS register + DMS</x:v>
      </x:c>
      <x:c r="P94" s="207" t="str">
        <x:v>Декларации, обязательства, уведомления, ЕНС</x:v>
      </x:c>
      <x:c r="Q94" s="207" t="str">
        <x:v>Хранить как первичный/официальный документ в DMS; метаданные связать с регистром</x:v>
      </x:c>
      <x:c r="R94" s="208" t="str">
        <x:v>90040ae0af419cf1c2e7a18bf614e16481c5714fd14b1b3e79cd35f03f7fa050</x:v>
      </x:c>
    </x:row>
    <x:row r="95">
      <x:c r="A95" s="206" t="str">
        <x:v>FILE-091</x:v>
      </x:c>
      <x:c r="B95" s="207" t="str">
        <x:v>Факт анализ продаж B2B 2025.xlsx</x:v>
      </x:c>
      <x:c r="C95" s="207" t="str">
        <x:v>Excel</x:v>
      </x:c>
      <x:c r="D95" s="207" t="n">
        <x:v>0.035</x:v>
      </x:c>
      <x:c r="E95" s="207" t="str">
        <x:v>Продажи и каналы</x:v>
      </x:c>
      <x:c r="F95" s="207" t="str">
        <x:v>2025</x:v>
      </x:c>
      <x:c r="G95" s="207" t="str">
        <x:v>ИП Янина / операционный контур (требует подтверждения по части файлов)</x:v>
      </x:c>
      <x:c r="H95" s="207" t="str">
        <x:v>3 лист(ов); 1 170 непустых ячеек; 198 формул</x:v>
      </x:c>
      <x:c r="I95" s="207" t="str">
        <x:v>Полная: значения и формулы извлечены по всем листам</x:v>
      </x:c>
      <x:c r="J95" s="207" t="str">
        <x:v>Низкий</x:v>
      </x:c>
      <x:c r="K95" s="207" t="str">
        <x:v>Технических ошибок при извлечении не обнаружено; бизнес-корректность не подтверждена</x:v>
      </x:c>
      <x:c r="L95" s="207" t="str">
        <x:v>Есть</x:v>
      </x:c>
      <x:c r="M95" s="207" t="str">
        <x:v>Можно использовать как источник после содержательной сверки.</x:v>
      </x:c>
      <x:c r="N95" s="207" t="str">
        <x:v>Обычный внутренний</x:v>
      </x:c>
      <x:c r="O95" s="207" t="str">
        <x:v>CRM/POS/CMS + ERP</x:v>
      </x:c>
      <x:c r="P95" s="207" t="str">
        <x:v>Заказы, строки продаж, возвраты, settlement</x:v>
      </x:c>
      <x:c r="Q95" s="207" t="str">
        <x:v>Карантин → исправление → контрольная загрузка</x:v>
      </x:c>
      <x:c r="R95" s="208" t="str">
        <x:v>758f1723b3d6a9b1e7b32f2b971bff97bf5734bb46cc38187a6e245669460ed8</x:v>
      </x:c>
    </x:row>
    <x:row r="96">
      <x:c r="A96" s="206" t="str">
        <x:v>FILE-092</x:v>
      </x:c>
      <x:c r="B96" s="207" t="str">
        <x:v>Факт анализ продаж B2B 2026.xlsx</x:v>
      </x:c>
      <x:c r="C96" s="207" t="str">
        <x:v>Excel</x:v>
      </x:c>
      <x:c r="D96" s="207" t="n">
        <x:v>0.033</x:v>
      </x:c>
      <x:c r="E96" s="207" t="str">
        <x:v>Продажи и каналы</x:v>
      </x:c>
      <x:c r="F96" s="207" t="str">
        <x:v>2026</x:v>
      </x:c>
      <x:c r="G96" s="207" t="str">
        <x:v>ИП Янина / операционный контур (требует подтверждения по части файлов)</x:v>
      </x:c>
      <x:c r="H96" s="207" t="str">
        <x:v>3 лист(ов); 888 непустых ячеек; 200 формул</x:v>
      </x:c>
      <x:c r="I96" s="207" t="str">
        <x:v>Полная: значения и формулы извлечены по всем листам</x:v>
      </x:c>
      <x:c r="J96" s="207" t="str">
        <x:v>Средний</x:v>
      </x:c>
      <x:c r="K96" s="207" t="str">
        <x:v>40 × #DIV/0!</x:v>
      </x:c>
      <x:c r="L96" s="207" t="str">
        <x:v>Есть частично/с ограничениями</x:v>
      </x:c>
      <x:c r="M96" s="207" t="str">
        <x:v>Показатели будущих/нулевых периодов с #DIV/0! считать отсутствующими, не нулевыми.</x:v>
      </x:c>
      <x:c r="N96" s="207" t="str">
        <x:v>Обычный внутренний</x:v>
      </x:c>
      <x:c r="O96" s="207" t="str">
        <x:v>CRM/POS/CMS + ERP</x:v>
      </x:c>
      <x:c r="P96" s="207" t="str">
        <x:v>Заказы, строки продаж, возвраты, settlement</x:v>
      </x:c>
      <x:c r="Q96" s="207" t="str">
        <x:v>Карантин → исправление → контрольная загрузка</x:v>
      </x:c>
      <x:c r="R96" s="208" t="str">
        <x:v>8cd1b3a3570f40b5344a8b0cb0751eb18e566953d4b2fde437fe9d33dcae29f6</x:v>
      </x:c>
    </x:row>
    <x:row r="97">
      <x:c r="A97" s="209" t="str">
        <x:v>FILE-093</x:v>
      </x:c>
      <x:c r="B97" s="210" t="str">
        <x:v>Штатка ИП.xlsx</x:v>
      </x:c>
      <x:c r="C97" s="210" t="str">
        <x:v>Excel</x:v>
      </x:c>
      <x:c r="D97" s="210" t="n">
        <x:v>0.014</x:v>
      </x:c>
      <x:c r="E97" s="210" t="str">
        <x:v>Персонал и оплата труда</x:v>
      </x:c>
      <x:c r="F97" s="210" t="str">
        <x:v>Не определён из названия</x:v>
      </x:c>
      <x:c r="G97" s="210" t="str">
        <x:v>ИП Янина / операционный контур (требует подтверждения по части файлов)</x:v>
      </x:c>
      <x:c r="H97" s="210" t="str">
        <x:v>1 лист(ов); 301 непустых ячеек; 0 формул</x:v>
      </x:c>
      <x:c r="I97" s="210" t="str">
        <x:v>Полная: значения и формулы извлечены по всем листам</x:v>
      </x:c>
      <x:c r="J97" s="210" t="str">
        <x:v>Низкий</x:v>
      </x:c>
      <x:c r="K97" s="210" t="str">
        <x:v>Технических ошибок при извлечении не обнаружено; бизнес-корректность не подтверждена</x:v>
      </x:c>
      <x:c r="L97" s="210" t="str">
        <x:v>Есть</x:v>
      </x:c>
      <x:c r="M97" s="210" t="str">
        <x:v>Можно использовать как источник после содержательной сверки.</x:v>
      </x:c>
      <x:c r="N97" s="210" t="str">
        <x:v>Обычный внутренний</x:v>
      </x:c>
      <x:c r="O97" s="210" t="str">
        <x:v>HRIS/ЗУП + Payroll ledger</x:v>
      </x:c>
      <x:c r="P97" s="210" t="str">
        <x:v>Сотрудники, начисления, реестры выплат</x:v>
      </x:c>
      <x:c r="Q97" s="210" t="str">
        <x:v>Карантин → исправление → контрольная загрузка</x:v>
      </x:c>
      <x:c r="R97" s="211" t="str">
        <x:v>500393dd127fa501f8e78895f5fb7e37a8e647d1e57f622f61ccecab74dd6765</x:v>
      </x:c>
    </x:row>
  </x:sheetData>
  <x:mergeCells>
    <x:mergeCell ref="A1:R1"/>
    <x:mergeCell ref="A2:R2"/>
  </x:mergeCells>
  <x:conditionalFormatting sqref="L5:L97">
    <x:cfRule type="expression" dxfId="0" priority="1">
      <x:formula>ISNUMBER(SEARCH("Подтверж",L5))</x:formula>
    </x:cfRule>
    <x:cfRule type="expression" dxfId="1" priority="2">
      <x:formula>OR(ISNUMBER(SEARCH("Част",L5)),ISNUMBER(SEARCH("оговор",L5)),ISNUMBER(SEARCH("агрегат",L5)))</x:formula>
    </x:cfRule>
    <x:cfRule type="expression" dxfId="2" priority="3">
      <x:formula>OR(ISNUMBER(SEARCH("Отсутств",L5)),ISNUMBER(SEARCH("Невозмож",L5)),ISNUMBER(SEARCH("Заблок",L5)))</x:formula>
    </x:cfRule>
  </x:conditionalFormatting>
  <x:conditionalFormatting sqref="J5:J97">
    <x:cfRule type="expression" dxfId="3" priority="4">
      <x:formula>ISNUMBER(SEARCH("Крит",J5))</x:formula>
    </x:cfRule>
    <x:cfRule type="expression" dxfId="4" priority="5">
      <x:formula>ISNUMBER(SEARCH("Выс",J5))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2" hidden="0" customWidth="1"/>
    <x:col min="4" max="4" width="36" hidden="0" customWidth="1"/>
    <x:col min="5" max="5" width="24" hidden="0" customWidth="1"/>
    <x:col min="6" max="6" width="28" hidden="0" customWidth="1"/>
    <x:col min="7" max="7" width="22" hidden="0" customWidth="1"/>
    <x:col min="8" max="8" width="42" hidden="0" customWidth="1"/>
  </x:cols>
  <x:sheetData>
    <x:row r="1" ht="28" customHeight="1">
      <x:c r="A1" s="5" t="str">
        <x:v>КАТАЛОГ БИЗНЕС-СУЩНОСТЕЙ И ЦЕЛЕВЫХ РЕГИСТРОВ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4" t="str">
        <x:v>Показывает: что есть, где найдено, чего нет и в какой системе должен жить источник истины.</x:v>
      </x:c>
      <x:c r="B2" s="14"/>
      <x:c r="C2" s="14"/>
      <x:c r="D2" s="14"/>
      <x:c r="E2" s="14"/>
      <x:c r="F2" s="14"/>
      <x:c r="G2" s="14"/>
      <x:c r="H2" s="14"/>
    </x:row>
    <x:row r="4" ht="28" customHeight="1">
      <x:c r="A4" s="169" t="str">
        <x:v>entity_id</x:v>
      </x:c>
      <x:c r="B4" s="170" t="str">
        <x:v>entity</x:v>
      </x:c>
      <x:c r="C4" s="170" t="str">
        <x:v>current_status</x:v>
      </x:c>
      <x:c r="D4" s="170" t="str">
        <x:v>where_found</x:v>
      </x:c>
      <x:c r="E4" s="170" t="str">
        <x:v>target_system</x:v>
      </x:c>
      <x:c r="F4" s="170" t="str">
        <x:v>target_key</x:v>
      </x:c>
      <x:c r="G4" s="170" t="str">
        <x:v>owner</x:v>
      </x:c>
      <x:c r="H4" s="171" t="str">
        <x:v>missing_or_limitation</x:v>
      </x:c>
    </x:row>
    <x:row r="5">
      <x:c r="A5" s="203" t="str">
        <x:v>ENT-01</x:v>
      </x:c>
      <x:c r="B5" s="204" t="str">
        <x:v>Юридическое лицо</x:v>
      </x:c>
      <x:c r="C5" s="204" t="str">
        <x:v>Есть частично</x:v>
      </x:c>
      <x:c r="D5" s="204" t="str">
        <x:v>Налоговые формы, выписки, договоры</x:v>
      </x:c>
      <x:c r="E5" s="204" t="str">
        <x:v>ERP/MDM</x:v>
      </x:c>
      <x:c r="F5" s="204" t="str">
        <x:v>legal_entity_id</x:v>
      </x:c>
      <x:c r="G5" s="204" t="str">
        <x:v>Финансы/юристы</x:v>
      </x:c>
      <x:c r="H5" s="205" t="str">
        <x:v>Единый реестр юрлиц и связи счетов/сотрудников/договоров</x:v>
      </x:c>
    </x:row>
    <x:row r="6">
      <x:c r="A6" s="206" t="str">
        <x:v>ENT-02</x:v>
      </x:c>
      <x:c r="B6" s="207" t="str">
        <x:v>Банковский счёт</x:v>
      </x:c>
      <x:c r="C6" s="207" t="str">
        <x:v>Есть частично</x:v>
      </x:c>
      <x:c r="D6" s="207" t="str">
        <x:v>4 подтверждённых счёта; не весь периметр</x:v>
      </x:c>
      <x:c r="E6" s="207" t="str">
        <x:v>Bank hub/ERP</x:v>
      </x:c>
      <x:c r="F6" s="207" t="str">
        <x:v>bank_account_id</x:v>
      </x:c>
      <x:c r="G6" s="207" t="str">
        <x:v>Финансы</x:v>
      </x:c>
      <x:c r="H6" s="208" t="str">
        <x:v>Салон, Райффайзен, валютный блок не подтверждены</x:v>
      </x:c>
    </x:row>
    <x:row r="7">
      <x:c r="A7" s="206" t="str">
        <x:v>ENT-03</x:v>
      </x:c>
      <x:c r="B7" s="207" t="str">
        <x:v>Банковский платёж</x:v>
      </x:c>
      <x:c r="C7" s="207" t="str">
        <x:v>Есть</x:v>
      </x:c>
      <x:c r="D7" s="207" t="str">
        <x:v>Банковские выписки</x:v>
      </x:c>
      <x:c r="E7" s="207" t="str">
        <x:v>Bank hub/ERP</x:v>
      </x:c>
      <x:c r="F7" s="207" t="str">
        <x:v>bank_payment_id</x:v>
      </x:c>
      <x:c r="G7" s="207" t="str">
        <x:v>Финансы</x:v>
      </x:c>
      <x:c r="H7" s="208" t="str">
        <x:v>Не всегда связан с обязательством/settlement</x:v>
      </x:c>
    </x:row>
    <x:row r="8">
      <x:c r="A8" s="206" t="str">
        <x:v>ENT-04</x:v>
      </x:c>
      <x:c r="B8" s="207" t="str">
        <x:v>Касса/карта/подотчёт</x:v>
      </x:c>
      <x:c r="C8" s="207" t="str">
        <x:v>Есть частично</x:v>
      </x:c>
      <x:c r="D8" s="207" t="str">
        <x:v>Ручные компоненты остатков</x:v>
      </x:c>
      <x:c r="E8" s="207" t="str">
        <x:v>ERP/Cash ledger</x:v>
      </x:c>
      <x:c r="F8" s="207" t="str">
        <x:v>cash_account_id</x:v>
      </x:c>
      <x:c r="G8" s="207" t="str">
        <x:v>Финансы</x:v>
      </x:c>
      <x:c r="H8" s="208" t="str">
        <x:v>Нет независимого журнала движений и подписанных остатков</x:v>
      </x:c>
    </x:row>
    <x:row r="9">
      <x:c r="A9" s="206" t="str">
        <x:v>ENT-05</x:v>
      </x:c>
      <x:c r="B9" s="207" t="str">
        <x:v>Бюджет/сценарий</x:v>
      </x:c>
      <x:c r="C9" s="207" t="str">
        <x:v>Есть частично</x:v>
      </x:c>
      <x:c r="D9" s="207" t="str">
        <x:v>Бюджеты 2025/2026</x:v>
      </x:c>
      <x:c r="E9" s="207" t="str">
        <x:v>EPM/ERP</x:v>
      </x:c>
      <x:c r="F9" s="207" t="str">
        <x:v>plan_version_id + scenario_id</x:v>
      </x:c>
      <x:c r="G9" s="207" t="str">
        <x:v>Финансы</x:v>
      </x:c>
      <x:c r="H9" s="208" t="str">
        <x:v>Нет единой версии и сквозной связи со SKU/производством</x:v>
      </x:c>
    </x:row>
    <x:row r="10">
      <x:c r="A10" s="206" t="str">
        <x:v>ENT-06</x:v>
      </x:c>
      <x:c r="B10" s="207" t="str">
        <x:v>Сотрудник</x:v>
      </x:c>
      <x:c r="C10" s="207" t="str">
        <x:v>Есть частично</x:v>
      </x:c>
      <x:c r="D10" s="207" t="str">
        <x:v>Штатка, payroll-файлы</x:v>
      </x:c>
      <x:c r="E10" s="207" t="str">
        <x:v>HRIS/ЗУП</x:v>
      </x:c>
      <x:c r="F10" s="207" t="str">
        <x:v>employee_id</x:v>
      </x:c>
      <x:c r="G10" s="207" t="str">
        <x:v>HR</x:v>
      </x:c>
      <x:c r="H10" s="208" t="str">
        <x:v>Нет устойчивого ID во всех payroll/tax источниках</x:v>
      </x:c>
    </x:row>
    <x:row r="11">
      <x:c r="A11" s="206" t="str">
        <x:v>ENT-07</x:v>
      </x:c>
      <x:c r="B11" s="207" t="str">
        <x:v>Начисление ФОТ</x:v>
      </x:c>
      <x:c r="C11" s="207" t="str">
        <x:v>Есть частично</x:v>
      </x:c>
      <x:c r="D11" s="207" t="str">
        <x:v>Месячные ведомости 2025/2026</x:v>
      </x:c>
      <x:c r="E11" s="207" t="str">
        <x:v>Payroll ledger</x:v>
      </x:c>
      <x:c r="F11" s="207" t="str">
        <x:v>payroll_accrual_id</x:v>
      </x:c>
      <x:c r="G11" s="207" t="str">
        <x:v>HR/финансы</x:v>
      </x:c>
      <x:c r="H11" s="208" t="str">
        <x:v>Нет полного 2024 и полного annual ledger</x:v>
      </x:c>
    </x:row>
    <x:row r="12">
      <x:c r="A12" s="206" t="str">
        <x:v>ENT-08</x:v>
      </x:c>
      <x:c r="B12" s="207" t="str">
        <x:v>Реестр выплаты ФОТ</x:v>
      </x:c>
      <x:c r="C12" s="207" t="str">
        <x:v>Есть частично</x:v>
      </x:c>
      <x:c r="D12" s="207" t="str">
        <x:v>Ведомости и банковские пакеты</x:v>
      </x:c>
      <x:c r="E12" s="207" t="str">
        <x:v>Payroll ledger</x:v>
      </x:c>
      <x:c r="F12" s="207" t="str">
        <x:v>payroll_registry_id</x:v>
      </x:c>
      <x:c r="G12" s="207" t="str">
        <x:v>HR/финансы</x:v>
      </x:c>
      <x:c r="H12" s="208" t="str">
        <x:v>Часть реестров без employee-level basis</x:v>
      </x:c>
    </x:row>
    <x:row r="13">
      <x:c r="A13" s="206" t="str">
        <x:v>ENT-09</x:v>
      </x:c>
      <x:c r="B13" s="207" t="str">
        <x:v>Налоговая декларация</x:v>
      </x:c>
      <x:c r="C13" s="207" t="str">
        <x:v>Есть</x:v>
      </x:c>
      <x:c r="D13" s="207" t="str">
        <x:v>6-НДФЛ, РСВ</x:v>
      </x:c>
      <x:c r="E13" s="207" t="str">
        <x:v>Tax ledger/DMS</x:v>
      </x:c>
      <x:c r="F13" s="207" t="str">
        <x:v>declaration_id</x:v>
      </x:c>
      <x:c r="G13" s="207" t="str">
        <x:v>Налоги</x:v>
      </x:c>
      <x:c r="H13" s="208" t="str">
        <x:v>Годовая форма не заменяет помесячный регистр</x:v>
      </x:c>
    </x:row>
    <x:row r="14">
      <x:c r="A14" s="206" t="str">
        <x:v>ENT-10</x:v>
      </x:c>
      <x:c r="B14" s="207" t="str">
        <x:v>Налоговое обязательство</x:v>
      </x:c>
      <x:c r="C14" s="207" t="str">
        <x:v>Нет</x:v>
      </x:c>
      <x:c r="D14" s="207" t="str">
        <x:v>Не выделено как регистр</x:v>
      </x:c>
      <x:c r="E14" s="207" t="str">
        <x:v>Tax ledger</x:v>
      </x:c>
      <x:c r="F14" s="207" t="str">
        <x:v>tax_obligation_id</x:v>
      </x:c>
      <x:c r="G14" s="207" t="str">
        <x:v>Налоги</x:v>
      </x:c>
      <x:c r="H14" s="208" t="str">
        <x:v>Нет due date, уведомлений и остатка обязательства</x:v>
      </x:c>
    </x:row>
    <x:row r="15">
      <x:c r="A15" s="206" t="str">
        <x:v>ENT-11</x:v>
      </x:c>
      <x:c r="B15" s="207" t="str">
        <x:v>Распределение ЕНС</x:v>
      </x:c>
      <x:c r="C15" s="207" t="str">
        <x:v>Нет</x:v>
      </x:c>
      <x:c r="D15" s="207" t="str">
        <x:v>Банк показывает ЕНП, но не распределение</x:v>
      </x:c>
      <x:c r="E15" s="207" t="str">
        <x:v>ENS register</x:v>
      </x:c>
      <x:c r="F15" s="207" t="str">
        <x:v>ens_allocation_id</x:v>
      </x:c>
      <x:c r="G15" s="207" t="str">
        <x:v>Налоги</x:v>
      </x:c>
      <x:c r="H15" s="208" t="str">
        <x:v>Нельзя доказать погашение конкретного налога</x:v>
      </x:c>
    </x:row>
    <x:row r="16">
      <x:c r="A16" s="206" t="str">
        <x:v>ENT-12</x:v>
      </x:c>
      <x:c r="B16" s="207" t="str">
        <x:v>Поставщик</x:v>
      </x:c>
      <x:c r="C16" s="207" t="str">
        <x:v>Есть частично</x:v>
      </x:c>
      <x:c r="D16" s="207" t="str">
        <x:v>63 строки поставщиков</x:v>
      </x:c>
      <x:c r="E16" s="207" t="str">
        <x:v>ERP/MDM</x:v>
      </x:c>
      <x:c r="F16" s="207" t="str">
        <x:v>supplier_id</x:v>
      </x:c>
      <x:c r="G16" s="207" t="str">
        <x:v>Закупки</x:v>
      </x:c>
      <x:c r="H16" s="208" t="str">
        <x:v>Контакты/реквизиты неполны; есть дубли/служебные записи</x:v>
      </x:c>
    </x:row>
    <x:row r="17">
      <x:c r="A17" s="206" t="str">
        <x:v>ENT-13</x:v>
      </x:c>
      <x:c r="B17" s="207" t="str">
        <x:v>Материал</x:v>
      </x:c>
      <x:c r="C17" s="207" t="str">
        <x:v>Есть частично</x:v>
      </x:c>
      <x:c r="D17" s="207" t="str">
        <x:v>1 338 строк остатка; 867 кандидатов master</x:v>
      </x:c>
      <x:c r="E17" s="207" t="str">
        <x:v>ERP/MDM/WMS</x:v>
      </x:c>
      <x:c r="F17" s="207" t="str">
        <x:v>material_id</x:v>
      </x:c>
      <x:c r="G17" s="207" t="str">
        <x:v>Закупки/склад</x:v>
      </x:c>
      <x:c r="H17" s="208" t="str">
        <x:v>Нет утверждённого master и атрибутов</x:v>
      </x:c>
    </x:row>
    <x:row r="18">
      <x:c r="A18" s="206" t="str">
        <x:v>ENT-14</x:v>
      </x:c>
      <x:c r="B18" s="207" t="str">
        <x:v>Партия материала</x:v>
      </x:c>
      <x:c r="C18" s="207" t="str">
        <x:v>Нет</x:v>
      </x:c>
      <x:c r="D18" s="207" t="str">
        <x:v>Отсутствует</x:v>
      </x:c>
      <x:c r="E18" s="207" t="str">
        <x:v>WMS</x:v>
      </x:c>
      <x:c r="F18" s="207" t="str">
        <x:v>material_lot_id</x:v>
      </x:c>
      <x:c r="G18" s="207" t="str">
        <x:v>Склад</x:v>
      </x:c>
      <x:c r="H18" s="208" t="str">
        <x:v>Нет поступления, цены партии, движения и aging</x:v>
      </x:c>
    </x:row>
    <x:row r="19">
      <x:c r="A19" s="206" t="str">
        <x:v>ENT-15</x:v>
      </x:c>
      <x:c r="B19" s="207" t="str">
        <x:v>Заявка на закупку</x:v>
      </x:c>
      <x:c r="C19" s="207" t="str">
        <x:v>Нет</x:v>
      </x:c>
      <x:c r="D19" s="207" t="str">
        <x:v>Отсутствует</x:v>
      </x:c>
      <x:c r="E19" s="207" t="str">
        <x:v>ERP</x:v>
      </x:c>
      <x:c r="F19" s="207" t="str">
        <x:v>purchase_request_id</x:v>
      </x:c>
      <x:c r="G19" s="207" t="str">
        <x:v>Закупки</x:v>
      </x:c>
      <x:c r="H19" s="208" t="str">
        <x:v>Нет потребности, согласования и связи с планом</x:v>
      </x:c>
    </x:row>
    <x:row r="20">
      <x:c r="A20" s="206" t="str">
        <x:v>ENT-16</x:v>
      </x:c>
      <x:c r="B20" s="207" t="str">
        <x:v>Заказ поставщику</x:v>
      </x:c>
      <x:c r="C20" s="207" t="str">
        <x:v>Нет</x:v>
      </x:c>
      <x:c r="D20" s="207" t="str">
        <x:v>Отсутствует</x:v>
      </x:c>
      <x:c r="E20" s="207" t="str">
        <x:v>ERP</x:v>
      </x:c>
      <x:c r="F20" s="207" t="str">
        <x:v>purchase_order_id</x:v>
      </x:c>
      <x:c r="G20" s="207" t="str">
        <x:v>Закупки</x:v>
      </x:c>
      <x:c r="H20" s="208" t="str">
        <x:v>Нет PO/GRN/invoice цепочки</x:v>
      </x:c>
    </x:row>
    <x:row r="21">
      <x:c r="A21" s="206" t="str">
        <x:v>ENT-17</x:v>
      </x:c>
      <x:c r="B21" s="207" t="str">
        <x:v>Коллекция</x:v>
      </x:c>
      <x:c r="C21" s="207" t="str">
        <x:v>Есть частично</x:v>
      </x:c>
      <x:c r="D21" s="207" t="str">
        <x:v>12 коллекционных файлов</x:v>
      </x:c>
      <x:c r="E21" s="207" t="str">
        <x:v>PLM</x:v>
      </x:c>
      <x:c r="F21" s="207" t="str">
        <x:v>collection_id</x:v>
      </x:c>
      <x:c r="G21" s="207" t="str">
        <x:v>Продукт</x:v>
      </x:c>
      <x:c r="H21" s="208" t="str">
        <x:v>Нет единого справочника и версий</x:v>
      </x:c>
    </x:row>
    <x:row r="22">
      <x:c r="A22" s="206" t="str">
        <x:v>ENT-18</x:v>
      </x:c>
      <x:c r="B22" s="207" t="str">
        <x:v>Модель</x:v>
      </x:c>
      <x:c r="C22" s="207" t="str">
        <x:v>Есть частично</x:v>
      </x:c>
      <x:c r="D22" s="207" t="str">
        <x:v>Коды в коллекциях/планах/калькуляциях</x:v>
      </x:c>
      <x:c r="E22" s="207" t="str">
        <x:v>PLM/MDM</x:v>
      </x:c>
      <x:c r="F22" s="207" t="str">
        <x:v>model_id + version_id</x:v>
      </x:c>
      <x:c r="G22" s="207" t="str">
        <x:v>Продукт</x:v>
      </x:c>
      <x:c r="H22" s="208" t="str">
        <x:v>Разные форматы кодов; нет alias history</x:v>
      </x:c>
    </x:row>
    <x:row r="23">
      <x:c r="A23" s="206" t="str">
        <x:v>ENT-19</x:v>
      </x:c>
      <x:c r="B23" s="207" t="str">
        <x:v>SKU</x:v>
      </x:c>
      <x:c r="C23" s="207" t="str">
        <x:v>Есть частично</x:v>
      </x:c>
      <x:c r="D23" s="207" t="str">
        <x:v>234 preliminary SKU; 599 aliases</x:v>
      </x:c>
      <x:c r="E23" s="207" t="str">
        <x:v>MDM/ERP</x:v>
      </x:c>
      <x:c r="F23" s="207" t="str">
        <x:v>canonical_sku</x:v>
      </x:c>
      <x:c r="G23" s="207" t="str">
        <x:v>Продукт/коммерция</x:v>
      </x:c>
      <x:c r="H23" s="208" t="str">
        <x:v>124 mapping-кандидата требуют решения</x:v>
      </x:c>
    </x:row>
    <x:row r="24">
      <x:c r="A24" s="206" t="str">
        <x:v>ENT-20</x:v>
      </x:c>
      <x:c r="B24" s="207" t="str">
        <x:v>BOM</x:v>
      </x:c>
      <x:c r="C24" s="207" t="str">
        <x:v>Нет</x:v>
      </x:c>
      <x:c r="D24" s="207" t="str">
        <x:v>Разрозненные строки калькуляций</x:v>
      </x:c>
      <x:c r="E24" s="207" t="str">
        <x:v>PLM</x:v>
      </x:c>
      <x:c r="F24" s="207" t="str">
        <x:v>bom_id + bom_line_id</x:v>
      </x:c>
      <x:c r="G24" s="207" t="str">
        <x:v>Технолог</x:v>
      </x:c>
      <x:c r="H24" s="208" t="str">
        <x:v>Нет версий, норм и дат действия</x:v>
      </x:c>
    </x:row>
    <x:row r="25">
      <x:c r="A25" s="206" t="str">
        <x:v>ENT-21</x:v>
      </x:c>
      <x:c r="B25" s="207" t="str">
        <x:v>Производственный заказ</x:v>
      </x:c>
      <x:c r="C25" s="207" t="str">
        <x:v>Есть частично</x:v>
      </x:c>
      <x:c r="D25" s="207" t="str">
        <x:v>163 draft rows</x:v>
      </x:c>
      <x:c r="E25" s="207" t="str">
        <x:v>ERP/MES</x:v>
      </x:c>
      <x:c r="F25" s="207" t="str">
        <x:v>production_order_id</x:v>
      </x:c>
      <x:c r="G25" s="207" t="str">
        <x:v>Производство</x:v>
      </x:c>
      <x:c r="H25" s="208" t="str">
        <x:v>0 точных связей с SKU master; нет qty/status/WIP</x:v>
      </x:c>
    </x:row>
    <x:row r="26">
      <x:c r="A26" s="206" t="str">
        <x:v>ENT-22</x:v>
      </x:c>
      <x:c r="B26" s="207" t="str">
        <x:v>Производственная операция</x:v>
      </x:c>
      <x:c r="C26" s="207" t="str">
        <x:v>Есть частично</x:v>
      </x:c>
      <x:c r="D26" s="207" t="str">
        <x:v>475 текстовых задач</x:v>
      </x:c>
      <x:c r="E26" s="207" t="str">
        <x:v>MES</x:v>
      </x:c>
      <x:c r="F26" s="207" t="str">
        <x:v>operation_id</x:v>
      </x:c>
      <x:c r="G26" s="207" t="str">
        <x:v>Производство</x:v>
      </x:c>
      <x:c r="H26" s="208" t="str">
        <x:v>70 single-order candidates; фактические часы отсутствуют</x:v>
      </x:c>
    </x:row>
    <x:row r="27">
      <x:c r="A27" s="206" t="str">
        <x:v>ENT-23</x:v>
      </x:c>
      <x:c r="B27" s="207" t="str">
        <x:v>Версия себестоимости</x:v>
      </x:c>
      <x:c r="C27" s="207" t="str">
        <x:v>Есть частично</x:v>
      </x:c>
      <x:c r="D27" s="207" t="str">
        <x:v>82 однозначных; 21 множественных; 131 отсутствуют</x:v>
      </x:c>
      <x:c r="E27" s="207" t="str">
        <x:v>ERP/Cost ledger</x:v>
      </x:c>
      <x:c r="F27" s="207" t="str">
        <x:v>cost_version_id</x:v>
      </x:c>
      <x:c r="G27" s="207" t="str">
        <x:v>Финансы/производство</x:v>
      </x:c>
      <x:c r="H27" s="208" t="str">
        <x:v>Нет approval/effective date/production order</x:v>
      </x:c>
    </x:row>
    <x:row r="28">
      <x:c r="A28" s="206" t="str">
        <x:v>ENT-24</x:v>
      </x:c>
      <x:c r="B28" s="207" t="str">
        <x:v>Движение запасов</x:v>
      </x:c>
      <x:c r="C28" s="207" t="str">
        <x:v>Нет</x:v>
      </x:c>
      <x:c r="D28" s="207" t="str">
        <x:v>Нет единого регистра материалов и FG</x:v>
      </x:c>
      <x:c r="E28" s="207" t="str">
        <x:v>WMS/ERP</x:v>
      </x:c>
      <x:c r="F28" s="207" t="str">
        <x:v>inventory_movement_id</x:v>
      </x:c>
      <x:c r="G28" s="207" t="str">
        <x:v>Склад</x:v>
      </x:c>
      <x:c r="H28" s="208" t="str">
        <x:v>Нельзя доказать остатки, COGS, aging и неликвид</x:v>
      </x:c>
    </x:row>
    <x:row r="29">
      <x:c r="A29" s="206" t="str">
        <x:v>ENT-25</x:v>
      </x:c>
      <x:c r="B29" s="207" t="str">
        <x:v>Строка продажи</x:v>
      </x:c>
      <x:c r="C29" s="207" t="str">
        <x:v>Есть частично</x:v>
      </x:c>
      <x:c r="D29" s="207" t="str">
        <x:v>ЦУМ/B2B агрегаты; SALES cash channels</x:v>
      </x:c>
      <x:c r="E29" s="207" t="str">
        <x:v>CRM/POS/ERP</x:v>
      </x:c>
      <x:c r="F29" s="207" t="str">
        <x:v>sales_line_id</x:v>
      </x:c>
      <x:c r="G29" s="207" t="str">
        <x:v>Коммерция</x:v>
      </x:c>
      <x:c r="H29" s="208" t="str">
        <x:v>Нет детальных Salon/Shop/online и dates/returns/discounts</x:v>
      </x:c>
    </x:row>
    <x:row r="30">
      <x:c r="A30" s="206" t="str">
        <x:v>ENT-26</x:v>
      </x:c>
      <x:c r="B30" s="207" t="str">
        <x:v>Settlement/взаиморасчёт</x:v>
      </x:c>
      <x:c r="C30" s="207" t="str">
        <x:v>Нет</x:v>
      </x:c>
      <x:c r="D30" s="207" t="str">
        <x:v>Агрегатные выплаты и реализации</x:v>
      </x:c>
      <x:c r="E30" s="207" t="str">
        <x:v>ERP/AR</x:v>
      </x:c>
      <x:c r="F30" s="207" t="str">
        <x:v>settlement_id</x:v>
      </x:c>
      <x:c r="G30" s="207" t="str">
        <x:v>Финансы/коммерция</x:v>
      </x:c>
      <x:c r="H30" s="208" t="str">
        <x:v>Нет gross/returns/commission/net_due и связи с payment</x:v>
      </x:c>
    </x:row>
    <x:row r="31">
      <x:c r="A31" s="206" t="str">
        <x:v>ENT-27</x:v>
      </x:c>
      <x:c r="B31" s="207" t="str">
        <x:v>Дебиторская/кредиторская задолженность</x:v>
      </x:c>
      <x:c r="C31" s="207" t="str">
        <x:v>Нет</x:v>
      </x:c>
      <x:c r="D31" s="207" t="str">
        <x:v>Отсутствует</x:v>
      </x:c>
      <x:c r="E31" s="207" t="str">
        <x:v>ERP/GL</x:v>
      </x:c>
      <x:c r="F31" s="207" t="str">
        <x:v>ar_ap_item_id</x:v>
      </x:c>
      <x:c r="G31" s="207" t="str">
        <x:v>Финансы</x:v>
      </x:c>
      <x:c r="H31" s="208" t="str">
        <x:v>Нельзя построить Balance, CCC и overdue</x:v>
      </x:c>
    </x:row>
    <x:row r="32">
      <x:c r="A32" s="206" t="str">
        <x:v>ENT-28</x:v>
      </x:c>
      <x:c r="B32" s="207" t="str">
        <x:v>Управленческий P&amp;L/Balance</x:v>
      </x:c>
      <x:c r="C32" s="207" t="str">
        <x:v>Нет/не подтверждено</x:v>
      </x:c>
      <x:c r="D32" s="207" t="str">
        <x:v>Есть cash model, но не accrual close</x:v>
      </x:c>
      <x:c r="E32" s="207" t="str">
        <x:v>ERP/GL/EPM</x:v>
      </x:c>
      <x:c r="F32" s="207" t="str">
        <x:v>close_period_id</x:v>
      </x:c>
      <x:c r="G32" s="207" t="str">
        <x:v>Финансы</x:v>
      </x:c>
      <x:c r="H32" s="208" t="str">
        <x:v>Cash result нельзя называть прибылью</x:v>
      </x:c>
    </x:row>
    <x:row r="33">
      <x:c r="A33" s="206" t="str">
        <x:v>ENT-29</x:v>
      </x:c>
      <x:c r="B33" s="207" t="str">
        <x:v>Договор/approval</x:v>
      </x:c>
      <x:c r="C33" s="207" t="str">
        <x:v>Есть частично</x:v>
      </x:c>
      <x:c r="D33" s="207" t="str">
        <x:v>NDA, положения, отдельные документы</x:v>
      </x:c>
      <x:c r="E33" s="207" t="str">
        <x:v>DMS/GRC</x:v>
      </x:c>
      <x:c r="F33" s="207" t="str">
        <x:v>contract_id + approval_id</x:v>
      </x:c>
      <x:c r="G33" s="207" t="str">
        <x:v>Юристы/руководство</x:v>
      </x:c>
      <x:c r="H33" s="208" t="str">
        <x:v>Нет полного договорного реестра и лимитов полномочий</x:v>
      </x:c>
    </x:row>
    <x:row r="34">
      <x:c r="A34" s="209" t="str">
        <x:v>ENT-30</x:v>
      </x:c>
      <x:c r="B34" s="210" t="str">
        <x:v>Lineage/версия источника</x:v>
      </x:c>
      <x:c r="C34" s="210" t="str">
        <x:v>Есть частично</x:v>
      </x:c>
      <x:c r="D34" s="210" t="str">
        <x:v>Stage 1/7/17 technical register</x:v>
      </x:c>
      <x:c r="E34" s="210" t="str">
        <x:v>Data catalog</x:v>
      </x:c>
      <x:c r="F34" s="210" t="str">
        <x:v>source_file_id + source_row_id + version_id</x:v>
      </x:c>
      <x:c r="G34" s="210" t="str">
        <x:v>Data steward</x:v>
      </x:c>
      <x:c r="H34" s="211" t="str">
        <x:v>Не встроено в операционный процесс</x:v>
      </x:c>
    </x:row>
  </x:sheetData>
  <x:mergeCells>
    <x:mergeCell ref="A1:H1"/>
    <x:mergeCell ref="A2:H2"/>
  </x:mergeCells>
  <x:conditionalFormatting sqref="C5:C34">
    <x:cfRule type="expression" dxfId="5" priority="1">
      <x:formula>ISNUMBER(SEARCH("Подтверж",C5))</x:formula>
    </x:cfRule>
    <x:cfRule type="expression" dxfId="6" priority="2">
      <x:formula>OR(ISNUMBER(SEARCH("Част",C5)),ISNUMBER(SEARCH("оговор",C5)),ISNUMBER(SEARCH("агрегат",C5)))</x:formula>
    </x:cfRule>
    <x:cfRule type="expression" dxfId="7" priority="3">
      <x:formula>OR(ISNUMBER(SEARCH("Отсутств",C5)),ISNUMBER(SEARCH("Невозмож",C5)),ISNUMBER(SEARCH("Заблок",C5)))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24" hidden="0" customWidth="1"/>
    <x:col min="6" max="6" width="14" hidden="0" customWidth="1"/>
    <x:col min="7" max="7" width="30" hidden="0" customWidth="1"/>
    <x:col min="8" max="8" width="22" hidden="0" customWidth="1"/>
    <x:col min="9" max="9" width="20" hidden="0" customWidth="1"/>
    <x:col min="10" max="10" width="42" hidden="0" customWidth="1"/>
    <x:col min="11" max="11" width="36" hidden="0" customWidth="1"/>
    <x:col min="12" max="12" width="36" hidden="0" customWidth="1"/>
    <x:col min="13" max="13" width="30" hidden="0" customWidth="1"/>
    <x:col min="14" max="14" width="22" hidden="0" customWidth="1"/>
    <x:col min="15" max="15" width="28" hidden="0" customWidth="1"/>
  </x:cols>
  <x:sheetData>
    <x:row r="1" ht="28" customHeight="1">
      <x:c r="A1" s="5" t="str">
        <x:v>ВСЕ СВЯЗИ МЕЖДУ ФАЙЛАМИ И РЕГИСТРАМИ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2" customHeight="1">
      <x:c r="A2" s="14" t="str">
        <x:v>Интегрированный lineage финансов, налогов, ФОТ, продукта, производства и продаж. Каждая связь содержит current join, доказательство, missing key и target join.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4" ht="28" customHeight="1">
      <x:c r="A4" s="169" t="str">
        <x:v>edge_id</x:v>
      </x:c>
      <x:c r="B4" s="170" t="str">
        <x:v>domain</x:v>
      </x:c>
      <x:c r="C4" s="170" t="str">
        <x:v>from_file</x:v>
      </x:c>
      <x:c r="D4" s="170" t="str">
        <x:v>to_file</x:v>
      </x:c>
      <x:c r="E4" s="170" t="str">
        <x:v>relation</x:v>
      </x:c>
      <x:c r="F4" s="170" t="str">
        <x:v>period</x:v>
      </x:c>
      <x:c r="G4" s="170" t="str">
        <x:v>current_join</x:v>
      </x:c>
      <x:c r="H4" s="170" t="str">
        <x:v>current_status</x:v>
      </x:c>
      <x:c r="I4" s="170" t="str">
        <x:v>status_class</x:v>
      </x:c>
      <x:c r="J4" s="170" t="str">
        <x:v>evidence</x:v>
      </x:c>
      <x:c r="K4" s="170" t="str">
        <x:v>missing_key_or_control</x:v>
      </x:c>
      <x:c r="L4" s="170" t="str">
        <x:v>target_join</x:v>
      </x:c>
      <x:c r="M4" s="170" t="str">
        <x:v>analysis_enabled</x:v>
      </x:c>
      <x:c r="N4" s="170" t="str">
        <x:v>owner</x:v>
      </x:c>
      <x:c r="O4" s="171" t="str">
        <x:v>false_join_risk</x:v>
      </x:c>
    </x:row>
    <x:row r="5">
      <x:c r="A5" s="203" t="str">
        <x:v>TAX-EDGE-001</x:v>
      </x:c>
      <x:c r="B5" s="204" t="str">
        <x:v>Налоги/ФОТ</x:v>
      </x:c>
      <x:c r="C5" s="204" t="str">
        <x:v>6-НДФЛ (с 2021 года) за 2024 г. (Янина Ю. Ф. ИП).pdf</x:v>
      </x:c>
      <x:c r="D5" s="204" t="str">
        <x:v>Расчет по страховым взносам за 2024 г. (Янина Ю. Ф. ИП).pdf</x:v>
      </x:c>
      <x:c r="E5" s="204" t="str">
        <x:v>Cross-form: доход ↔ вознаграждение</x:v>
      </x:c>
      <x:c r="F5" s="204" t="str">
        <x:v>2024</x:v>
      </x:c>
      <x:c r="G5" s="204" t="str">
        <x:v>entity + year + total amount</x:v>
      </x:c>
      <x:c r="H5" s="204" t="str">
        <x:v>Подтверждено</x:v>
      </x:c>
      <x:c r="I5" s="204" t="str">
        <x:v>Подтверждено</x:v>
      </x:c>
      <x:c r="J5" s="204" t="str">
        <x:v>Разница 0.00 руб.</x:v>
      </x:c>
      <x:c r="K5" s="204" t="str">
        <x:v>employee_id / accrual_period для первичного уровня</x:v>
      </x:c>
      <x:c r="L5" s="204" t="str">
        <x:v>employer_id + employee_id + accrual_period</x:v>
      </x:c>
      <x:c r="M5" s="204" t="str">
        <x:v>Годовая согласованность форм</x:v>
      </x:c>
      <x:c r="N5" s="204" t="str">
        <x:v>Бухгалтерия</x:v>
      </x:c>
      <x:c r="O5" s="205" t="str">
        <x:v>Высокий без obligation/ENS ID</x:v>
      </x:c>
    </x:row>
    <x:row r="6">
      <x:c r="A6" s="206" t="str">
        <x:v>TAX-EDGE-002</x:v>
      </x:c>
      <x:c r="B6" s="207" t="str">
        <x:v>Налоги/ФОТ</x:v>
      </x:c>
      <x:c r="C6" s="207" t="str">
        <x:v>6-НДФЛ (с 2021 года) за 2024 г. (ДЕКОР ООО).pdf</x:v>
      </x:c>
      <x:c r="D6" s="207" t="str">
        <x:v>Расчет по страховым взносам за 2024 г. (ДЕКОР ООО).pdf</x:v>
      </x:c>
      <x:c r="E6" s="207" t="str">
        <x:v>Cross-form: доход ↔ вознаграждение</x:v>
      </x:c>
      <x:c r="F6" s="207" t="str">
        <x:v>2024</x:v>
      </x:c>
      <x:c r="G6" s="207" t="str">
        <x:v>entity + year + total amount</x:v>
      </x:c>
      <x:c r="H6" s="207" t="str">
        <x:v>Подтверждено</x:v>
      </x:c>
      <x:c r="I6" s="207" t="str">
        <x:v>Подтверждено</x:v>
      </x:c>
      <x:c r="J6" s="207" t="str">
        <x:v>Разница 0.00 руб.</x:v>
      </x:c>
      <x:c r="K6" s="207" t="str">
        <x:v>employee_id / accrual_period для первичного уровня</x:v>
      </x:c>
      <x:c r="L6" s="207" t="str">
        <x:v>employer_id + employee_id + accrual_period</x:v>
      </x:c>
      <x:c r="M6" s="207" t="str">
        <x:v>Годовая согласованность форм</x:v>
      </x:c>
      <x:c r="N6" s="207" t="str">
        <x:v>Бухгалтерия</x:v>
      </x:c>
      <x:c r="O6" s="208" t="str">
        <x:v>Высокий без obligation/ENS ID</x:v>
      </x:c>
    </x:row>
    <x:row r="7">
      <x:c r="A7" s="206" t="str">
        <x:v>TAX-EDGE-003</x:v>
      </x:c>
      <x:c r="B7" s="207" t="str">
        <x:v>Налоги/ФОТ</x:v>
      </x:c>
      <x:c r="C7" s="207" t="str">
        <x:v>6-НДФЛ (с 2021 года) за 2025 г. (Янина Ю. Ф. ИП).pdf</x:v>
      </x:c>
      <x:c r="D7" s="207" t="str">
        <x:v>Расчет по страховым взносам за 2025 г. (Янина Ю. Ф. ИП).pdf</x:v>
      </x:c>
      <x:c r="E7" s="207" t="str">
        <x:v>Cross-form: доход ↔ вознаграждение</x:v>
      </x:c>
      <x:c r="F7" s="207" t="str">
        <x:v>2025</x:v>
      </x:c>
      <x:c r="G7" s="207" t="str">
        <x:v>entity + year + total amount</x:v>
      </x:c>
      <x:c r="H7" s="207" t="str">
        <x:v>Подтверждено</x:v>
      </x:c>
      <x:c r="I7" s="207" t="str">
        <x:v>Подтверждено</x:v>
      </x:c>
      <x:c r="J7" s="207" t="str">
        <x:v>Разница 0.00 руб.</x:v>
      </x:c>
      <x:c r="K7" s="207" t="str">
        <x:v>employee_id / accrual_period для первичного уровня</x:v>
      </x:c>
      <x:c r="L7" s="207" t="str">
        <x:v>employer_id + employee_id + accrual_period</x:v>
      </x:c>
      <x:c r="M7" s="207" t="str">
        <x:v>Годовая согласованность форм</x:v>
      </x:c>
      <x:c r="N7" s="207" t="str">
        <x:v>Бухгалтерия</x:v>
      </x:c>
      <x:c r="O7" s="208" t="str">
        <x:v>Высокий без obligation/ENS ID</x:v>
      </x:c>
    </x:row>
    <x:row r="8">
      <x:c r="A8" s="206" t="str">
        <x:v>TAX-EDGE-004</x:v>
      </x:c>
      <x:c r="B8" s="207" t="str">
        <x:v>Налоги/ФОТ</x:v>
      </x:c>
      <x:c r="C8" s="207" t="str">
        <x:v>6-НДФЛ (с 2021 года) за 2025 г. (ДЕКОР ООО).pdf</x:v>
      </x:c>
      <x:c r="D8" s="207" t="str">
        <x:v>Расчет по страховым взносам за 2025 г. (ДЕКОР ООО).pdf</x:v>
      </x:c>
      <x:c r="E8" s="207" t="str">
        <x:v>Cross-form: доход ↔ вознаграждение</x:v>
      </x:c>
      <x:c r="F8" s="207" t="str">
        <x:v>2025</x:v>
      </x:c>
      <x:c r="G8" s="207" t="str">
        <x:v>entity + year + total amount</x:v>
      </x:c>
      <x:c r="H8" s="207" t="str">
        <x:v>Подтверждено</x:v>
      </x:c>
      <x:c r="I8" s="207" t="str">
        <x:v>Подтверждено</x:v>
      </x:c>
      <x:c r="J8" s="207" t="str">
        <x:v>Разница 0.00 руб.</x:v>
      </x:c>
      <x:c r="K8" s="207" t="str">
        <x:v>employee_id / accrual_period для первичного уровня</x:v>
      </x:c>
      <x:c r="L8" s="207" t="str">
        <x:v>employer_id + employee_id + accrual_period</x:v>
      </x:c>
      <x:c r="M8" s="207" t="str">
        <x:v>Годовая согласованность форм</x:v>
      </x:c>
      <x:c r="N8" s="207" t="str">
        <x:v>Бухгалтерия</x:v>
      </x:c>
      <x:c r="O8" s="208" t="str">
        <x:v>Высокий без obligation/ENS ID</x:v>
      </x:c>
    </x:row>
    <x:row r="9">
      <x:c r="A9" s="206" t="str">
        <x:v>TAX-EDGE-005</x:v>
      </x:c>
      <x:c r="B9" s="207" t="str">
        <x:v>Налоги/ФОТ</x:v>
      </x:c>
      <x:c r="C9" s="207" t="str">
        <x:v>6-НДФЛ (с 2021 года) за 2024 г. (Янина Ю. Ф. ИП).pdf</x:v>
      </x:c>
      <x:c r="D9" s="207" t="str">
        <x:v>VTB_BankStatement_40802810500000006196_01.01.2024-22.06.2026_417014.pdf</x:v>
      </x:c>
      <x:c r="E9" s="207" t="str">
        <x:v>НДФЛ obligation ↔ cash payment</x:v>
      </x:c>
      <x:c r="F9" s="207" t="str">
        <x:v>2024</x:v>
      </x:c>
      <x:c r="G9" s="207" t="str">
        <x:v>entity + year + purpose text</x:v>
      </x:c>
      <x:c r="H9" s="207" t="str">
        <x:v>Частично</x:v>
      </x:c>
      <x:c r="I9" s="207" t="str">
        <x:v>Частично</x:v>
      </x:c>
      <x:c r="J9" s="207" t="str">
        <x:v>НДФЛ по форме 1426958.00 руб.; платежи классифицированы по назначению</x:v>
      </x:c>
      <x:c r="K9" s="207" t="str">
        <x:v>ens_allocation_id и due_date</x:v>
      </x:c>
      <x:c r="L9" s="207" t="str">
        <x:v>obligation_id → ens_allocation_id → bank_payment_id</x:v>
      </x:c>
      <x:c r="M9" s="207" t="str">
        <x:v>Погашение НДФЛ по периодам — не доказано</x:v>
      </x:c>
      <x:c r="N9" s="207" t="str">
        <x:v>Бухгалтерия/Финансы</x:v>
      </x:c>
      <x:c r="O9" s="208" t="str">
        <x:v>Высокий без obligation/ENS ID</x:v>
      </x:c>
    </x:row>
    <x:row r="10">
      <x:c r="A10" s="206" t="str">
        <x:v>TAX-EDGE-006</x:v>
      </x:c>
      <x:c r="B10" s="207" t="str">
        <x:v>Налоги/ФОТ</x:v>
      </x:c>
      <x:c r="C10" s="207" t="str">
        <x:v>Расчет по страховым взносам за 2024 г. (Янина Ю. Ф. ИП).pdf</x:v>
      </x:c>
      <x:c r="D10" s="207" t="str">
        <x:v>VTB_BankStatement_40802810500000006196_01.01.2024-22.06.2026_417014.pdf</x:v>
      </x:c>
      <x:c r="E10" s="207" t="str">
        <x:v>РСВ obligation ↔ cash payment</x:v>
      </x:c>
      <x:c r="F10" s="207" t="str">
        <x:v>2024</x:v>
      </x:c>
      <x:c r="G10" s="207" t="str">
        <x:v>entity + year + purpose text</x:v>
      </x:c>
      <x:c r="H10" s="207" t="str">
        <x:v>Частично</x:v>
      </x:c>
      <x:c r="I10" s="207" t="str">
        <x:v>Частично</x:v>
      </x:c>
      <x:c r="J10" s="207" t="str">
        <x:v>РСВ по форме 3324230.37 руб.; monthly hints доступны только за последние 3 месяца</x:v>
      </x:c>
      <x:c r="K10" s="207" t="str">
        <x:v>ens_allocation_id и полный monthly obligation register</x:v>
      </x:c>
      <x:c r="L10" s="207" t="str">
        <x:v>obligation_id → ens_allocation_id → bank_payment_id</x:v>
      </x:c>
      <x:c r="M10" s="207" t="str">
        <x:v>Погашение взносов по периодам — не доказано</x:v>
      </x:c>
      <x:c r="N10" s="207" t="str">
        <x:v>Бухгалтерия/Финансы</x:v>
      </x:c>
      <x:c r="O10" s="208" t="str">
        <x:v>Высокий без obligation/ENS ID</x:v>
      </x:c>
    </x:row>
    <x:row r="11">
      <x:c r="A11" s="206" t="str">
        <x:v>TAX-EDGE-007</x:v>
      </x:c>
      <x:c r="B11" s="207" t="str">
        <x:v>Налоги/ФОТ</x:v>
      </x:c>
      <x:c r="C11" s="207" t="str">
        <x:v>6-НДФЛ (с 2021 года) за 2024 г. (ДЕКОР ООО).pdf</x:v>
      </x:c>
      <x:c r="D11" s="207" t="str">
        <x:v>VTB_BankStatement_40702810804000008482_01.01.2024-22.06.2026_376277.pdf</x:v>
      </x:c>
      <x:c r="E11" s="207" t="str">
        <x:v>НДФЛ obligation ↔ cash payment</x:v>
      </x:c>
      <x:c r="F11" s="207" t="str">
        <x:v>2024</x:v>
      </x:c>
      <x:c r="G11" s="207" t="str">
        <x:v>entity + year + purpose text</x:v>
      </x:c>
      <x:c r="H11" s="207" t="str">
        <x:v>Частично</x:v>
      </x:c>
      <x:c r="I11" s="207" t="str">
        <x:v>Частично</x:v>
      </x:c>
      <x:c r="J11" s="207" t="str">
        <x:v>НДФЛ по форме 1445469.00 руб.; платежи классифицированы по назначению</x:v>
      </x:c>
      <x:c r="K11" s="207" t="str">
        <x:v>ens_allocation_id и due_date</x:v>
      </x:c>
      <x:c r="L11" s="207" t="str">
        <x:v>obligation_id → ens_allocation_id → bank_payment_id</x:v>
      </x:c>
      <x:c r="M11" s="207" t="str">
        <x:v>Погашение НДФЛ по периодам — не доказано</x:v>
      </x:c>
      <x:c r="N11" s="207" t="str">
        <x:v>Бухгалтерия/Финансы</x:v>
      </x:c>
      <x:c r="O11" s="208" t="str">
        <x:v>Высокий без obligation/ENS ID</x:v>
      </x:c>
    </x:row>
    <x:row r="12">
      <x:c r="A12" s="206" t="str">
        <x:v>TAX-EDGE-008</x:v>
      </x:c>
      <x:c r="B12" s="207" t="str">
        <x:v>Налоги/ФОТ</x:v>
      </x:c>
      <x:c r="C12" s="207" t="str">
        <x:v>Расчет по страховым взносам за 2024 г. (ДЕКОР ООО).pdf</x:v>
      </x:c>
      <x:c r="D12" s="207" t="str">
        <x:v>VTB_BankStatement_40702810804000008482_01.01.2024-22.06.2026_376277.pdf</x:v>
      </x:c>
      <x:c r="E12" s="207" t="str">
        <x:v>РСВ obligation ↔ cash payment</x:v>
      </x:c>
      <x:c r="F12" s="207" t="str">
        <x:v>2024</x:v>
      </x:c>
      <x:c r="G12" s="207" t="str">
        <x:v>entity + year + purpose text</x:v>
      </x:c>
      <x:c r="H12" s="207" t="str">
        <x:v>Частично</x:v>
      </x:c>
      <x:c r="I12" s="207" t="str">
        <x:v>Частично</x:v>
      </x:c>
      <x:c r="J12" s="207" t="str">
        <x:v>РСВ по форме 2501487.16 руб.; monthly hints доступны только за последние 3 месяца</x:v>
      </x:c>
      <x:c r="K12" s="207" t="str">
        <x:v>ens_allocation_id и полный monthly obligation register</x:v>
      </x:c>
      <x:c r="L12" s="207" t="str">
        <x:v>obligation_id → ens_allocation_id → bank_payment_id</x:v>
      </x:c>
      <x:c r="M12" s="207" t="str">
        <x:v>Погашение взносов по периодам — не доказано</x:v>
      </x:c>
      <x:c r="N12" s="207" t="str">
        <x:v>Бухгалтерия/Финансы</x:v>
      </x:c>
      <x:c r="O12" s="208" t="str">
        <x:v>Высокий без obligation/ENS ID</x:v>
      </x:c>
    </x:row>
    <x:row r="13">
      <x:c r="A13" s="206" t="str">
        <x:v>TAX-EDGE-009</x:v>
      </x:c>
      <x:c r="B13" s="207" t="str">
        <x:v>Налоги/ФОТ</x:v>
      </x:c>
      <x:c r="C13" s="207" t="str">
        <x:v>6-НДФЛ (с 2021 года) за 2025 г. (Янина Ю. Ф. ИП).pdf</x:v>
      </x:c>
      <x:c r="D13" s="207" t="str">
        <x:v>VTB_BankStatement_40802810500000006196_01.01.2024-22.06.2026_417014.pdf</x:v>
      </x:c>
      <x:c r="E13" s="207" t="str">
        <x:v>НДФЛ obligation ↔ cash payment</x:v>
      </x:c>
      <x:c r="F13" s="207" t="str">
        <x:v>2025</x:v>
      </x:c>
      <x:c r="G13" s="207" t="str">
        <x:v>entity + year + purpose text</x:v>
      </x:c>
      <x:c r="H13" s="207" t="str">
        <x:v>Частично</x:v>
      </x:c>
      <x:c r="I13" s="207" t="str">
        <x:v>Частично</x:v>
      </x:c>
      <x:c r="J13" s="207" t="str">
        <x:v>НДФЛ по форме 2202651.00 руб.; платежи классифицированы по назначению</x:v>
      </x:c>
      <x:c r="K13" s="207" t="str">
        <x:v>ens_allocation_id и due_date</x:v>
      </x:c>
      <x:c r="L13" s="207" t="str">
        <x:v>obligation_id → ens_allocation_id → bank_payment_id</x:v>
      </x:c>
      <x:c r="M13" s="207" t="str">
        <x:v>Погашение НДФЛ по периодам — не доказано</x:v>
      </x:c>
      <x:c r="N13" s="207" t="str">
        <x:v>Бухгалтерия/Финансы</x:v>
      </x:c>
      <x:c r="O13" s="208" t="str">
        <x:v>Высокий без obligation/ENS ID</x:v>
      </x:c>
    </x:row>
    <x:row r="14">
      <x:c r="A14" s="206" t="str">
        <x:v>TAX-EDGE-010</x:v>
      </x:c>
      <x:c r="B14" s="207" t="str">
        <x:v>Налоги/ФОТ</x:v>
      </x:c>
      <x:c r="C14" s="207" t="str">
        <x:v>Расчет по страховым взносам за 2025 г. (Янина Ю. Ф. ИП).pdf</x:v>
      </x:c>
      <x:c r="D14" s="207" t="str">
        <x:v>VTB_BankStatement_40802810500000006196_01.01.2024-22.06.2026_417014.pdf</x:v>
      </x:c>
      <x:c r="E14" s="207" t="str">
        <x:v>РСВ obligation ↔ cash payment</x:v>
      </x:c>
      <x:c r="F14" s="207" t="str">
        <x:v>2025</x:v>
      </x:c>
      <x:c r="G14" s="207" t="str">
        <x:v>entity + year + purpose text</x:v>
      </x:c>
      <x:c r="H14" s="207" t="str">
        <x:v>Частично</x:v>
      </x:c>
      <x:c r="I14" s="207" t="str">
        <x:v>Частично</x:v>
      </x:c>
      <x:c r="J14" s="207" t="str">
        <x:v>РСВ по форме 3356719.93 руб.; monthly hints доступны только за последние 3 месяца</x:v>
      </x:c>
      <x:c r="K14" s="207" t="str">
        <x:v>ens_allocation_id и полный monthly obligation register</x:v>
      </x:c>
      <x:c r="L14" s="207" t="str">
        <x:v>obligation_id → ens_allocation_id → bank_payment_id</x:v>
      </x:c>
      <x:c r="M14" s="207" t="str">
        <x:v>Погашение взносов по периодам — не доказано</x:v>
      </x:c>
      <x:c r="N14" s="207" t="str">
        <x:v>Бухгалтерия/Финансы</x:v>
      </x:c>
      <x:c r="O14" s="208" t="str">
        <x:v>Высокий без obligation/ENS ID</x:v>
      </x:c>
    </x:row>
    <x:row r="15">
      <x:c r="A15" s="206" t="str">
        <x:v>TAX-EDGE-011</x:v>
      </x:c>
      <x:c r="B15" s="207" t="str">
        <x:v>Налоги/ФОТ</x:v>
      </x:c>
      <x:c r="C15" s="207" t="str">
        <x:v>6-НДФЛ (с 2021 года) за 2025 г. (ДЕКОР ООО).pdf</x:v>
      </x:c>
      <x:c r="D15" s="207" t="str">
        <x:v>VTB_BankStatement_40702810804000008482_01.01.2024-22.06.2026_376277.pdf</x:v>
      </x:c>
      <x:c r="E15" s="207" t="str">
        <x:v>НДФЛ obligation ↔ cash payment</x:v>
      </x:c>
      <x:c r="F15" s="207" t="str">
        <x:v>2025</x:v>
      </x:c>
      <x:c r="G15" s="207" t="str">
        <x:v>entity + year + purpose text</x:v>
      </x:c>
      <x:c r="H15" s="207" t="str">
        <x:v>Частично</x:v>
      </x:c>
      <x:c r="I15" s="207" t="str">
        <x:v>Частично</x:v>
      </x:c>
      <x:c r="J15" s="207" t="str">
        <x:v>НДФЛ по форме 1863059.00 руб.; платежи классифицированы по назначению</x:v>
      </x:c>
      <x:c r="K15" s="207" t="str">
        <x:v>ens_allocation_id и due_date</x:v>
      </x:c>
      <x:c r="L15" s="207" t="str">
        <x:v>obligation_id → ens_allocation_id → bank_payment_id</x:v>
      </x:c>
      <x:c r="M15" s="207" t="str">
        <x:v>Погашение НДФЛ по периодам — не доказано</x:v>
      </x:c>
      <x:c r="N15" s="207" t="str">
        <x:v>Бухгалтерия/Финансы</x:v>
      </x:c>
      <x:c r="O15" s="208" t="str">
        <x:v>Высокий без obligation/ENS ID</x:v>
      </x:c>
    </x:row>
    <x:row r="16">
      <x:c r="A16" s="206" t="str">
        <x:v>TAX-EDGE-012</x:v>
      </x:c>
      <x:c r="B16" s="207" t="str">
        <x:v>Налоги/ФОТ</x:v>
      </x:c>
      <x:c r="C16" s="207" t="str">
        <x:v>Расчет по страховым взносам за 2025 г. (ДЕКОР ООО).pdf</x:v>
      </x:c>
      <x:c r="D16" s="207" t="str">
        <x:v>VTB_BankStatement_40702810804000008482_01.01.2024-22.06.2026_376277.pdf</x:v>
      </x:c>
      <x:c r="E16" s="207" t="str">
        <x:v>РСВ obligation ↔ cash payment</x:v>
      </x:c>
      <x:c r="F16" s="207" t="str">
        <x:v>2025</x:v>
      </x:c>
      <x:c r="G16" s="207" t="str">
        <x:v>entity + year + purpose text</x:v>
      </x:c>
      <x:c r="H16" s="207" t="str">
        <x:v>Частично</x:v>
      </x:c>
      <x:c r="I16" s="207" t="str">
        <x:v>Частично</x:v>
      </x:c>
      <x:c r="J16" s="207" t="str">
        <x:v>РСВ по форме 2789470.66 руб.; monthly hints доступны только за последние 3 месяца</x:v>
      </x:c>
      <x:c r="K16" s="207" t="str">
        <x:v>ens_allocation_id и полный monthly obligation register</x:v>
      </x:c>
      <x:c r="L16" s="207" t="str">
        <x:v>obligation_id → ens_allocation_id → bank_payment_id</x:v>
      </x:c>
      <x:c r="M16" s="207" t="str">
        <x:v>Погашение взносов по периодам — не доказано</x:v>
      </x:c>
      <x:c r="N16" s="207" t="str">
        <x:v>Бухгалтерия/Финансы</x:v>
      </x:c>
      <x:c r="O16" s="208" t="str">
        <x:v>Высокий без obligation/ENS ID</x:v>
      </x:c>
    </x:row>
    <x:row r="17">
      <x:c r="A17" s="206" t="str">
        <x:v>TAX-EDGE-013</x:v>
      </x:c>
      <x:c r="B17" s="207" t="str">
        <x:v>Налоги/ФОТ</x:v>
      </x:c>
      <x:c r="C17" s="207" t="str">
        <x:v>ЗП за апрель 2025.xlsx</x:v>
      </x:c>
      <x:c r="D17" s="207" t="str">
        <x:v>ДДС 2025.xlsx</x:v>
      </x:c>
      <x:c r="E17" s="207" t="str">
        <x:v>Payroll calculation ↔ ДДС payroll cash</x:v>
      </x:c>
      <x:c r="F17" s="207" t="str">
        <x:v>2025-04</x:v>
      </x:c>
      <x:c r="G17" s="207" t="str">
        <x:v>month + displayed control total</x:v>
      </x:c>
      <x:c r="H17" s="207" t="str">
        <x:v>Подтверждено</x:v>
      </x:c>
      <x:c r="I17" s="207" t="str">
        <x:v>Подтверждено</x:v>
      </x:c>
      <x:c r="J17" s="207" t="str">
        <x:v>Сверка восстановлена до нулевой агрегатной разницы</x:v>
      </x:c>
      <x:c r="K17" s="207" t="str">
        <x:v>payroll_batch_id / payment_type</x:v>
      </x:c>
      <x:c r="L17" s="207" t="str">
        <x:v>payroll_batch_id + payment_date + employer_id</x:v>
      </x:c>
      <x:c r="M17" s="207" t="str">
        <x:v>Ежемесячная выплата ФОТ</x:v>
      </x:c>
      <x:c r="N17" s="207" t="str">
        <x:v>HR/Финансы</x:v>
      </x:c>
      <x:c r="O17" s="208" t="str">
        <x:v>Высокий без obligation/ENS ID</x:v>
      </x:c>
    </x:row>
    <x:row r="18">
      <x:c r="A18" s="206" t="str">
        <x:v>TAX-EDGE-014</x:v>
      </x:c>
      <x:c r="B18" s="207" t="str">
        <x:v>Налоги/ФОТ</x:v>
      </x:c>
      <x:c r="C18" s="207" t="str">
        <x:v>ЗП за апрель 2025.xlsx</x:v>
      </x:c>
      <x:c r="D18" s="207" t="str">
        <x:v>VTB_BankStatement_40802810500000006196_01.01.2024-22.06.2026_417014.pdf</x:v>
      </x:c>
      <x:c r="E18" s="207" t="str">
        <x:v>Payroll rows ↔ bank registry</x:v>
      </x:c>
      <x:c r="F18" s="207" t="str">
        <x:v>2025-04</x:v>
      </x:c>
      <x:c r="G18" s="207" t="str">
        <x:v>date + amount + account</x:v>
      </x:c>
      <x:c r="H18" s="207" t="str">
        <x:v>Подтверждено</x:v>
      </x:c>
      <x:c r="I18" s="207" t="str">
        <x:v>Подтверждено</x:v>
      </x:c>
      <x:c r="J18" s="207" t="str">
        <x:v>Сверка восстановлена до нулевой агрегатной разницы</x:v>
      </x:c>
      <x:c r="K18" s="207" t="str">
        <x:v>employee_id / payroll_batch_id</x:v>
      </x:c>
      <x:c r="L18" s="207" t="str">
        <x:v>employee_id + payroll_batch_id + bank_payment_id</x:v>
      </x:c>
      <x:c r="M18" s="207" t="str">
        <x:v>Employee-level выплата ФОТ</x:v>
      </x:c>
      <x:c r="N18" s="207" t="str">
        <x:v>HR/Финансы</x:v>
      </x:c>
      <x:c r="O18" s="208" t="str">
        <x:v>Высокий без obligation/ENS ID</x:v>
      </x:c>
    </x:row>
    <x:row r="19">
      <x:c r="A19" s="206" t="str">
        <x:v>TAX-EDGE-015</x:v>
      </x:c>
      <x:c r="B19" s="207" t="str">
        <x:v>Налоги/ФОТ</x:v>
      </x:c>
      <x:c r="C19" s="207" t="str">
        <x:v>ЗП за апрель 2025.xlsx</x:v>
      </x:c>
      <x:c r="D19" s="207" t="str">
        <x:v>VTB_BankStatement_40702810804000008482_01.01.2024-22.06.2026_376277.pdf</x:v>
      </x:c>
      <x:c r="E19" s="207" t="str">
        <x:v>Payroll rows ↔ bank registry</x:v>
      </x:c>
      <x:c r="F19" s="207" t="str">
        <x:v>2025-04</x:v>
      </x:c>
      <x:c r="G19" s="207" t="str">
        <x:v>date + amount + account</x:v>
      </x:c>
      <x:c r="H19" s="207" t="str">
        <x:v>Подтверждено</x:v>
      </x:c>
      <x:c r="I19" s="207" t="str">
        <x:v>Подтверждено</x:v>
      </x:c>
      <x:c r="J19" s="207" t="str">
        <x:v>Сверка восстановлена до нулевой агрегатной разницы</x:v>
      </x:c>
      <x:c r="K19" s="207" t="str">
        <x:v>employee_id / payroll_batch_id</x:v>
      </x:c>
      <x:c r="L19" s="207" t="str">
        <x:v>employee_id + payroll_batch_id + bank_payment_id</x:v>
      </x:c>
      <x:c r="M19" s="207" t="str">
        <x:v>Employee-level выплата ФОТ</x:v>
      </x:c>
      <x:c r="N19" s="207" t="str">
        <x:v>HR/Финансы</x:v>
      </x:c>
      <x:c r="O19" s="208" t="str">
        <x:v>Высокий без obligation/ENS ID</x:v>
      </x:c>
    </x:row>
    <x:row r="20">
      <x:c r="A20" s="206" t="str">
        <x:v>TAX-EDGE-016</x:v>
      </x:c>
      <x:c r="B20" s="207" t="str">
        <x:v>Налоги/ФОТ</x:v>
      </x:c>
      <x:c r="C20" s="207" t="str">
        <x:v>ЗП за апрель 2025.xlsx</x:v>
      </x:c>
      <x:c r="D20" s="207" t="str">
        <x:v>6-НДФЛ (с 2021 года) за 2025 г. (Янина Ю. Ф. ИП).pdf</x:v>
      </x:c>
      <x:c r="E20" s="207" t="str">
        <x:v>Payroll accrual ↔ tax form</x:v>
      </x:c>
      <x:c r="F20" s="207" t="str">
        <x:v>2025-04</x:v>
      </x:c>
      <x:c r="G20" s="207" t="str">
        <x:v>month/year aggregate</x:v>
      </x:c>
      <x:c r="H20" s="207" t="str">
        <x:v>Частично</x:v>
      </x:c>
      <x:c r="I20" s="207" t="str">
        <x:v>Частично</x:v>
      </x:c>
      <x:c r="J20" s="207" t="str">
        <x:v>Месячные файлы покрывают только часть года/периметра</x:v>
      </x:c>
      <x:c r="K20" s="207" t="str">
        <x:v>employee_id + income type + tax base</x:v>
      </x:c>
      <x:c r="L20" s="207" t="str">
        <x:v>employer_id + employee_id + accrual_period + tax_code</x:v>
      </x:c>
      <x:c r="M20" s="207" t="str">
        <x:v>Employee-level НДФЛ/РСВ — заблокировано</x:v>
      </x:c>
      <x:c r="N20" s="207" t="str">
        <x:v>HR/Бухгалтерия</x:v>
      </x:c>
      <x:c r="O20" s="208" t="str">
        <x:v>Высокий без obligation/ENS ID</x:v>
      </x:c>
    </x:row>
    <x:row r="21">
      <x:c r="A21" s="206" t="str">
        <x:v>TAX-EDGE-017</x:v>
      </x:c>
      <x:c r="B21" s="207" t="str">
        <x:v>Налоги/ФОТ</x:v>
      </x:c>
      <x:c r="C21" s="207" t="str">
        <x:v>ЗП за апрель 2025.xlsx</x:v>
      </x:c>
      <x:c r="D21" s="207" t="str">
        <x:v>6-НДФЛ (с 2021 года) за 2025 г. (ДЕКОР ООО).pdf</x:v>
      </x:c>
      <x:c r="E21" s="207" t="str">
        <x:v>Payroll accrual ↔ tax form</x:v>
      </x:c>
      <x:c r="F21" s="207" t="str">
        <x:v>2025-04</x:v>
      </x:c>
      <x:c r="G21" s="207" t="str">
        <x:v>month/year aggregate</x:v>
      </x:c>
      <x:c r="H21" s="207" t="str">
        <x:v>Частично</x:v>
      </x:c>
      <x:c r="I21" s="207" t="str">
        <x:v>Частично</x:v>
      </x:c>
      <x:c r="J21" s="207" t="str">
        <x:v>Месячные файлы покрывают только часть года/периметра</x:v>
      </x:c>
      <x:c r="K21" s="207" t="str">
        <x:v>employee_id + income type + tax base</x:v>
      </x:c>
      <x:c r="L21" s="207" t="str">
        <x:v>employer_id + employee_id + accrual_period + tax_code</x:v>
      </x:c>
      <x:c r="M21" s="207" t="str">
        <x:v>Employee-level НДФЛ/РСВ — заблокировано</x:v>
      </x:c>
      <x:c r="N21" s="207" t="str">
        <x:v>HR/Бухгалтерия</x:v>
      </x:c>
      <x:c r="O21" s="208" t="str">
        <x:v>Высокий без obligation/ENS ID</x:v>
      </x:c>
    </x:row>
    <x:row r="22">
      <x:c r="A22" s="206" t="str">
        <x:v>TAX-EDGE-018</x:v>
      </x:c>
      <x:c r="B22" s="207" t="str">
        <x:v>Налоги/ФОТ</x:v>
      </x:c>
      <x:c r="C22" s="207" t="str">
        <x:v>ЗП за апрель 2025.xlsx</x:v>
      </x:c>
      <x:c r="D22" s="207" t="str">
        <x:v>Расчет по страховым взносам за 2025 г. (Янина Ю. Ф. ИП).pdf</x:v>
      </x:c>
      <x:c r="E22" s="207" t="str">
        <x:v>Payroll accrual ↔ tax form</x:v>
      </x:c>
      <x:c r="F22" s="207" t="str">
        <x:v>2025-04</x:v>
      </x:c>
      <x:c r="G22" s="207" t="str">
        <x:v>month/year aggregate</x:v>
      </x:c>
      <x:c r="H22" s="207" t="str">
        <x:v>Частично</x:v>
      </x:c>
      <x:c r="I22" s="207" t="str">
        <x:v>Частично</x:v>
      </x:c>
      <x:c r="J22" s="207" t="str">
        <x:v>Месячные файлы покрывают только часть года/периметра</x:v>
      </x:c>
      <x:c r="K22" s="207" t="str">
        <x:v>employee_id + income type + tax base</x:v>
      </x:c>
      <x:c r="L22" s="207" t="str">
        <x:v>employer_id + employee_id + accrual_period + tax_code</x:v>
      </x:c>
      <x:c r="M22" s="207" t="str">
        <x:v>Employee-level НДФЛ/РСВ — заблокировано</x:v>
      </x:c>
      <x:c r="N22" s="207" t="str">
        <x:v>HR/Бухгалтерия</x:v>
      </x:c>
      <x:c r="O22" s="208" t="str">
        <x:v>Высокий без obligation/ENS ID</x:v>
      </x:c>
    </x:row>
    <x:row r="23">
      <x:c r="A23" s="206" t="str">
        <x:v>TAX-EDGE-019</x:v>
      </x:c>
      <x:c r="B23" s="207" t="str">
        <x:v>Налоги/ФОТ</x:v>
      </x:c>
      <x:c r="C23" s="207" t="str">
        <x:v>ЗП за апрель 2025.xlsx</x:v>
      </x:c>
      <x:c r="D23" s="207" t="str">
        <x:v>Расчет по страховым взносам за 2025 г. (Янина Ю. Ф. ИП).pdf</x:v>
      </x:c>
      <x:c r="E23" s="207" t="str">
        <x:v>Payroll accrual ↔ tax form</x:v>
      </x:c>
      <x:c r="F23" s="207" t="str">
        <x:v>2025-04</x:v>
      </x:c>
      <x:c r="G23" s="207" t="str">
        <x:v>month/year aggregate</x:v>
      </x:c>
      <x:c r="H23" s="207" t="str">
        <x:v>Частично</x:v>
      </x:c>
      <x:c r="I23" s="207" t="str">
        <x:v>Частично</x:v>
      </x:c>
      <x:c r="J23" s="207" t="str">
        <x:v>Месячные файлы покрывают только часть года/периметра</x:v>
      </x:c>
      <x:c r="K23" s="207" t="str">
        <x:v>employee_id + income type + tax base</x:v>
      </x:c>
      <x:c r="L23" s="207" t="str">
        <x:v>employer_id + employee_id + accrual_period + tax_code</x:v>
      </x:c>
      <x:c r="M23" s="207" t="str">
        <x:v>Employee-level НДФЛ/РСВ — заблокировано</x:v>
      </x:c>
      <x:c r="N23" s="207" t="str">
        <x:v>HR/Бухгалтерия</x:v>
      </x:c>
      <x:c r="O23" s="208" t="str">
        <x:v>Высокий без obligation/ENS ID</x:v>
      </x:c>
    </x:row>
    <x:row r="24">
      <x:c r="A24" s="206" t="str">
        <x:v>TAX-EDGE-020</x:v>
      </x:c>
      <x:c r="B24" s="207" t="str">
        <x:v>Налоги/ФОТ</x:v>
      </x:c>
      <x:c r="C24" s="207" t="str">
        <x:v>ЗП за апрель 2025.xlsx</x:v>
      </x:c>
      <x:c r="D24" s="207" t="str">
        <x:v>Расчет по страховым взносам за 2025 г. (ДЕКОР ООО).pdf</x:v>
      </x:c>
      <x:c r="E24" s="207" t="str">
        <x:v>Payroll accrual ↔ tax form</x:v>
      </x:c>
      <x:c r="F24" s="207" t="str">
        <x:v>2025-04</x:v>
      </x:c>
      <x:c r="G24" s="207" t="str">
        <x:v>month/year aggregate</x:v>
      </x:c>
      <x:c r="H24" s="207" t="str">
        <x:v>Частично</x:v>
      </x:c>
      <x:c r="I24" s="207" t="str">
        <x:v>Частично</x:v>
      </x:c>
      <x:c r="J24" s="207" t="str">
        <x:v>Месячные файлы покрывают только часть года/периметра</x:v>
      </x:c>
      <x:c r="K24" s="207" t="str">
        <x:v>employee_id + income type + tax base</x:v>
      </x:c>
      <x:c r="L24" s="207" t="str">
        <x:v>employer_id + employee_id + accrual_period + tax_code</x:v>
      </x:c>
      <x:c r="M24" s="207" t="str">
        <x:v>Employee-level НДФЛ/РСВ — заблокировано</x:v>
      </x:c>
      <x:c r="N24" s="207" t="str">
        <x:v>HR/Бухгалтерия</x:v>
      </x:c>
      <x:c r="O24" s="208" t="str">
        <x:v>Высокий без obligation/ENS ID</x:v>
      </x:c>
    </x:row>
    <x:row r="25">
      <x:c r="A25" s="206" t="str">
        <x:v>TAX-EDGE-021</x:v>
      </x:c>
      <x:c r="B25" s="207" t="str">
        <x:v>Налоги/ФОТ</x:v>
      </x:c>
      <x:c r="C25" s="207" t="str">
        <x:v>ЗП за апрель 2025.xlsx</x:v>
      </x:c>
      <x:c r="D25" s="207" t="str">
        <x:v>Расчет по страховым взносам за 2025 г. (ДЕКОР ООО).pdf</x:v>
      </x:c>
      <x:c r="E25" s="207" t="str">
        <x:v>Payroll accrual ↔ tax form</x:v>
      </x:c>
      <x:c r="F25" s="207" t="str">
        <x:v>2025-04</x:v>
      </x:c>
      <x:c r="G25" s="207" t="str">
        <x:v>month/year aggregate</x:v>
      </x:c>
      <x:c r="H25" s="207" t="str">
        <x:v>Частично</x:v>
      </x:c>
      <x:c r="I25" s="207" t="str">
        <x:v>Частично</x:v>
      </x:c>
      <x:c r="J25" s="207" t="str">
        <x:v>Месячные файлы покрывают только часть года/периметра</x:v>
      </x:c>
      <x:c r="K25" s="207" t="str">
        <x:v>employee_id + income type + tax base</x:v>
      </x:c>
      <x:c r="L25" s="207" t="str">
        <x:v>employer_id + employee_id + accrual_period + tax_code</x:v>
      </x:c>
      <x:c r="M25" s="207" t="str">
        <x:v>Employee-level НДФЛ/РСВ — заблокировано</x:v>
      </x:c>
      <x:c r="N25" s="207" t="str">
        <x:v>HR/Бухгалтерия</x:v>
      </x:c>
      <x:c r="O25" s="208" t="str">
        <x:v>Высокий без obligation/ENS ID</x:v>
      </x:c>
    </x:row>
    <x:row r="26">
      <x:c r="A26" s="206" t="str">
        <x:v>TAX-EDGE-022</x:v>
      </x:c>
      <x:c r="B26" s="207" t="str">
        <x:v>Налоги/ФОТ</x:v>
      </x:c>
      <x:c r="C26" s="207" t="str">
        <x:v>ЗП за апрель 2026.xlsx</x:v>
      </x:c>
      <x:c r="D26" s="207" t="str">
        <x:v>ДДС 2026.xlxs.xlsx</x:v>
      </x:c>
      <x:c r="E26" s="207" t="str">
        <x:v>Payroll calculation ↔ ДДС payroll cash</x:v>
      </x:c>
      <x:c r="F26" s="207" t="str">
        <x:v>2026-04</x:v>
      </x:c>
      <x:c r="G26" s="207" t="str">
        <x:v>month + displayed control total</x:v>
      </x:c>
      <x:c r="H26" s="207" t="str">
        <x:v>Не проверено построчно</x:v>
      </x:c>
      <x:c r="I26" s="207" t="str">
        <x:v>Частично</x:v>
      </x:c>
      <x:c r="J26" s="207" t="str">
        <x:v>Файл имеется, но batch-level сверка не выполнена</x:v>
      </x:c>
      <x:c r="K26" s="207" t="str">
        <x:v>payroll_batch_id / payment_type</x:v>
      </x:c>
      <x:c r="L26" s="207" t="str">
        <x:v>payroll_batch_id + payment_date + employer_id</x:v>
      </x:c>
      <x:c r="M26" s="207" t="str">
        <x:v>Ежемесячная выплата ФОТ</x:v>
      </x:c>
      <x:c r="N26" s="207" t="str">
        <x:v>HR/Финансы</x:v>
      </x:c>
      <x:c r="O26" s="208" t="str">
        <x:v>Высокий без obligation/ENS ID</x:v>
      </x:c>
    </x:row>
    <x:row r="27">
      <x:c r="A27" s="206" t="str">
        <x:v>TAX-EDGE-023</x:v>
      </x:c>
      <x:c r="B27" s="207" t="str">
        <x:v>Налоги/ФОТ</x:v>
      </x:c>
      <x:c r="C27" s="207" t="str">
        <x:v>ЗП за апрель 2026.xlsx</x:v>
      </x:c>
      <x:c r="D27" s="207" t="str">
        <x:v>VTB_BankStatement_40802810500000006196_01.01.2024-22.06.2026_417014.pdf</x:v>
      </x:c>
      <x:c r="E27" s="207" t="str">
        <x:v>Payroll rows ↔ bank registry</x:v>
      </x:c>
      <x:c r="F27" s="207" t="str">
        <x:v>2026-04</x:v>
      </x:c>
      <x:c r="G27" s="207" t="str">
        <x:v>date + amount + account</x:v>
      </x:c>
      <x:c r="H27" s="207" t="str">
        <x:v>Не проверено построчно</x:v>
      </x:c>
      <x:c r="I27" s="207" t="str">
        <x:v>Частично</x:v>
      </x:c>
      <x:c r="J27" s="207" t="str">
        <x:v>Файл имеется, но batch-level сверка не выполнена</x:v>
      </x:c>
      <x:c r="K27" s="207" t="str">
        <x:v>employee_id / payroll_batch_id</x:v>
      </x:c>
      <x:c r="L27" s="207" t="str">
        <x:v>employee_id + payroll_batch_id + bank_payment_id</x:v>
      </x:c>
      <x:c r="M27" s="207" t="str">
        <x:v>Employee-level выплата ФОТ</x:v>
      </x:c>
      <x:c r="N27" s="207" t="str">
        <x:v>HR/Финансы</x:v>
      </x:c>
      <x:c r="O27" s="208" t="str">
        <x:v>Высокий без obligation/ENS ID</x:v>
      </x:c>
    </x:row>
    <x:row r="28">
      <x:c r="A28" s="206" t="str">
        <x:v>TAX-EDGE-024</x:v>
      </x:c>
      <x:c r="B28" s="207" t="str">
        <x:v>Налоги/ФОТ</x:v>
      </x:c>
      <x:c r="C28" s="207" t="str">
        <x:v>ЗП за апрель 2026.xlsx</x:v>
      </x:c>
      <x:c r="D28" s="207" t="str">
        <x:v>VTB_BankStatement_40702810804000008482_01.01.2024-22.06.2026_376277.pdf</x:v>
      </x:c>
      <x:c r="E28" s="207" t="str">
        <x:v>Payroll rows ↔ bank registry</x:v>
      </x:c>
      <x:c r="F28" s="207" t="str">
        <x:v>2026-04</x:v>
      </x:c>
      <x:c r="G28" s="207" t="str">
        <x:v>date + amount + account</x:v>
      </x:c>
      <x:c r="H28" s="207" t="str">
        <x:v>Не проверено построчно</x:v>
      </x:c>
      <x:c r="I28" s="207" t="str">
        <x:v>Частично</x:v>
      </x:c>
      <x:c r="J28" s="207" t="str">
        <x:v>Файл имеется, но batch-level сверка не выполнена</x:v>
      </x:c>
      <x:c r="K28" s="207" t="str">
        <x:v>employee_id / payroll_batch_id</x:v>
      </x:c>
      <x:c r="L28" s="207" t="str">
        <x:v>employee_id + payroll_batch_id + bank_payment_id</x:v>
      </x:c>
      <x:c r="M28" s="207" t="str">
        <x:v>Employee-level выплата ФОТ</x:v>
      </x:c>
      <x:c r="N28" s="207" t="str">
        <x:v>HR/Финансы</x:v>
      </x:c>
      <x:c r="O28" s="208" t="str">
        <x:v>Высокий без obligation/ENS ID</x:v>
      </x:c>
    </x:row>
    <x:row r="29">
      <x:c r="A29" s="206" t="str">
        <x:v>TAX-EDGE-025</x:v>
      </x:c>
      <x:c r="B29" s="207" t="str">
        <x:v>Налоги/ФОТ</x:v>
      </x:c>
      <x:c r="C29" s="207" t="str">
        <x:v>ЗП за апрель 2026.xlsx</x:v>
      </x:c>
      <x:c r="D29" s="207" t="str">
        <x:v>Расчет по страховым взносам за 1 квартал 2026 г. (Янина Ю. Ф. ИП).pdf</x:v>
      </x:c>
      <x:c r="E29" s="207" t="str">
        <x:v>Payroll accrual ↔ tax form</x:v>
      </x:c>
      <x:c r="F29" s="207" t="str">
        <x:v>2026-04</x:v>
      </x:c>
      <x:c r="G29" s="207" t="str">
        <x:v>month/year aggregate</x:v>
      </x:c>
      <x:c r="H29" s="207" t="str">
        <x:v>Частично</x:v>
      </x:c>
      <x:c r="I29" s="207" t="str">
        <x:v>Частично</x:v>
      </x:c>
      <x:c r="J29" s="207" t="str">
        <x:v>Месячные файлы покрывают только часть года/периметра</x:v>
      </x:c>
      <x:c r="K29" s="207" t="str">
        <x:v>employee_id + income type + tax base</x:v>
      </x:c>
      <x:c r="L29" s="207" t="str">
        <x:v>employer_id + employee_id + accrual_period + tax_code</x:v>
      </x:c>
      <x:c r="M29" s="207" t="str">
        <x:v>Employee-level НДФЛ/РСВ — заблокировано</x:v>
      </x:c>
      <x:c r="N29" s="207" t="str">
        <x:v>HR/Бухгалтерия</x:v>
      </x:c>
      <x:c r="O29" s="208" t="str">
        <x:v>Высокий без obligation/ENS ID</x:v>
      </x:c>
    </x:row>
    <x:row r="30">
      <x:c r="A30" s="206" t="str">
        <x:v>TAX-EDGE-026</x:v>
      </x:c>
      <x:c r="B30" s="207" t="str">
        <x:v>Налоги/ФОТ</x:v>
      </x:c>
      <x:c r="C30" s="207" t="str">
        <x:v>ЗП за апрель 2026.xlsx</x:v>
      </x:c>
      <x:c r="D30" s="207" t="str">
        <x:v>Расчет по страховым взносам за 1 квартал 2026 г. (Янина Ю. Ф. ИП).pdf</x:v>
      </x:c>
      <x:c r="E30" s="207" t="str">
        <x:v>Payroll accrual ↔ tax form</x:v>
      </x:c>
      <x:c r="F30" s="207" t="str">
        <x:v>2026-04</x:v>
      </x:c>
      <x:c r="G30" s="207" t="str">
        <x:v>month/year aggregate</x:v>
      </x:c>
      <x:c r="H30" s="207" t="str">
        <x:v>Частично</x:v>
      </x:c>
      <x:c r="I30" s="207" t="str">
        <x:v>Частично</x:v>
      </x:c>
      <x:c r="J30" s="207" t="str">
        <x:v>Месячные файлы покрывают только часть года/периметра</x:v>
      </x:c>
      <x:c r="K30" s="207" t="str">
        <x:v>employee_id + income type + tax base</x:v>
      </x:c>
      <x:c r="L30" s="207" t="str">
        <x:v>employer_id + employee_id + accrual_period + tax_code</x:v>
      </x:c>
      <x:c r="M30" s="207" t="str">
        <x:v>Employee-level НДФЛ/РСВ — заблокировано</x:v>
      </x:c>
      <x:c r="N30" s="207" t="str">
        <x:v>HR/Бухгалтерия</x:v>
      </x:c>
      <x:c r="O30" s="208" t="str">
        <x:v>Высокий без obligation/ENS ID</x:v>
      </x:c>
    </x:row>
    <x:row r="31">
      <x:c r="A31" s="206" t="str">
        <x:v>TAX-EDGE-027</x:v>
      </x:c>
      <x:c r="B31" s="207" t="str">
        <x:v>Налоги/ФОТ</x:v>
      </x:c>
      <x:c r="C31" s="207" t="str">
        <x:v>ЗП за июнь 2025.xlsx</x:v>
      </x:c>
      <x:c r="D31" s="207" t="str">
        <x:v>ДДС 2025.xlsx</x:v>
      </x:c>
      <x:c r="E31" s="207" t="str">
        <x:v>Payroll calculation ↔ ДДС payroll cash</x:v>
      </x:c>
      <x:c r="F31" s="207" t="str">
        <x:v>2025-06</x:v>
      </x:c>
      <x:c r="G31" s="207" t="str">
        <x:v>month + displayed control total</x:v>
      </x:c>
      <x:c r="H31" s="207" t="str">
        <x:v>Не проверено построчно</x:v>
      </x:c>
      <x:c r="I31" s="207" t="str">
        <x:v>Частично</x:v>
      </x:c>
      <x:c r="J31" s="207" t="str">
        <x:v>Файл имеется, но batch-level сверка не выполнена</x:v>
      </x:c>
      <x:c r="K31" s="207" t="str">
        <x:v>payroll_batch_id / payment_type</x:v>
      </x:c>
      <x:c r="L31" s="207" t="str">
        <x:v>payroll_batch_id + payment_date + employer_id</x:v>
      </x:c>
      <x:c r="M31" s="207" t="str">
        <x:v>Ежемесячная выплата ФОТ</x:v>
      </x:c>
      <x:c r="N31" s="207" t="str">
        <x:v>HR/Финансы</x:v>
      </x:c>
      <x:c r="O31" s="208" t="str">
        <x:v>Высокий без obligation/ENS ID</x:v>
      </x:c>
    </x:row>
    <x:row r="32">
      <x:c r="A32" s="206" t="str">
        <x:v>TAX-EDGE-028</x:v>
      </x:c>
      <x:c r="B32" s="207" t="str">
        <x:v>Налоги/ФОТ</x:v>
      </x:c>
      <x:c r="C32" s="207" t="str">
        <x:v>ЗП за июнь 2025.xlsx</x:v>
      </x:c>
      <x:c r="D32" s="207" t="str">
        <x:v>VTB_BankStatement_40802810500000006196_01.01.2024-22.06.2026_417014.pdf</x:v>
      </x:c>
      <x:c r="E32" s="207" t="str">
        <x:v>Payroll rows ↔ bank registry</x:v>
      </x:c>
      <x:c r="F32" s="207" t="str">
        <x:v>2025-06</x:v>
      </x:c>
      <x:c r="G32" s="207" t="str">
        <x:v>date + amount + account</x:v>
      </x:c>
      <x:c r="H32" s="207" t="str">
        <x:v>Не проверено построчно</x:v>
      </x:c>
      <x:c r="I32" s="207" t="str">
        <x:v>Частично</x:v>
      </x:c>
      <x:c r="J32" s="207" t="str">
        <x:v>Файл имеется, но batch-level сверка не выполнена</x:v>
      </x:c>
      <x:c r="K32" s="207" t="str">
        <x:v>employee_id / payroll_batch_id</x:v>
      </x:c>
      <x:c r="L32" s="207" t="str">
        <x:v>employee_id + payroll_batch_id + bank_payment_id</x:v>
      </x:c>
      <x:c r="M32" s="207" t="str">
        <x:v>Employee-level выплата ФОТ</x:v>
      </x:c>
      <x:c r="N32" s="207" t="str">
        <x:v>HR/Финансы</x:v>
      </x:c>
      <x:c r="O32" s="208" t="str">
        <x:v>Высокий без obligation/ENS ID</x:v>
      </x:c>
    </x:row>
    <x:row r="33">
      <x:c r="A33" s="206" t="str">
        <x:v>TAX-EDGE-029</x:v>
      </x:c>
      <x:c r="B33" s="207" t="str">
        <x:v>Налоги/ФОТ</x:v>
      </x:c>
      <x:c r="C33" s="207" t="str">
        <x:v>ЗП за июнь 2025.xlsx</x:v>
      </x:c>
      <x:c r="D33" s="207" t="str">
        <x:v>VTB_BankStatement_40702810804000008482_01.01.2024-22.06.2026_376277.pdf</x:v>
      </x:c>
      <x:c r="E33" s="207" t="str">
        <x:v>Payroll rows ↔ bank registry</x:v>
      </x:c>
      <x:c r="F33" s="207" t="str">
        <x:v>2025-06</x:v>
      </x:c>
      <x:c r="G33" s="207" t="str">
        <x:v>date + amount + account</x:v>
      </x:c>
      <x:c r="H33" s="207" t="str">
        <x:v>Не проверено построчно</x:v>
      </x:c>
      <x:c r="I33" s="207" t="str">
        <x:v>Частично</x:v>
      </x:c>
      <x:c r="J33" s="207" t="str">
        <x:v>Файл имеется, но batch-level сверка не выполнена</x:v>
      </x:c>
      <x:c r="K33" s="207" t="str">
        <x:v>employee_id / payroll_batch_id</x:v>
      </x:c>
      <x:c r="L33" s="207" t="str">
        <x:v>employee_id + payroll_batch_id + bank_payment_id</x:v>
      </x:c>
      <x:c r="M33" s="207" t="str">
        <x:v>Employee-level выплата ФОТ</x:v>
      </x:c>
      <x:c r="N33" s="207" t="str">
        <x:v>HR/Финансы</x:v>
      </x:c>
      <x:c r="O33" s="208" t="str">
        <x:v>Высокий без obligation/ENS ID</x:v>
      </x:c>
    </x:row>
    <x:row r="34">
      <x:c r="A34" s="206" t="str">
        <x:v>TAX-EDGE-030</x:v>
      </x:c>
      <x:c r="B34" s="207" t="str">
        <x:v>Налоги/ФОТ</x:v>
      </x:c>
      <x:c r="C34" s="207" t="str">
        <x:v>ЗП за июнь 2025.xlsx</x:v>
      </x:c>
      <x:c r="D34" s="207" t="str">
        <x:v>6-НДФЛ (с 2021 года) за 2025 г. (Янина Ю. Ф. ИП).pdf</x:v>
      </x:c>
      <x:c r="E34" s="207" t="str">
        <x:v>Payroll accrual ↔ tax form</x:v>
      </x:c>
      <x:c r="F34" s="207" t="str">
        <x:v>2025-06</x:v>
      </x:c>
      <x:c r="G34" s="207" t="str">
        <x:v>month/year aggregate</x:v>
      </x:c>
      <x:c r="H34" s="207" t="str">
        <x:v>Частично</x:v>
      </x:c>
      <x:c r="I34" s="207" t="str">
        <x:v>Частично</x:v>
      </x:c>
      <x:c r="J34" s="207" t="str">
        <x:v>Месячные файлы покрывают только часть года/периметра</x:v>
      </x:c>
      <x:c r="K34" s="207" t="str">
        <x:v>employee_id + income type + tax base</x:v>
      </x:c>
      <x:c r="L34" s="207" t="str">
        <x:v>employer_id + employee_id + accrual_period + tax_code</x:v>
      </x:c>
      <x:c r="M34" s="207" t="str">
        <x:v>Employee-level НДФЛ/РСВ — заблокировано</x:v>
      </x:c>
      <x:c r="N34" s="207" t="str">
        <x:v>HR/Бухгалтерия</x:v>
      </x:c>
      <x:c r="O34" s="208" t="str">
        <x:v>Высокий без obligation/ENS ID</x:v>
      </x:c>
    </x:row>
    <x:row r="35">
      <x:c r="A35" s="206" t="str">
        <x:v>TAX-EDGE-031</x:v>
      </x:c>
      <x:c r="B35" s="207" t="str">
        <x:v>Налоги/ФОТ</x:v>
      </x:c>
      <x:c r="C35" s="207" t="str">
        <x:v>ЗП за июнь 2025.xlsx</x:v>
      </x:c>
      <x:c r="D35" s="207" t="str">
        <x:v>6-НДФЛ (с 2021 года) за 2025 г. (ДЕКОР ООО).pdf</x:v>
      </x:c>
      <x:c r="E35" s="207" t="str">
        <x:v>Payroll accrual ↔ tax form</x:v>
      </x:c>
      <x:c r="F35" s="207" t="str">
        <x:v>2025-06</x:v>
      </x:c>
      <x:c r="G35" s="207" t="str">
        <x:v>month/year aggregate</x:v>
      </x:c>
      <x:c r="H35" s="207" t="str">
        <x:v>Частично</x:v>
      </x:c>
      <x:c r="I35" s="207" t="str">
        <x:v>Частично</x:v>
      </x:c>
      <x:c r="J35" s="207" t="str">
        <x:v>Месячные файлы покрывают только часть года/периметра</x:v>
      </x:c>
      <x:c r="K35" s="207" t="str">
        <x:v>employee_id + income type + tax base</x:v>
      </x:c>
      <x:c r="L35" s="207" t="str">
        <x:v>employer_id + employee_id + accrual_period + tax_code</x:v>
      </x:c>
      <x:c r="M35" s="207" t="str">
        <x:v>Employee-level НДФЛ/РСВ — заблокировано</x:v>
      </x:c>
      <x:c r="N35" s="207" t="str">
        <x:v>HR/Бухгалтерия</x:v>
      </x:c>
      <x:c r="O35" s="208" t="str">
        <x:v>Высокий без obligation/ENS ID</x:v>
      </x:c>
    </x:row>
    <x:row r="36">
      <x:c r="A36" s="206" t="str">
        <x:v>TAX-EDGE-032</x:v>
      </x:c>
      <x:c r="B36" s="207" t="str">
        <x:v>Налоги/ФОТ</x:v>
      </x:c>
      <x:c r="C36" s="207" t="str">
        <x:v>ЗП за июнь 2025.xlsx</x:v>
      </x:c>
      <x:c r="D36" s="207" t="str">
        <x:v>Расчет по страховым взносам за 2025 г. (Янина Ю. Ф. ИП).pdf</x:v>
      </x:c>
      <x:c r="E36" s="207" t="str">
        <x:v>Payroll accrual ↔ tax form</x:v>
      </x:c>
      <x:c r="F36" s="207" t="str">
        <x:v>2025-06</x:v>
      </x:c>
      <x:c r="G36" s="207" t="str">
        <x:v>month/year aggregate</x:v>
      </x:c>
      <x:c r="H36" s="207" t="str">
        <x:v>Частично</x:v>
      </x:c>
      <x:c r="I36" s="207" t="str">
        <x:v>Частично</x:v>
      </x:c>
      <x:c r="J36" s="207" t="str">
        <x:v>Месячные файлы покрывают только часть года/периметра</x:v>
      </x:c>
      <x:c r="K36" s="207" t="str">
        <x:v>employee_id + income type + tax base</x:v>
      </x:c>
      <x:c r="L36" s="207" t="str">
        <x:v>employer_id + employee_id + accrual_period + tax_code</x:v>
      </x:c>
      <x:c r="M36" s="207" t="str">
        <x:v>Employee-level НДФЛ/РСВ — заблокировано</x:v>
      </x:c>
      <x:c r="N36" s="207" t="str">
        <x:v>HR/Бухгалтерия</x:v>
      </x:c>
      <x:c r="O36" s="208" t="str">
        <x:v>Высокий без obligation/ENS ID</x:v>
      </x:c>
    </x:row>
    <x:row r="37">
      <x:c r="A37" s="206" t="str">
        <x:v>TAX-EDGE-033</x:v>
      </x:c>
      <x:c r="B37" s="207" t="str">
        <x:v>Налоги/ФОТ</x:v>
      </x:c>
      <x:c r="C37" s="207" t="str">
        <x:v>ЗП за июнь 2025.xlsx</x:v>
      </x:c>
      <x:c r="D37" s="207" t="str">
        <x:v>Расчет по страховым взносам за 2025 г. (Янина Ю. Ф. ИП).pdf</x:v>
      </x:c>
      <x:c r="E37" s="207" t="str">
        <x:v>Payroll accrual ↔ tax form</x:v>
      </x:c>
      <x:c r="F37" s="207" t="str">
        <x:v>2025-06</x:v>
      </x:c>
      <x:c r="G37" s="207" t="str">
        <x:v>month/year aggregate</x:v>
      </x:c>
      <x:c r="H37" s="207" t="str">
        <x:v>Частично</x:v>
      </x:c>
      <x:c r="I37" s="207" t="str">
        <x:v>Частично</x:v>
      </x:c>
      <x:c r="J37" s="207" t="str">
        <x:v>Месячные файлы покрывают только часть года/периметра</x:v>
      </x:c>
      <x:c r="K37" s="207" t="str">
        <x:v>employee_id + income type + tax base</x:v>
      </x:c>
      <x:c r="L37" s="207" t="str">
        <x:v>employer_id + employee_id + accrual_period + tax_code</x:v>
      </x:c>
      <x:c r="M37" s="207" t="str">
        <x:v>Employee-level НДФЛ/РСВ — заблокировано</x:v>
      </x:c>
      <x:c r="N37" s="207" t="str">
        <x:v>HR/Бухгалтерия</x:v>
      </x:c>
      <x:c r="O37" s="208" t="str">
        <x:v>Высокий без obligation/ENS ID</x:v>
      </x:c>
    </x:row>
    <x:row r="38">
      <x:c r="A38" s="206" t="str">
        <x:v>TAX-EDGE-034</x:v>
      </x:c>
      <x:c r="B38" s="207" t="str">
        <x:v>Налоги/ФОТ</x:v>
      </x:c>
      <x:c r="C38" s="207" t="str">
        <x:v>ЗП за июнь 2025.xlsx</x:v>
      </x:c>
      <x:c r="D38" s="207" t="str">
        <x:v>Расчет по страховым взносам за 2025 г. (ДЕКОР ООО).pdf</x:v>
      </x:c>
      <x:c r="E38" s="207" t="str">
        <x:v>Payroll accrual ↔ tax form</x:v>
      </x:c>
      <x:c r="F38" s="207" t="str">
        <x:v>2025-06</x:v>
      </x:c>
      <x:c r="G38" s="207" t="str">
        <x:v>month/year aggregate</x:v>
      </x:c>
      <x:c r="H38" s="207" t="str">
        <x:v>Частично</x:v>
      </x:c>
      <x:c r="I38" s="207" t="str">
        <x:v>Частично</x:v>
      </x:c>
      <x:c r="J38" s="207" t="str">
        <x:v>Месячные файлы покрывают только часть года/периметра</x:v>
      </x:c>
      <x:c r="K38" s="207" t="str">
        <x:v>employee_id + income type + tax base</x:v>
      </x:c>
      <x:c r="L38" s="207" t="str">
        <x:v>employer_id + employee_id + accrual_period + tax_code</x:v>
      </x:c>
      <x:c r="M38" s="207" t="str">
        <x:v>Employee-level НДФЛ/РСВ — заблокировано</x:v>
      </x:c>
      <x:c r="N38" s="207" t="str">
        <x:v>HR/Бухгалтерия</x:v>
      </x:c>
      <x:c r="O38" s="208" t="str">
        <x:v>Высокий без obligation/ENS ID</x:v>
      </x:c>
    </x:row>
    <x:row r="39">
      <x:c r="A39" s="206" t="str">
        <x:v>TAX-EDGE-035</x:v>
      </x:c>
      <x:c r="B39" s="207" t="str">
        <x:v>Налоги/ФОТ</x:v>
      </x:c>
      <x:c r="C39" s="207" t="str">
        <x:v>ЗП за июнь 2025.xlsx</x:v>
      </x:c>
      <x:c r="D39" s="207" t="str">
        <x:v>Расчет по страховым взносам за 2025 г. (ДЕКОР ООО).pdf</x:v>
      </x:c>
      <x:c r="E39" s="207" t="str">
        <x:v>Payroll accrual ↔ tax form</x:v>
      </x:c>
      <x:c r="F39" s="207" t="str">
        <x:v>2025-06</x:v>
      </x:c>
      <x:c r="G39" s="207" t="str">
        <x:v>month/year aggregate</x:v>
      </x:c>
      <x:c r="H39" s="207" t="str">
        <x:v>Частично</x:v>
      </x:c>
      <x:c r="I39" s="207" t="str">
        <x:v>Частично</x:v>
      </x:c>
      <x:c r="J39" s="207" t="str">
        <x:v>Месячные файлы покрывают только часть года/периметра</x:v>
      </x:c>
      <x:c r="K39" s="207" t="str">
        <x:v>employee_id + income type + tax base</x:v>
      </x:c>
      <x:c r="L39" s="207" t="str">
        <x:v>employer_id + employee_id + accrual_period + tax_code</x:v>
      </x:c>
      <x:c r="M39" s="207" t="str">
        <x:v>Employee-level НДФЛ/РСВ — заблокировано</x:v>
      </x:c>
      <x:c r="N39" s="207" t="str">
        <x:v>HR/Бухгалтерия</x:v>
      </x:c>
      <x:c r="O39" s="208" t="str">
        <x:v>Высокий без obligation/ENS ID</x:v>
      </x:c>
    </x:row>
    <x:row r="40">
      <x:c r="A40" s="206" t="str">
        <x:v>TAX-EDGE-036</x:v>
      </x:c>
      <x:c r="B40" s="207" t="str">
        <x:v>Налоги/ФОТ</x:v>
      </x:c>
      <x:c r="C40" s="207" t="str">
        <x:v>ЗП за май 2025.xlsx</x:v>
      </x:c>
      <x:c r="D40" s="207" t="str">
        <x:v>ДДС 2025.xlsx</x:v>
      </x:c>
      <x:c r="E40" s="207" t="str">
        <x:v>Payroll calculation ↔ ДДС payroll cash</x:v>
      </x:c>
      <x:c r="F40" s="207" t="str">
        <x:v>2025-05</x:v>
      </x:c>
      <x:c r="G40" s="207" t="str">
        <x:v>month + displayed control total</x:v>
      </x:c>
      <x:c r="H40" s="207" t="str">
        <x:v>Не проверено построчно</x:v>
      </x:c>
      <x:c r="I40" s="207" t="str">
        <x:v>Частично</x:v>
      </x:c>
      <x:c r="J40" s="207" t="str">
        <x:v>Файл имеется, но batch-level сверка не выполнена</x:v>
      </x:c>
      <x:c r="K40" s="207" t="str">
        <x:v>payroll_batch_id / payment_type</x:v>
      </x:c>
      <x:c r="L40" s="207" t="str">
        <x:v>payroll_batch_id + payment_date + employer_id</x:v>
      </x:c>
      <x:c r="M40" s="207" t="str">
        <x:v>Ежемесячная выплата ФОТ</x:v>
      </x:c>
      <x:c r="N40" s="207" t="str">
        <x:v>HR/Финансы</x:v>
      </x:c>
      <x:c r="O40" s="208" t="str">
        <x:v>Высокий без obligation/ENS ID</x:v>
      </x:c>
    </x:row>
    <x:row r="41">
      <x:c r="A41" s="206" t="str">
        <x:v>TAX-EDGE-037</x:v>
      </x:c>
      <x:c r="B41" s="207" t="str">
        <x:v>Налоги/ФОТ</x:v>
      </x:c>
      <x:c r="C41" s="207" t="str">
        <x:v>ЗП за май 2025.xlsx</x:v>
      </x:c>
      <x:c r="D41" s="207" t="str">
        <x:v>VTB_BankStatement_40802810500000006196_01.01.2024-22.06.2026_417014.pdf</x:v>
      </x:c>
      <x:c r="E41" s="207" t="str">
        <x:v>Payroll rows ↔ bank registry</x:v>
      </x:c>
      <x:c r="F41" s="207" t="str">
        <x:v>2025-05</x:v>
      </x:c>
      <x:c r="G41" s="207" t="str">
        <x:v>date + amount + account</x:v>
      </x:c>
      <x:c r="H41" s="207" t="str">
        <x:v>Не проверено построчно</x:v>
      </x:c>
      <x:c r="I41" s="207" t="str">
        <x:v>Частично</x:v>
      </x:c>
      <x:c r="J41" s="207" t="str">
        <x:v>Файл имеется, но batch-level сверка не выполнена</x:v>
      </x:c>
      <x:c r="K41" s="207" t="str">
        <x:v>employee_id / payroll_batch_id</x:v>
      </x:c>
      <x:c r="L41" s="207" t="str">
        <x:v>employee_id + payroll_batch_id + bank_payment_id</x:v>
      </x:c>
      <x:c r="M41" s="207" t="str">
        <x:v>Employee-level выплата ФОТ</x:v>
      </x:c>
      <x:c r="N41" s="207" t="str">
        <x:v>HR/Финансы</x:v>
      </x:c>
      <x:c r="O41" s="208" t="str">
        <x:v>Высокий без obligation/ENS ID</x:v>
      </x:c>
    </x:row>
    <x:row r="42">
      <x:c r="A42" s="206" t="str">
        <x:v>TAX-EDGE-038</x:v>
      </x:c>
      <x:c r="B42" s="207" t="str">
        <x:v>Налоги/ФОТ</x:v>
      </x:c>
      <x:c r="C42" s="207" t="str">
        <x:v>ЗП за май 2025.xlsx</x:v>
      </x:c>
      <x:c r="D42" s="207" t="str">
        <x:v>VTB_BankStatement_40702810804000008482_01.01.2024-22.06.2026_376277.pdf</x:v>
      </x:c>
      <x:c r="E42" s="207" t="str">
        <x:v>Payroll rows ↔ bank registry</x:v>
      </x:c>
      <x:c r="F42" s="207" t="str">
        <x:v>2025-05</x:v>
      </x:c>
      <x:c r="G42" s="207" t="str">
        <x:v>date + amount + account</x:v>
      </x:c>
      <x:c r="H42" s="207" t="str">
        <x:v>Не проверено построчно</x:v>
      </x:c>
      <x:c r="I42" s="207" t="str">
        <x:v>Частично</x:v>
      </x:c>
      <x:c r="J42" s="207" t="str">
        <x:v>Файл имеется, но batch-level сверка не выполнена</x:v>
      </x:c>
      <x:c r="K42" s="207" t="str">
        <x:v>employee_id / payroll_batch_id</x:v>
      </x:c>
      <x:c r="L42" s="207" t="str">
        <x:v>employee_id + payroll_batch_id + bank_payment_id</x:v>
      </x:c>
      <x:c r="M42" s="207" t="str">
        <x:v>Employee-level выплата ФОТ</x:v>
      </x:c>
      <x:c r="N42" s="207" t="str">
        <x:v>HR/Финансы</x:v>
      </x:c>
      <x:c r="O42" s="208" t="str">
        <x:v>Высокий без obligation/ENS ID</x:v>
      </x:c>
    </x:row>
    <x:row r="43">
      <x:c r="A43" s="206" t="str">
        <x:v>TAX-EDGE-039</x:v>
      </x:c>
      <x:c r="B43" s="207" t="str">
        <x:v>Налоги/ФОТ</x:v>
      </x:c>
      <x:c r="C43" s="207" t="str">
        <x:v>ЗП за май 2025.xlsx</x:v>
      </x:c>
      <x:c r="D43" s="207" t="str">
        <x:v>6-НДФЛ (с 2021 года) за 2025 г. (Янина Ю. Ф. ИП).pdf</x:v>
      </x:c>
      <x:c r="E43" s="207" t="str">
        <x:v>Payroll accrual ↔ tax form</x:v>
      </x:c>
      <x:c r="F43" s="207" t="str">
        <x:v>2025-05</x:v>
      </x:c>
      <x:c r="G43" s="207" t="str">
        <x:v>month/year aggregate</x:v>
      </x:c>
      <x:c r="H43" s="207" t="str">
        <x:v>Частично</x:v>
      </x:c>
      <x:c r="I43" s="207" t="str">
        <x:v>Частично</x:v>
      </x:c>
      <x:c r="J43" s="207" t="str">
        <x:v>Месячные файлы покрывают только часть года/периметра</x:v>
      </x:c>
      <x:c r="K43" s="207" t="str">
        <x:v>employee_id + income type + tax base</x:v>
      </x:c>
      <x:c r="L43" s="207" t="str">
        <x:v>employer_id + employee_id + accrual_period + tax_code</x:v>
      </x:c>
      <x:c r="M43" s="207" t="str">
        <x:v>Employee-level НДФЛ/РСВ — заблокировано</x:v>
      </x:c>
      <x:c r="N43" s="207" t="str">
        <x:v>HR/Бухгалтерия</x:v>
      </x:c>
      <x:c r="O43" s="208" t="str">
        <x:v>Высокий без obligation/ENS ID</x:v>
      </x:c>
    </x:row>
    <x:row r="44">
      <x:c r="A44" s="206" t="str">
        <x:v>TAX-EDGE-040</x:v>
      </x:c>
      <x:c r="B44" s="207" t="str">
        <x:v>Налоги/ФОТ</x:v>
      </x:c>
      <x:c r="C44" s="207" t="str">
        <x:v>ЗП за май 2025.xlsx</x:v>
      </x:c>
      <x:c r="D44" s="207" t="str">
        <x:v>6-НДФЛ (с 2021 года) за 2025 г. (ДЕКОР ООО).pdf</x:v>
      </x:c>
      <x:c r="E44" s="207" t="str">
        <x:v>Payroll accrual ↔ tax form</x:v>
      </x:c>
      <x:c r="F44" s="207" t="str">
        <x:v>2025-05</x:v>
      </x:c>
      <x:c r="G44" s="207" t="str">
        <x:v>month/year aggregate</x:v>
      </x:c>
      <x:c r="H44" s="207" t="str">
        <x:v>Частично</x:v>
      </x:c>
      <x:c r="I44" s="207" t="str">
        <x:v>Частично</x:v>
      </x:c>
      <x:c r="J44" s="207" t="str">
        <x:v>Месячные файлы покрывают только часть года/периметра</x:v>
      </x:c>
      <x:c r="K44" s="207" t="str">
        <x:v>employee_id + income type + tax base</x:v>
      </x:c>
      <x:c r="L44" s="207" t="str">
        <x:v>employer_id + employee_id + accrual_period + tax_code</x:v>
      </x:c>
      <x:c r="M44" s="207" t="str">
        <x:v>Employee-level НДФЛ/РСВ — заблокировано</x:v>
      </x:c>
      <x:c r="N44" s="207" t="str">
        <x:v>HR/Бухгалтерия</x:v>
      </x:c>
      <x:c r="O44" s="208" t="str">
        <x:v>Высокий без obligation/ENS ID</x:v>
      </x:c>
    </x:row>
    <x:row r="45">
      <x:c r="A45" s="206" t="str">
        <x:v>TAX-EDGE-041</x:v>
      </x:c>
      <x:c r="B45" s="207" t="str">
        <x:v>Налоги/ФОТ</x:v>
      </x:c>
      <x:c r="C45" s="207" t="str">
        <x:v>ЗП за май 2025.xlsx</x:v>
      </x:c>
      <x:c r="D45" s="207" t="str">
        <x:v>Расчет по страховым взносам за 2025 г. (Янина Ю. Ф. ИП).pdf</x:v>
      </x:c>
      <x:c r="E45" s="207" t="str">
        <x:v>Payroll accrual ↔ tax form</x:v>
      </x:c>
      <x:c r="F45" s="207" t="str">
        <x:v>2025-05</x:v>
      </x:c>
      <x:c r="G45" s="207" t="str">
        <x:v>month/year aggregate</x:v>
      </x:c>
      <x:c r="H45" s="207" t="str">
        <x:v>Частично</x:v>
      </x:c>
      <x:c r="I45" s="207" t="str">
        <x:v>Частично</x:v>
      </x:c>
      <x:c r="J45" s="207" t="str">
        <x:v>Месячные файлы покрывают только часть года/периметра</x:v>
      </x:c>
      <x:c r="K45" s="207" t="str">
        <x:v>employee_id + income type + tax base</x:v>
      </x:c>
      <x:c r="L45" s="207" t="str">
        <x:v>employer_id + employee_id + accrual_period + tax_code</x:v>
      </x:c>
      <x:c r="M45" s="207" t="str">
        <x:v>Employee-level НДФЛ/РСВ — заблокировано</x:v>
      </x:c>
      <x:c r="N45" s="207" t="str">
        <x:v>HR/Бухгалтерия</x:v>
      </x:c>
      <x:c r="O45" s="208" t="str">
        <x:v>Высокий без obligation/ENS ID</x:v>
      </x:c>
    </x:row>
    <x:row r="46">
      <x:c r="A46" s="206" t="str">
        <x:v>TAX-EDGE-042</x:v>
      </x:c>
      <x:c r="B46" s="207" t="str">
        <x:v>Налоги/ФОТ</x:v>
      </x:c>
      <x:c r="C46" s="207" t="str">
        <x:v>ЗП за май 2025.xlsx</x:v>
      </x:c>
      <x:c r="D46" s="207" t="str">
        <x:v>Расчет по страховым взносам за 2025 г. (Янина Ю. Ф. ИП).pdf</x:v>
      </x:c>
      <x:c r="E46" s="207" t="str">
        <x:v>Payroll accrual ↔ tax form</x:v>
      </x:c>
      <x:c r="F46" s="207" t="str">
        <x:v>2025-05</x:v>
      </x:c>
      <x:c r="G46" s="207" t="str">
        <x:v>month/year aggregate</x:v>
      </x:c>
      <x:c r="H46" s="207" t="str">
        <x:v>Частично</x:v>
      </x:c>
      <x:c r="I46" s="207" t="str">
        <x:v>Частично</x:v>
      </x:c>
      <x:c r="J46" s="207" t="str">
        <x:v>Месячные файлы покрывают только часть года/периметра</x:v>
      </x:c>
      <x:c r="K46" s="207" t="str">
        <x:v>employee_id + income type + tax base</x:v>
      </x:c>
      <x:c r="L46" s="207" t="str">
        <x:v>employer_id + employee_id + accrual_period + tax_code</x:v>
      </x:c>
      <x:c r="M46" s="207" t="str">
        <x:v>Employee-level НДФЛ/РСВ — заблокировано</x:v>
      </x:c>
      <x:c r="N46" s="207" t="str">
        <x:v>HR/Бухгалтерия</x:v>
      </x:c>
      <x:c r="O46" s="208" t="str">
        <x:v>Высокий без obligation/ENS ID</x:v>
      </x:c>
    </x:row>
    <x:row r="47">
      <x:c r="A47" s="206" t="str">
        <x:v>TAX-EDGE-043</x:v>
      </x:c>
      <x:c r="B47" s="207" t="str">
        <x:v>Налоги/ФОТ</x:v>
      </x:c>
      <x:c r="C47" s="207" t="str">
        <x:v>ЗП за май 2025.xlsx</x:v>
      </x:c>
      <x:c r="D47" s="207" t="str">
        <x:v>Расчет по страховым взносам за 2025 г. (ДЕКОР ООО).pdf</x:v>
      </x:c>
      <x:c r="E47" s="207" t="str">
        <x:v>Payroll accrual ↔ tax form</x:v>
      </x:c>
      <x:c r="F47" s="207" t="str">
        <x:v>2025-05</x:v>
      </x:c>
      <x:c r="G47" s="207" t="str">
        <x:v>month/year aggregate</x:v>
      </x:c>
      <x:c r="H47" s="207" t="str">
        <x:v>Частично</x:v>
      </x:c>
      <x:c r="I47" s="207" t="str">
        <x:v>Частично</x:v>
      </x:c>
      <x:c r="J47" s="207" t="str">
        <x:v>Месячные файлы покрывают только часть года/периметра</x:v>
      </x:c>
      <x:c r="K47" s="207" t="str">
        <x:v>employee_id + income type + tax base</x:v>
      </x:c>
      <x:c r="L47" s="207" t="str">
        <x:v>employer_id + employee_id + accrual_period + tax_code</x:v>
      </x:c>
      <x:c r="M47" s="207" t="str">
        <x:v>Employee-level НДФЛ/РСВ — заблокировано</x:v>
      </x:c>
      <x:c r="N47" s="207" t="str">
        <x:v>HR/Бухгалтерия</x:v>
      </x:c>
      <x:c r="O47" s="208" t="str">
        <x:v>Высокий без obligation/ENS ID</x:v>
      </x:c>
    </x:row>
    <x:row r="48">
      <x:c r="A48" s="206" t="str">
        <x:v>TAX-EDGE-044</x:v>
      </x:c>
      <x:c r="B48" s="207" t="str">
        <x:v>Налоги/ФОТ</x:v>
      </x:c>
      <x:c r="C48" s="207" t="str">
        <x:v>ЗП за май 2025.xlsx</x:v>
      </x:c>
      <x:c r="D48" s="207" t="str">
        <x:v>Расчет по страховым взносам за 2025 г. (ДЕКОР ООО).pdf</x:v>
      </x:c>
      <x:c r="E48" s="207" t="str">
        <x:v>Payroll accrual ↔ tax form</x:v>
      </x:c>
      <x:c r="F48" s="207" t="str">
        <x:v>2025-05</x:v>
      </x:c>
      <x:c r="G48" s="207" t="str">
        <x:v>month/year aggregate</x:v>
      </x:c>
      <x:c r="H48" s="207" t="str">
        <x:v>Частично</x:v>
      </x:c>
      <x:c r="I48" s="207" t="str">
        <x:v>Частично</x:v>
      </x:c>
      <x:c r="J48" s="207" t="str">
        <x:v>Месячные файлы покрывают только часть года/периметра</x:v>
      </x:c>
      <x:c r="K48" s="207" t="str">
        <x:v>employee_id + income type + tax base</x:v>
      </x:c>
      <x:c r="L48" s="207" t="str">
        <x:v>employer_id + employee_id + accrual_period + tax_code</x:v>
      </x:c>
      <x:c r="M48" s="207" t="str">
        <x:v>Employee-level НДФЛ/РСВ — заблокировано</x:v>
      </x:c>
      <x:c r="N48" s="207" t="str">
        <x:v>HR/Бухгалтерия</x:v>
      </x:c>
      <x:c r="O48" s="208" t="str">
        <x:v>Высокий без obligation/ENS ID</x:v>
      </x:c>
    </x:row>
    <x:row r="49">
      <x:c r="A49" s="206" t="str">
        <x:v>TAX-EDGE-045</x:v>
      </x:c>
      <x:c r="B49" s="207" t="str">
        <x:v>Налоги/ФОТ</x:v>
      </x:c>
      <x:c r="C49" s="207" t="str">
        <x:v>ЗП за май 2026.xlsx</x:v>
      </x:c>
      <x:c r="D49" s="207" t="str">
        <x:v>ДДС 2026.xlxs.xlsx</x:v>
      </x:c>
      <x:c r="E49" s="207" t="str">
        <x:v>Payroll calculation ↔ ДДС payroll cash</x:v>
      </x:c>
      <x:c r="F49" s="207" t="str">
        <x:v>2026-05</x:v>
      </x:c>
      <x:c r="G49" s="207" t="str">
        <x:v>month + displayed control total</x:v>
      </x:c>
      <x:c r="H49" s="207" t="str">
        <x:v>Не проверено построчно</x:v>
      </x:c>
      <x:c r="I49" s="207" t="str">
        <x:v>Частично</x:v>
      </x:c>
      <x:c r="J49" s="207" t="str">
        <x:v>Файл имеется, но batch-level сверка не выполнена</x:v>
      </x:c>
      <x:c r="K49" s="207" t="str">
        <x:v>payroll_batch_id / payment_type</x:v>
      </x:c>
      <x:c r="L49" s="207" t="str">
        <x:v>payroll_batch_id + payment_date + employer_id</x:v>
      </x:c>
      <x:c r="M49" s="207" t="str">
        <x:v>Ежемесячная выплата ФОТ</x:v>
      </x:c>
      <x:c r="N49" s="207" t="str">
        <x:v>HR/Финансы</x:v>
      </x:c>
      <x:c r="O49" s="208" t="str">
        <x:v>Высокий без obligation/ENS ID</x:v>
      </x:c>
    </x:row>
    <x:row r="50">
      <x:c r="A50" s="206" t="str">
        <x:v>TAX-EDGE-046</x:v>
      </x:c>
      <x:c r="B50" s="207" t="str">
        <x:v>Налоги/ФОТ</x:v>
      </x:c>
      <x:c r="C50" s="207" t="str">
        <x:v>ЗП за май 2026.xlsx</x:v>
      </x:c>
      <x:c r="D50" s="207" t="str">
        <x:v>VTB_BankStatement_40802810500000006196_01.01.2024-22.06.2026_417014.pdf</x:v>
      </x:c>
      <x:c r="E50" s="207" t="str">
        <x:v>Payroll rows ↔ bank registry</x:v>
      </x:c>
      <x:c r="F50" s="207" t="str">
        <x:v>2026-05</x:v>
      </x:c>
      <x:c r="G50" s="207" t="str">
        <x:v>date + amount + account</x:v>
      </x:c>
      <x:c r="H50" s="207" t="str">
        <x:v>Не проверено построчно</x:v>
      </x:c>
      <x:c r="I50" s="207" t="str">
        <x:v>Частично</x:v>
      </x:c>
      <x:c r="J50" s="207" t="str">
        <x:v>Файл имеется, но batch-level сверка не выполнена</x:v>
      </x:c>
      <x:c r="K50" s="207" t="str">
        <x:v>employee_id / payroll_batch_id</x:v>
      </x:c>
      <x:c r="L50" s="207" t="str">
        <x:v>employee_id + payroll_batch_id + bank_payment_id</x:v>
      </x:c>
      <x:c r="M50" s="207" t="str">
        <x:v>Employee-level выплата ФОТ</x:v>
      </x:c>
      <x:c r="N50" s="207" t="str">
        <x:v>HR/Финансы</x:v>
      </x:c>
      <x:c r="O50" s="208" t="str">
        <x:v>Высокий без obligation/ENS ID</x:v>
      </x:c>
    </x:row>
    <x:row r="51">
      <x:c r="A51" s="206" t="str">
        <x:v>TAX-EDGE-047</x:v>
      </x:c>
      <x:c r="B51" s="207" t="str">
        <x:v>Налоги/ФОТ</x:v>
      </x:c>
      <x:c r="C51" s="207" t="str">
        <x:v>ЗП за май 2026.xlsx</x:v>
      </x:c>
      <x:c r="D51" s="207" t="str">
        <x:v>VTB_BankStatement_40702810804000008482_01.01.2024-22.06.2026_376277.pdf</x:v>
      </x:c>
      <x:c r="E51" s="207" t="str">
        <x:v>Payroll rows ↔ bank registry</x:v>
      </x:c>
      <x:c r="F51" s="207" t="str">
        <x:v>2026-05</x:v>
      </x:c>
      <x:c r="G51" s="207" t="str">
        <x:v>date + amount + account</x:v>
      </x:c>
      <x:c r="H51" s="207" t="str">
        <x:v>Не проверено построчно</x:v>
      </x:c>
      <x:c r="I51" s="207" t="str">
        <x:v>Частично</x:v>
      </x:c>
      <x:c r="J51" s="207" t="str">
        <x:v>Файл имеется, но batch-level сверка не выполнена</x:v>
      </x:c>
      <x:c r="K51" s="207" t="str">
        <x:v>employee_id / payroll_batch_id</x:v>
      </x:c>
      <x:c r="L51" s="207" t="str">
        <x:v>employee_id + payroll_batch_id + bank_payment_id</x:v>
      </x:c>
      <x:c r="M51" s="207" t="str">
        <x:v>Employee-level выплата ФОТ</x:v>
      </x:c>
      <x:c r="N51" s="207" t="str">
        <x:v>HR/Финансы</x:v>
      </x:c>
      <x:c r="O51" s="208" t="str">
        <x:v>Высокий без obligation/ENS ID</x:v>
      </x:c>
    </x:row>
    <x:row r="52">
      <x:c r="A52" s="206" t="str">
        <x:v>TAX-EDGE-048</x:v>
      </x:c>
      <x:c r="B52" s="207" t="str">
        <x:v>Налоги/ФОТ</x:v>
      </x:c>
      <x:c r="C52" s="207" t="str">
        <x:v>ЗП за май 2026.xlsx</x:v>
      </x:c>
      <x:c r="D52" s="207" t="str">
        <x:v>Расчет по страховым взносам за 1 квартал 2026 г. (Янина Ю. Ф. ИП).pdf</x:v>
      </x:c>
      <x:c r="E52" s="207" t="str">
        <x:v>Payroll accrual ↔ tax form</x:v>
      </x:c>
      <x:c r="F52" s="207" t="str">
        <x:v>2026-05</x:v>
      </x:c>
      <x:c r="G52" s="207" t="str">
        <x:v>month/year aggregate</x:v>
      </x:c>
      <x:c r="H52" s="207" t="str">
        <x:v>Частично</x:v>
      </x:c>
      <x:c r="I52" s="207" t="str">
        <x:v>Частично</x:v>
      </x:c>
      <x:c r="J52" s="207" t="str">
        <x:v>Месячные файлы покрывают только часть года/периметра</x:v>
      </x:c>
      <x:c r="K52" s="207" t="str">
        <x:v>employee_id + income type + tax base</x:v>
      </x:c>
      <x:c r="L52" s="207" t="str">
        <x:v>employer_id + employee_id + accrual_period + tax_code</x:v>
      </x:c>
      <x:c r="M52" s="207" t="str">
        <x:v>Employee-level НДФЛ/РСВ — заблокировано</x:v>
      </x:c>
      <x:c r="N52" s="207" t="str">
        <x:v>HR/Бухгалтерия</x:v>
      </x:c>
      <x:c r="O52" s="208" t="str">
        <x:v>Высокий без obligation/ENS ID</x:v>
      </x:c>
    </x:row>
    <x:row r="53">
      <x:c r="A53" s="206" t="str">
        <x:v>TAX-EDGE-049</x:v>
      </x:c>
      <x:c r="B53" s="207" t="str">
        <x:v>Налоги/ФОТ</x:v>
      </x:c>
      <x:c r="C53" s="207" t="str">
        <x:v>ЗП за май 2026.xlsx</x:v>
      </x:c>
      <x:c r="D53" s="207" t="str">
        <x:v>Расчет по страховым взносам за 1 квартал 2026 г. (Янина Ю. Ф. ИП).pdf</x:v>
      </x:c>
      <x:c r="E53" s="207" t="str">
        <x:v>Payroll accrual ↔ tax form</x:v>
      </x:c>
      <x:c r="F53" s="207" t="str">
        <x:v>2026-05</x:v>
      </x:c>
      <x:c r="G53" s="207" t="str">
        <x:v>month/year aggregate</x:v>
      </x:c>
      <x:c r="H53" s="207" t="str">
        <x:v>Частично</x:v>
      </x:c>
      <x:c r="I53" s="207" t="str">
        <x:v>Частично</x:v>
      </x:c>
      <x:c r="J53" s="207" t="str">
        <x:v>Месячные файлы покрывают только часть года/периметра</x:v>
      </x:c>
      <x:c r="K53" s="207" t="str">
        <x:v>employee_id + income type + tax base</x:v>
      </x:c>
      <x:c r="L53" s="207" t="str">
        <x:v>employer_id + employee_id + accrual_period + tax_code</x:v>
      </x:c>
      <x:c r="M53" s="207" t="str">
        <x:v>Employee-level НДФЛ/РСВ — заблокировано</x:v>
      </x:c>
      <x:c r="N53" s="207" t="str">
        <x:v>HR/Бухгалтерия</x:v>
      </x:c>
      <x:c r="O53" s="208" t="str">
        <x:v>Высокий без obligation/ENS ID</x:v>
      </x:c>
    </x:row>
    <x:row r="54">
      <x:c r="A54" s="206" t="str">
        <x:v>TAX-EDGE-050</x:v>
      </x:c>
      <x:c r="B54" s="207" t="str">
        <x:v>Налоги/ФОТ</x:v>
      </x:c>
      <x:c r="C54" s="207" t="str">
        <x:v>ЗП за март 2025.xlsx</x:v>
      </x:c>
      <x:c r="D54" s="207" t="str">
        <x:v>ДДС 2025.xlsx</x:v>
      </x:c>
      <x:c r="E54" s="207" t="str">
        <x:v>Payroll calculation ↔ ДДС payroll cash</x:v>
      </x:c>
      <x:c r="F54" s="207" t="str">
        <x:v>2025-03</x:v>
      </x:c>
      <x:c r="G54" s="207" t="str">
        <x:v>month + displayed control total</x:v>
      </x:c>
      <x:c r="H54" s="207" t="str">
        <x:v>Подтверждено</x:v>
      </x:c>
      <x:c r="I54" s="207" t="str">
        <x:v>Подтверждено</x:v>
      </x:c>
      <x:c r="J54" s="207" t="str">
        <x:v>Сверка восстановлена до нулевой агрегатной разницы</x:v>
      </x:c>
      <x:c r="K54" s="207" t="str">
        <x:v>payroll_batch_id / payment_type</x:v>
      </x:c>
      <x:c r="L54" s="207" t="str">
        <x:v>payroll_batch_id + payment_date + employer_id</x:v>
      </x:c>
      <x:c r="M54" s="207" t="str">
        <x:v>Ежемесячная выплата ФОТ</x:v>
      </x:c>
      <x:c r="N54" s="207" t="str">
        <x:v>HR/Финансы</x:v>
      </x:c>
      <x:c r="O54" s="208" t="str">
        <x:v>Высокий без obligation/ENS ID</x:v>
      </x:c>
    </x:row>
    <x:row r="55">
      <x:c r="A55" s="206" t="str">
        <x:v>TAX-EDGE-051</x:v>
      </x:c>
      <x:c r="B55" s="207" t="str">
        <x:v>Налоги/ФОТ</x:v>
      </x:c>
      <x:c r="C55" s="207" t="str">
        <x:v>ЗП за март 2025.xlsx</x:v>
      </x:c>
      <x:c r="D55" s="207" t="str">
        <x:v>VTB_BankStatement_40802810500000006196_01.01.2024-22.06.2026_417014.pdf</x:v>
      </x:c>
      <x:c r="E55" s="207" t="str">
        <x:v>Payroll rows ↔ bank registry</x:v>
      </x:c>
      <x:c r="F55" s="207" t="str">
        <x:v>2025-03</x:v>
      </x:c>
      <x:c r="G55" s="207" t="str">
        <x:v>date + amount + account</x:v>
      </x:c>
      <x:c r="H55" s="207" t="str">
        <x:v>Подтверждено</x:v>
      </x:c>
      <x:c r="I55" s="207" t="str">
        <x:v>Подтверждено</x:v>
      </x:c>
      <x:c r="J55" s="207" t="str">
        <x:v>Сверка восстановлена до нулевой агрегатной разницы</x:v>
      </x:c>
      <x:c r="K55" s="207" t="str">
        <x:v>employee_id / payroll_batch_id</x:v>
      </x:c>
      <x:c r="L55" s="207" t="str">
        <x:v>employee_id + payroll_batch_id + bank_payment_id</x:v>
      </x:c>
      <x:c r="M55" s="207" t="str">
        <x:v>Employee-level выплата ФОТ</x:v>
      </x:c>
      <x:c r="N55" s="207" t="str">
        <x:v>HR/Финансы</x:v>
      </x:c>
      <x:c r="O55" s="208" t="str">
        <x:v>Высокий без obligation/ENS ID</x:v>
      </x:c>
    </x:row>
    <x:row r="56">
      <x:c r="A56" s="206" t="str">
        <x:v>TAX-EDGE-052</x:v>
      </x:c>
      <x:c r="B56" s="207" t="str">
        <x:v>Налоги/ФОТ</x:v>
      </x:c>
      <x:c r="C56" s="207" t="str">
        <x:v>ЗП за март 2025.xlsx</x:v>
      </x:c>
      <x:c r="D56" s="207" t="str">
        <x:v>VTB_BankStatement_40702810804000008482_01.01.2024-22.06.2026_376277.pdf</x:v>
      </x:c>
      <x:c r="E56" s="207" t="str">
        <x:v>Payroll rows ↔ bank registry</x:v>
      </x:c>
      <x:c r="F56" s="207" t="str">
        <x:v>2025-03</x:v>
      </x:c>
      <x:c r="G56" s="207" t="str">
        <x:v>date + amount + account</x:v>
      </x:c>
      <x:c r="H56" s="207" t="str">
        <x:v>Подтверждено</x:v>
      </x:c>
      <x:c r="I56" s="207" t="str">
        <x:v>Подтверждено</x:v>
      </x:c>
      <x:c r="J56" s="207" t="str">
        <x:v>Сверка восстановлена до нулевой агрегатной разницы</x:v>
      </x:c>
      <x:c r="K56" s="207" t="str">
        <x:v>employee_id / payroll_batch_id</x:v>
      </x:c>
      <x:c r="L56" s="207" t="str">
        <x:v>employee_id + payroll_batch_id + bank_payment_id</x:v>
      </x:c>
      <x:c r="M56" s="207" t="str">
        <x:v>Employee-level выплата ФОТ</x:v>
      </x:c>
      <x:c r="N56" s="207" t="str">
        <x:v>HR/Финансы</x:v>
      </x:c>
      <x:c r="O56" s="208" t="str">
        <x:v>Высокий без obligation/ENS ID</x:v>
      </x:c>
    </x:row>
    <x:row r="57">
      <x:c r="A57" s="206" t="str">
        <x:v>TAX-EDGE-053</x:v>
      </x:c>
      <x:c r="B57" s="207" t="str">
        <x:v>Налоги/ФОТ</x:v>
      </x:c>
      <x:c r="C57" s="207" t="str">
        <x:v>ЗП за март 2025.xlsx</x:v>
      </x:c>
      <x:c r="D57" s="207" t="str">
        <x:v>6-НДФЛ (с 2021 года) за 2025 г. (Янина Ю. Ф. ИП).pdf</x:v>
      </x:c>
      <x:c r="E57" s="207" t="str">
        <x:v>Payroll accrual ↔ tax form</x:v>
      </x:c>
      <x:c r="F57" s="207" t="str">
        <x:v>2025-03</x:v>
      </x:c>
      <x:c r="G57" s="207" t="str">
        <x:v>month/year aggregate</x:v>
      </x:c>
      <x:c r="H57" s="207" t="str">
        <x:v>Частично</x:v>
      </x:c>
      <x:c r="I57" s="207" t="str">
        <x:v>Частично</x:v>
      </x:c>
      <x:c r="J57" s="207" t="str">
        <x:v>Месячные файлы покрывают только часть года/периметра</x:v>
      </x:c>
      <x:c r="K57" s="207" t="str">
        <x:v>employee_id + income type + tax base</x:v>
      </x:c>
      <x:c r="L57" s="207" t="str">
        <x:v>employer_id + employee_id + accrual_period + tax_code</x:v>
      </x:c>
      <x:c r="M57" s="207" t="str">
        <x:v>Employee-level НДФЛ/РСВ — заблокировано</x:v>
      </x:c>
      <x:c r="N57" s="207" t="str">
        <x:v>HR/Бухгалтерия</x:v>
      </x:c>
      <x:c r="O57" s="208" t="str">
        <x:v>Высокий без obligation/ENS ID</x:v>
      </x:c>
    </x:row>
    <x:row r="58">
      <x:c r="A58" s="206" t="str">
        <x:v>TAX-EDGE-054</x:v>
      </x:c>
      <x:c r="B58" s="207" t="str">
        <x:v>Налоги/ФОТ</x:v>
      </x:c>
      <x:c r="C58" s="207" t="str">
        <x:v>ЗП за март 2025.xlsx</x:v>
      </x:c>
      <x:c r="D58" s="207" t="str">
        <x:v>6-НДФЛ (с 2021 года) за 2025 г. (ДЕКОР ООО).pdf</x:v>
      </x:c>
      <x:c r="E58" s="207" t="str">
        <x:v>Payroll accrual ↔ tax form</x:v>
      </x:c>
      <x:c r="F58" s="207" t="str">
        <x:v>2025-03</x:v>
      </x:c>
      <x:c r="G58" s="207" t="str">
        <x:v>month/year aggregate</x:v>
      </x:c>
      <x:c r="H58" s="207" t="str">
        <x:v>Частично</x:v>
      </x:c>
      <x:c r="I58" s="207" t="str">
        <x:v>Частично</x:v>
      </x:c>
      <x:c r="J58" s="207" t="str">
        <x:v>Месячные файлы покрывают только часть года/периметра</x:v>
      </x:c>
      <x:c r="K58" s="207" t="str">
        <x:v>employee_id + income type + tax base</x:v>
      </x:c>
      <x:c r="L58" s="207" t="str">
        <x:v>employer_id + employee_id + accrual_period + tax_code</x:v>
      </x:c>
      <x:c r="M58" s="207" t="str">
        <x:v>Employee-level НДФЛ/РСВ — заблокировано</x:v>
      </x:c>
      <x:c r="N58" s="207" t="str">
        <x:v>HR/Бухгалтерия</x:v>
      </x:c>
      <x:c r="O58" s="208" t="str">
        <x:v>Высокий без obligation/ENS ID</x:v>
      </x:c>
    </x:row>
    <x:row r="59">
      <x:c r="A59" s="206" t="str">
        <x:v>TAX-EDGE-055</x:v>
      </x:c>
      <x:c r="B59" s="207" t="str">
        <x:v>Налоги/ФОТ</x:v>
      </x:c>
      <x:c r="C59" s="207" t="str">
        <x:v>ЗП за март 2025.xlsx</x:v>
      </x:c>
      <x:c r="D59" s="207" t="str">
        <x:v>Расчет по страховым взносам за 2025 г. (Янина Ю. Ф. ИП).pdf</x:v>
      </x:c>
      <x:c r="E59" s="207" t="str">
        <x:v>Payroll accrual ↔ tax form</x:v>
      </x:c>
      <x:c r="F59" s="207" t="str">
        <x:v>2025-03</x:v>
      </x:c>
      <x:c r="G59" s="207" t="str">
        <x:v>month/year aggregate</x:v>
      </x:c>
      <x:c r="H59" s="207" t="str">
        <x:v>Частично</x:v>
      </x:c>
      <x:c r="I59" s="207" t="str">
        <x:v>Частично</x:v>
      </x:c>
      <x:c r="J59" s="207" t="str">
        <x:v>Месячные файлы покрывают только часть года/периметра</x:v>
      </x:c>
      <x:c r="K59" s="207" t="str">
        <x:v>employee_id + income type + tax base</x:v>
      </x:c>
      <x:c r="L59" s="207" t="str">
        <x:v>employer_id + employee_id + accrual_period + tax_code</x:v>
      </x:c>
      <x:c r="M59" s="207" t="str">
        <x:v>Employee-level НДФЛ/РСВ — заблокировано</x:v>
      </x:c>
      <x:c r="N59" s="207" t="str">
        <x:v>HR/Бухгалтерия</x:v>
      </x:c>
      <x:c r="O59" s="208" t="str">
        <x:v>Высокий без obligation/ENS ID</x:v>
      </x:c>
    </x:row>
    <x:row r="60">
      <x:c r="A60" s="206" t="str">
        <x:v>TAX-EDGE-056</x:v>
      </x:c>
      <x:c r="B60" s="207" t="str">
        <x:v>Налоги/ФОТ</x:v>
      </x:c>
      <x:c r="C60" s="207" t="str">
        <x:v>ЗП за март 2025.xlsx</x:v>
      </x:c>
      <x:c r="D60" s="207" t="str">
        <x:v>Расчет по страховым взносам за 2025 г. (Янина Ю. Ф. ИП).pdf</x:v>
      </x:c>
      <x:c r="E60" s="207" t="str">
        <x:v>Payroll accrual ↔ tax form</x:v>
      </x:c>
      <x:c r="F60" s="207" t="str">
        <x:v>2025-03</x:v>
      </x:c>
      <x:c r="G60" s="207" t="str">
        <x:v>month/year aggregate</x:v>
      </x:c>
      <x:c r="H60" s="207" t="str">
        <x:v>Частично</x:v>
      </x:c>
      <x:c r="I60" s="207" t="str">
        <x:v>Частично</x:v>
      </x:c>
      <x:c r="J60" s="207" t="str">
        <x:v>Месячные файлы покрывают только часть года/периметра</x:v>
      </x:c>
      <x:c r="K60" s="207" t="str">
        <x:v>employee_id + income type + tax base</x:v>
      </x:c>
      <x:c r="L60" s="207" t="str">
        <x:v>employer_id + employee_id + accrual_period + tax_code</x:v>
      </x:c>
      <x:c r="M60" s="207" t="str">
        <x:v>Employee-level НДФЛ/РСВ — заблокировано</x:v>
      </x:c>
      <x:c r="N60" s="207" t="str">
        <x:v>HR/Бухгалтерия</x:v>
      </x:c>
      <x:c r="O60" s="208" t="str">
        <x:v>Высокий без obligation/ENS ID</x:v>
      </x:c>
    </x:row>
    <x:row r="61">
      <x:c r="A61" s="206" t="str">
        <x:v>TAX-EDGE-057</x:v>
      </x:c>
      <x:c r="B61" s="207" t="str">
        <x:v>Налоги/ФОТ</x:v>
      </x:c>
      <x:c r="C61" s="207" t="str">
        <x:v>ЗП за март 2025.xlsx</x:v>
      </x:c>
      <x:c r="D61" s="207" t="str">
        <x:v>Расчет по страховым взносам за 2025 г. (ДЕКОР ООО).pdf</x:v>
      </x:c>
      <x:c r="E61" s="207" t="str">
        <x:v>Payroll accrual ↔ tax form</x:v>
      </x:c>
      <x:c r="F61" s="207" t="str">
        <x:v>2025-03</x:v>
      </x:c>
      <x:c r="G61" s="207" t="str">
        <x:v>month/year aggregate</x:v>
      </x:c>
      <x:c r="H61" s="207" t="str">
        <x:v>Частично</x:v>
      </x:c>
      <x:c r="I61" s="207" t="str">
        <x:v>Частично</x:v>
      </x:c>
      <x:c r="J61" s="207" t="str">
        <x:v>Месячные файлы покрывают только часть года/периметра</x:v>
      </x:c>
      <x:c r="K61" s="207" t="str">
        <x:v>employee_id + income type + tax base</x:v>
      </x:c>
      <x:c r="L61" s="207" t="str">
        <x:v>employer_id + employee_id + accrual_period + tax_code</x:v>
      </x:c>
      <x:c r="M61" s="207" t="str">
        <x:v>Employee-level НДФЛ/РСВ — заблокировано</x:v>
      </x:c>
      <x:c r="N61" s="207" t="str">
        <x:v>HR/Бухгалтерия</x:v>
      </x:c>
      <x:c r="O61" s="208" t="str">
        <x:v>Высокий без obligation/ENS ID</x:v>
      </x:c>
    </x:row>
    <x:row r="62">
      <x:c r="A62" s="206" t="str">
        <x:v>TAX-EDGE-058</x:v>
      </x:c>
      <x:c r="B62" s="207" t="str">
        <x:v>Налоги/ФОТ</x:v>
      </x:c>
      <x:c r="C62" s="207" t="str">
        <x:v>ЗП за март 2025.xlsx</x:v>
      </x:c>
      <x:c r="D62" s="207" t="str">
        <x:v>Расчет по страховым взносам за 2025 г. (ДЕКОР ООО).pdf</x:v>
      </x:c>
      <x:c r="E62" s="207" t="str">
        <x:v>Payroll accrual ↔ tax form</x:v>
      </x:c>
      <x:c r="F62" s="207" t="str">
        <x:v>2025-03</x:v>
      </x:c>
      <x:c r="G62" s="207" t="str">
        <x:v>month/year aggregate</x:v>
      </x:c>
      <x:c r="H62" s="207" t="str">
        <x:v>Частично</x:v>
      </x:c>
      <x:c r="I62" s="207" t="str">
        <x:v>Частично</x:v>
      </x:c>
      <x:c r="J62" s="207" t="str">
        <x:v>Месячные файлы покрывают только часть года/периметра</x:v>
      </x:c>
      <x:c r="K62" s="207" t="str">
        <x:v>employee_id + income type + tax base</x:v>
      </x:c>
      <x:c r="L62" s="207" t="str">
        <x:v>employer_id + employee_id + accrual_period + tax_code</x:v>
      </x:c>
      <x:c r="M62" s="207" t="str">
        <x:v>Employee-level НДФЛ/РСВ — заблокировано</x:v>
      </x:c>
      <x:c r="N62" s="207" t="str">
        <x:v>HR/Бухгалтерия</x:v>
      </x:c>
      <x:c r="O62" s="208" t="str">
        <x:v>Высокий без obligation/ENS ID</x:v>
      </x:c>
    </x:row>
    <x:row r="63">
      <x:c r="A63" s="206" t="str">
        <x:v>TAX-EDGE-059</x:v>
      </x:c>
      <x:c r="B63" s="207" t="str">
        <x:v>Налоги/ФОТ</x:v>
      </x:c>
      <x:c r="C63" s="207" t="str">
        <x:v>ЗП за март 2026.xlsx</x:v>
      </x:c>
      <x:c r="D63" s="207" t="str">
        <x:v>ДДС 2026.xlxs.xlsx</x:v>
      </x:c>
      <x:c r="E63" s="207" t="str">
        <x:v>Payroll calculation ↔ ДДС payroll cash</x:v>
      </x:c>
      <x:c r="F63" s="207" t="str">
        <x:v>2026-03</x:v>
      </x:c>
      <x:c r="G63" s="207" t="str">
        <x:v>month + displayed control total</x:v>
      </x:c>
      <x:c r="H63" s="207" t="str">
        <x:v>Не проверено построчно</x:v>
      </x:c>
      <x:c r="I63" s="207" t="str">
        <x:v>Частично</x:v>
      </x:c>
      <x:c r="J63" s="207" t="str">
        <x:v>Файл имеется, но batch-level сверка не выполнена</x:v>
      </x:c>
      <x:c r="K63" s="207" t="str">
        <x:v>payroll_batch_id / payment_type</x:v>
      </x:c>
      <x:c r="L63" s="207" t="str">
        <x:v>payroll_batch_id + payment_date + employer_id</x:v>
      </x:c>
      <x:c r="M63" s="207" t="str">
        <x:v>Ежемесячная выплата ФОТ</x:v>
      </x:c>
      <x:c r="N63" s="207" t="str">
        <x:v>HR/Финансы</x:v>
      </x:c>
      <x:c r="O63" s="208" t="str">
        <x:v>Высокий без obligation/ENS ID</x:v>
      </x:c>
    </x:row>
    <x:row r="64">
      <x:c r="A64" s="206" t="str">
        <x:v>TAX-EDGE-060</x:v>
      </x:c>
      <x:c r="B64" s="207" t="str">
        <x:v>Налоги/ФОТ</x:v>
      </x:c>
      <x:c r="C64" s="207" t="str">
        <x:v>ЗП за март 2026.xlsx</x:v>
      </x:c>
      <x:c r="D64" s="207" t="str">
        <x:v>VTB_BankStatement_40802810500000006196_01.01.2024-22.06.2026_417014.pdf</x:v>
      </x:c>
      <x:c r="E64" s="207" t="str">
        <x:v>Payroll rows ↔ bank registry</x:v>
      </x:c>
      <x:c r="F64" s="207" t="str">
        <x:v>2026-03</x:v>
      </x:c>
      <x:c r="G64" s="207" t="str">
        <x:v>date + amount + account</x:v>
      </x:c>
      <x:c r="H64" s="207" t="str">
        <x:v>Не проверено построчно</x:v>
      </x:c>
      <x:c r="I64" s="207" t="str">
        <x:v>Частично</x:v>
      </x:c>
      <x:c r="J64" s="207" t="str">
        <x:v>Файл имеется, но batch-level сверка не выполнена</x:v>
      </x:c>
      <x:c r="K64" s="207" t="str">
        <x:v>employee_id / payroll_batch_id</x:v>
      </x:c>
      <x:c r="L64" s="207" t="str">
        <x:v>employee_id + payroll_batch_id + bank_payment_id</x:v>
      </x:c>
      <x:c r="M64" s="207" t="str">
        <x:v>Employee-level выплата ФОТ</x:v>
      </x:c>
      <x:c r="N64" s="207" t="str">
        <x:v>HR/Финансы</x:v>
      </x:c>
      <x:c r="O64" s="208" t="str">
        <x:v>Высокий без obligation/ENS ID</x:v>
      </x:c>
    </x:row>
    <x:row r="65">
      <x:c r="A65" s="206" t="str">
        <x:v>TAX-EDGE-061</x:v>
      </x:c>
      <x:c r="B65" s="207" t="str">
        <x:v>Налоги/ФОТ</x:v>
      </x:c>
      <x:c r="C65" s="207" t="str">
        <x:v>ЗП за март 2026.xlsx</x:v>
      </x:c>
      <x:c r="D65" s="207" t="str">
        <x:v>VTB_BankStatement_40702810804000008482_01.01.2024-22.06.2026_376277.pdf</x:v>
      </x:c>
      <x:c r="E65" s="207" t="str">
        <x:v>Payroll rows ↔ bank registry</x:v>
      </x:c>
      <x:c r="F65" s="207" t="str">
        <x:v>2026-03</x:v>
      </x:c>
      <x:c r="G65" s="207" t="str">
        <x:v>date + amount + account</x:v>
      </x:c>
      <x:c r="H65" s="207" t="str">
        <x:v>Не проверено построчно</x:v>
      </x:c>
      <x:c r="I65" s="207" t="str">
        <x:v>Частично</x:v>
      </x:c>
      <x:c r="J65" s="207" t="str">
        <x:v>Файл имеется, но batch-level сверка не выполнена</x:v>
      </x:c>
      <x:c r="K65" s="207" t="str">
        <x:v>employee_id / payroll_batch_id</x:v>
      </x:c>
      <x:c r="L65" s="207" t="str">
        <x:v>employee_id + payroll_batch_id + bank_payment_id</x:v>
      </x:c>
      <x:c r="M65" s="207" t="str">
        <x:v>Employee-level выплата ФОТ</x:v>
      </x:c>
      <x:c r="N65" s="207" t="str">
        <x:v>HR/Финансы</x:v>
      </x:c>
      <x:c r="O65" s="208" t="str">
        <x:v>Высокий без obligation/ENS ID</x:v>
      </x:c>
    </x:row>
    <x:row r="66">
      <x:c r="A66" s="206" t="str">
        <x:v>TAX-EDGE-062</x:v>
      </x:c>
      <x:c r="B66" s="207" t="str">
        <x:v>Налоги/ФОТ</x:v>
      </x:c>
      <x:c r="C66" s="207" t="str">
        <x:v>ЗП за март 2026.xlsx</x:v>
      </x:c>
      <x:c r="D66" s="207" t="str">
        <x:v>Расчет по страховым взносам за 1 квартал 2026 г. (Янина Ю. Ф. ИП).pdf</x:v>
      </x:c>
      <x:c r="E66" s="207" t="str">
        <x:v>Payroll accrual ↔ tax form</x:v>
      </x:c>
      <x:c r="F66" s="207" t="str">
        <x:v>2026-03</x:v>
      </x:c>
      <x:c r="G66" s="207" t="str">
        <x:v>month/year aggregate</x:v>
      </x:c>
      <x:c r="H66" s="207" t="str">
        <x:v>Частично</x:v>
      </x:c>
      <x:c r="I66" s="207" t="str">
        <x:v>Частично</x:v>
      </x:c>
      <x:c r="J66" s="207" t="str">
        <x:v>Месячные файлы покрывают только часть года/периметра</x:v>
      </x:c>
      <x:c r="K66" s="207" t="str">
        <x:v>employee_id + income type + tax base</x:v>
      </x:c>
      <x:c r="L66" s="207" t="str">
        <x:v>employer_id + employee_id + accrual_period + tax_code</x:v>
      </x:c>
      <x:c r="M66" s="207" t="str">
        <x:v>Employee-level НДФЛ/РСВ — заблокировано</x:v>
      </x:c>
      <x:c r="N66" s="207" t="str">
        <x:v>HR/Бухгалтерия</x:v>
      </x:c>
      <x:c r="O66" s="208" t="str">
        <x:v>Высокий без obligation/ENS ID</x:v>
      </x:c>
    </x:row>
    <x:row r="67">
      <x:c r="A67" s="206" t="str">
        <x:v>TAX-EDGE-063</x:v>
      </x:c>
      <x:c r="B67" s="207" t="str">
        <x:v>Налоги/ФОТ</x:v>
      </x:c>
      <x:c r="C67" s="207" t="str">
        <x:v>ЗП за март 2026.xlsx</x:v>
      </x:c>
      <x:c r="D67" s="207" t="str">
        <x:v>Расчет по страховым взносам за 1 квартал 2026 г. (Янина Ю. Ф. ИП).pdf</x:v>
      </x:c>
      <x:c r="E67" s="207" t="str">
        <x:v>Payroll accrual ↔ tax form</x:v>
      </x:c>
      <x:c r="F67" s="207" t="str">
        <x:v>2026-03</x:v>
      </x:c>
      <x:c r="G67" s="207" t="str">
        <x:v>month/year aggregate</x:v>
      </x:c>
      <x:c r="H67" s="207" t="str">
        <x:v>Частично</x:v>
      </x:c>
      <x:c r="I67" s="207" t="str">
        <x:v>Частично</x:v>
      </x:c>
      <x:c r="J67" s="207" t="str">
        <x:v>Месячные файлы покрывают только часть года/периметра</x:v>
      </x:c>
      <x:c r="K67" s="207" t="str">
        <x:v>employee_id + income type + tax base</x:v>
      </x:c>
      <x:c r="L67" s="207" t="str">
        <x:v>employer_id + employee_id + accrual_period + tax_code</x:v>
      </x:c>
      <x:c r="M67" s="207" t="str">
        <x:v>Employee-level НДФЛ/РСВ — заблокировано</x:v>
      </x:c>
      <x:c r="N67" s="207" t="str">
        <x:v>HR/Бухгалтерия</x:v>
      </x:c>
      <x:c r="O67" s="208" t="str">
        <x:v>Высокий без obligation/ENS ID</x:v>
      </x:c>
    </x:row>
    <x:row r="68">
      <x:c r="A68" s="206" t="str">
        <x:v>TAX-EDGE-064</x:v>
      </x:c>
      <x:c r="B68" s="207" t="str">
        <x:v>Налоги/ФОТ</x:v>
      </x:c>
      <x:c r="C68" s="207" t="str">
        <x:v>ЗП за февраль 2025.xlsx</x:v>
      </x:c>
      <x:c r="D68" s="207" t="str">
        <x:v>ДДС 2025.xlsx</x:v>
      </x:c>
      <x:c r="E68" s="207" t="str">
        <x:v>Payroll calculation ↔ ДДС payroll cash</x:v>
      </x:c>
      <x:c r="F68" s="207" t="str">
        <x:v>2025-02</x:v>
      </x:c>
      <x:c r="G68" s="207" t="str">
        <x:v>month + displayed control total</x:v>
      </x:c>
      <x:c r="H68" s="207" t="str">
        <x:v>Не проверено построчно</x:v>
      </x:c>
      <x:c r="I68" s="207" t="str">
        <x:v>Частично</x:v>
      </x:c>
      <x:c r="J68" s="207" t="str">
        <x:v>Файл имеется, но batch-level сверка не выполнена</x:v>
      </x:c>
      <x:c r="K68" s="207" t="str">
        <x:v>payroll_batch_id / payment_type</x:v>
      </x:c>
      <x:c r="L68" s="207" t="str">
        <x:v>payroll_batch_id + payment_date + employer_id</x:v>
      </x:c>
      <x:c r="M68" s="207" t="str">
        <x:v>Ежемесячная выплата ФОТ</x:v>
      </x:c>
      <x:c r="N68" s="207" t="str">
        <x:v>HR/Финансы</x:v>
      </x:c>
      <x:c r="O68" s="208" t="str">
        <x:v>Высокий без obligation/ENS ID</x:v>
      </x:c>
    </x:row>
    <x:row r="69">
      <x:c r="A69" s="206" t="str">
        <x:v>TAX-EDGE-065</x:v>
      </x:c>
      <x:c r="B69" s="207" t="str">
        <x:v>Налоги/ФОТ</x:v>
      </x:c>
      <x:c r="C69" s="207" t="str">
        <x:v>ЗП за февраль 2025.xlsx</x:v>
      </x:c>
      <x:c r="D69" s="207" t="str">
        <x:v>VTB_BankStatement_40802810500000006196_01.01.2024-22.06.2026_417014.pdf</x:v>
      </x:c>
      <x:c r="E69" s="207" t="str">
        <x:v>Payroll rows ↔ bank registry</x:v>
      </x:c>
      <x:c r="F69" s="207" t="str">
        <x:v>2025-02</x:v>
      </x:c>
      <x:c r="G69" s="207" t="str">
        <x:v>date + amount + account</x:v>
      </x:c>
      <x:c r="H69" s="207" t="str">
        <x:v>Не проверено построчно</x:v>
      </x:c>
      <x:c r="I69" s="207" t="str">
        <x:v>Частично</x:v>
      </x:c>
      <x:c r="J69" s="207" t="str">
        <x:v>Файл имеется, но batch-level сверка не выполнена</x:v>
      </x:c>
      <x:c r="K69" s="207" t="str">
        <x:v>employee_id / payroll_batch_id</x:v>
      </x:c>
      <x:c r="L69" s="207" t="str">
        <x:v>employee_id + payroll_batch_id + bank_payment_id</x:v>
      </x:c>
      <x:c r="M69" s="207" t="str">
        <x:v>Employee-level выплата ФОТ</x:v>
      </x:c>
      <x:c r="N69" s="207" t="str">
        <x:v>HR/Финансы</x:v>
      </x:c>
      <x:c r="O69" s="208" t="str">
        <x:v>Высокий без obligation/ENS ID</x:v>
      </x:c>
    </x:row>
    <x:row r="70">
      <x:c r="A70" s="206" t="str">
        <x:v>TAX-EDGE-066</x:v>
      </x:c>
      <x:c r="B70" s="207" t="str">
        <x:v>Налоги/ФОТ</x:v>
      </x:c>
      <x:c r="C70" s="207" t="str">
        <x:v>ЗП за февраль 2025.xlsx</x:v>
      </x:c>
      <x:c r="D70" s="207" t="str">
        <x:v>VTB_BankStatement_40702810804000008482_01.01.2024-22.06.2026_376277.pdf</x:v>
      </x:c>
      <x:c r="E70" s="207" t="str">
        <x:v>Payroll rows ↔ bank registry</x:v>
      </x:c>
      <x:c r="F70" s="207" t="str">
        <x:v>2025-02</x:v>
      </x:c>
      <x:c r="G70" s="207" t="str">
        <x:v>date + amount + account</x:v>
      </x:c>
      <x:c r="H70" s="207" t="str">
        <x:v>Не проверено построчно</x:v>
      </x:c>
      <x:c r="I70" s="207" t="str">
        <x:v>Частично</x:v>
      </x:c>
      <x:c r="J70" s="207" t="str">
        <x:v>Файл имеется, но batch-level сверка не выполнена</x:v>
      </x:c>
      <x:c r="K70" s="207" t="str">
        <x:v>employee_id / payroll_batch_id</x:v>
      </x:c>
      <x:c r="L70" s="207" t="str">
        <x:v>employee_id + payroll_batch_id + bank_payment_id</x:v>
      </x:c>
      <x:c r="M70" s="207" t="str">
        <x:v>Employee-level выплата ФОТ</x:v>
      </x:c>
      <x:c r="N70" s="207" t="str">
        <x:v>HR/Финансы</x:v>
      </x:c>
      <x:c r="O70" s="208" t="str">
        <x:v>Высокий без obligation/ENS ID</x:v>
      </x:c>
    </x:row>
    <x:row r="71">
      <x:c r="A71" s="206" t="str">
        <x:v>TAX-EDGE-067</x:v>
      </x:c>
      <x:c r="B71" s="207" t="str">
        <x:v>Налоги/ФОТ</x:v>
      </x:c>
      <x:c r="C71" s="207" t="str">
        <x:v>ЗП за февраль 2025.xlsx</x:v>
      </x:c>
      <x:c r="D71" s="207" t="str">
        <x:v>6-НДФЛ (с 2021 года) за 2025 г. (Янина Ю. Ф. ИП).pdf</x:v>
      </x:c>
      <x:c r="E71" s="207" t="str">
        <x:v>Payroll accrual ↔ tax form</x:v>
      </x:c>
      <x:c r="F71" s="207" t="str">
        <x:v>2025-02</x:v>
      </x:c>
      <x:c r="G71" s="207" t="str">
        <x:v>month/year aggregate</x:v>
      </x:c>
      <x:c r="H71" s="207" t="str">
        <x:v>Частично</x:v>
      </x:c>
      <x:c r="I71" s="207" t="str">
        <x:v>Частично</x:v>
      </x:c>
      <x:c r="J71" s="207" t="str">
        <x:v>Месячные файлы покрывают только часть года/периметра</x:v>
      </x:c>
      <x:c r="K71" s="207" t="str">
        <x:v>employee_id + income type + tax base</x:v>
      </x:c>
      <x:c r="L71" s="207" t="str">
        <x:v>employer_id + employee_id + accrual_period + tax_code</x:v>
      </x:c>
      <x:c r="M71" s="207" t="str">
        <x:v>Employee-level НДФЛ/РСВ — заблокировано</x:v>
      </x:c>
      <x:c r="N71" s="207" t="str">
        <x:v>HR/Бухгалтерия</x:v>
      </x:c>
      <x:c r="O71" s="208" t="str">
        <x:v>Высокий без obligation/ENS ID</x:v>
      </x:c>
    </x:row>
    <x:row r="72">
      <x:c r="A72" s="206" t="str">
        <x:v>TAX-EDGE-068</x:v>
      </x:c>
      <x:c r="B72" s="207" t="str">
        <x:v>Налоги/ФОТ</x:v>
      </x:c>
      <x:c r="C72" s="207" t="str">
        <x:v>ЗП за февраль 2025.xlsx</x:v>
      </x:c>
      <x:c r="D72" s="207" t="str">
        <x:v>6-НДФЛ (с 2021 года) за 2025 г. (ДЕКОР ООО).pdf</x:v>
      </x:c>
      <x:c r="E72" s="207" t="str">
        <x:v>Payroll accrual ↔ tax form</x:v>
      </x:c>
      <x:c r="F72" s="207" t="str">
        <x:v>2025-02</x:v>
      </x:c>
      <x:c r="G72" s="207" t="str">
        <x:v>month/year aggregate</x:v>
      </x:c>
      <x:c r="H72" s="207" t="str">
        <x:v>Частично</x:v>
      </x:c>
      <x:c r="I72" s="207" t="str">
        <x:v>Частично</x:v>
      </x:c>
      <x:c r="J72" s="207" t="str">
        <x:v>Месячные файлы покрывают только часть года/периметра</x:v>
      </x:c>
      <x:c r="K72" s="207" t="str">
        <x:v>employee_id + income type + tax base</x:v>
      </x:c>
      <x:c r="L72" s="207" t="str">
        <x:v>employer_id + employee_id + accrual_period + tax_code</x:v>
      </x:c>
      <x:c r="M72" s="207" t="str">
        <x:v>Employee-level НДФЛ/РСВ — заблокировано</x:v>
      </x:c>
      <x:c r="N72" s="207" t="str">
        <x:v>HR/Бухгалтерия</x:v>
      </x:c>
      <x:c r="O72" s="208" t="str">
        <x:v>Высокий без obligation/ENS ID</x:v>
      </x:c>
    </x:row>
    <x:row r="73">
      <x:c r="A73" s="206" t="str">
        <x:v>TAX-EDGE-069</x:v>
      </x:c>
      <x:c r="B73" s="207" t="str">
        <x:v>Налоги/ФОТ</x:v>
      </x:c>
      <x:c r="C73" s="207" t="str">
        <x:v>ЗП за февраль 2025.xlsx</x:v>
      </x:c>
      <x:c r="D73" s="207" t="str">
        <x:v>Расчет по страховым взносам за 2025 г. (Янина Ю. Ф. ИП).pdf</x:v>
      </x:c>
      <x:c r="E73" s="207" t="str">
        <x:v>Payroll accrual ↔ tax form</x:v>
      </x:c>
      <x:c r="F73" s="207" t="str">
        <x:v>2025-02</x:v>
      </x:c>
      <x:c r="G73" s="207" t="str">
        <x:v>month/year aggregate</x:v>
      </x:c>
      <x:c r="H73" s="207" t="str">
        <x:v>Частично</x:v>
      </x:c>
      <x:c r="I73" s="207" t="str">
        <x:v>Частично</x:v>
      </x:c>
      <x:c r="J73" s="207" t="str">
        <x:v>Месячные файлы покрывают только часть года/периметра</x:v>
      </x:c>
      <x:c r="K73" s="207" t="str">
        <x:v>employee_id + income type + tax base</x:v>
      </x:c>
      <x:c r="L73" s="207" t="str">
        <x:v>employer_id + employee_id + accrual_period + tax_code</x:v>
      </x:c>
      <x:c r="M73" s="207" t="str">
        <x:v>Employee-level НДФЛ/РСВ — заблокировано</x:v>
      </x:c>
      <x:c r="N73" s="207" t="str">
        <x:v>HR/Бухгалтерия</x:v>
      </x:c>
      <x:c r="O73" s="208" t="str">
        <x:v>Высокий без obligation/ENS ID</x:v>
      </x:c>
    </x:row>
    <x:row r="74">
      <x:c r="A74" s="206" t="str">
        <x:v>TAX-EDGE-070</x:v>
      </x:c>
      <x:c r="B74" s="207" t="str">
        <x:v>Налоги/ФОТ</x:v>
      </x:c>
      <x:c r="C74" s="207" t="str">
        <x:v>ЗП за февраль 2025.xlsx</x:v>
      </x:c>
      <x:c r="D74" s="207" t="str">
        <x:v>Расчет по страховым взносам за 2025 г. (Янина Ю. Ф. ИП).pdf</x:v>
      </x:c>
      <x:c r="E74" s="207" t="str">
        <x:v>Payroll accrual ↔ tax form</x:v>
      </x:c>
      <x:c r="F74" s="207" t="str">
        <x:v>2025-02</x:v>
      </x:c>
      <x:c r="G74" s="207" t="str">
        <x:v>month/year aggregate</x:v>
      </x:c>
      <x:c r="H74" s="207" t="str">
        <x:v>Частично</x:v>
      </x:c>
      <x:c r="I74" s="207" t="str">
        <x:v>Частично</x:v>
      </x:c>
      <x:c r="J74" s="207" t="str">
        <x:v>Месячные файлы покрывают только часть года/периметра</x:v>
      </x:c>
      <x:c r="K74" s="207" t="str">
        <x:v>employee_id + income type + tax base</x:v>
      </x:c>
      <x:c r="L74" s="207" t="str">
        <x:v>employer_id + employee_id + accrual_period + tax_code</x:v>
      </x:c>
      <x:c r="M74" s="207" t="str">
        <x:v>Employee-level НДФЛ/РСВ — заблокировано</x:v>
      </x:c>
      <x:c r="N74" s="207" t="str">
        <x:v>HR/Бухгалтерия</x:v>
      </x:c>
      <x:c r="O74" s="208" t="str">
        <x:v>Высокий без obligation/ENS ID</x:v>
      </x:c>
    </x:row>
    <x:row r="75">
      <x:c r="A75" s="206" t="str">
        <x:v>TAX-EDGE-071</x:v>
      </x:c>
      <x:c r="B75" s="207" t="str">
        <x:v>Налоги/ФОТ</x:v>
      </x:c>
      <x:c r="C75" s="207" t="str">
        <x:v>ЗП за февраль 2025.xlsx</x:v>
      </x:c>
      <x:c r="D75" s="207" t="str">
        <x:v>Расчет по страховым взносам за 2025 г. (ДЕКОР ООО).pdf</x:v>
      </x:c>
      <x:c r="E75" s="207" t="str">
        <x:v>Payroll accrual ↔ tax form</x:v>
      </x:c>
      <x:c r="F75" s="207" t="str">
        <x:v>2025-02</x:v>
      </x:c>
      <x:c r="G75" s="207" t="str">
        <x:v>month/year aggregate</x:v>
      </x:c>
      <x:c r="H75" s="207" t="str">
        <x:v>Частично</x:v>
      </x:c>
      <x:c r="I75" s="207" t="str">
        <x:v>Частично</x:v>
      </x:c>
      <x:c r="J75" s="207" t="str">
        <x:v>Месячные файлы покрывают только часть года/периметра</x:v>
      </x:c>
      <x:c r="K75" s="207" t="str">
        <x:v>employee_id + income type + tax base</x:v>
      </x:c>
      <x:c r="L75" s="207" t="str">
        <x:v>employer_id + employee_id + accrual_period + tax_code</x:v>
      </x:c>
      <x:c r="M75" s="207" t="str">
        <x:v>Employee-level НДФЛ/РСВ — заблокировано</x:v>
      </x:c>
      <x:c r="N75" s="207" t="str">
        <x:v>HR/Бухгалтерия</x:v>
      </x:c>
      <x:c r="O75" s="208" t="str">
        <x:v>Высокий без obligation/ENS ID</x:v>
      </x:c>
    </x:row>
    <x:row r="76">
      <x:c r="A76" s="206" t="str">
        <x:v>TAX-EDGE-072</x:v>
      </x:c>
      <x:c r="B76" s="207" t="str">
        <x:v>Налоги/ФОТ</x:v>
      </x:c>
      <x:c r="C76" s="207" t="str">
        <x:v>ЗП за февраль 2025.xlsx</x:v>
      </x:c>
      <x:c r="D76" s="207" t="str">
        <x:v>Расчет по страховым взносам за 2025 г. (ДЕКОР ООО).pdf</x:v>
      </x:c>
      <x:c r="E76" s="207" t="str">
        <x:v>Payroll accrual ↔ tax form</x:v>
      </x:c>
      <x:c r="F76" s="207" t="str">
        <x:v>2025-02</x:v>
      </x:c>
      <x:c r="G76" s="207" t="str">
        <x:v>month/year aggregate</x:v>
      </x:c>
      <x:c r="H76" s="207" t="str">
        <x:v>Частично</x:v>
      </x:c>
      <x:c r="I76" s="207" t="str">
        <x:v>Частично</x:v>
      </x:c>
      <x:c r="J76" s="207" t="str">
        <x:v>Месячные файлы покрывают только часть года/периметра</x:v>
      </x:c>
      <x:c r="K76" s="207" t="str">
        <x:v>employee_id + income type + tax base</x:v>
      </x:c>
      <x:c r="L76" s="207" t="str">
        <x:v>employer_id + employee_id + accrual_period + tax_code</x:v>
      </x:c>
      <x:c r="M76" s="207" t="str">
        <x:v>Employee-level НДФЛ/РСВ — заблокировано</x:v>
      </x:c>
      <x:c r="N76" s="207" t="str">
        <x:v>HR/Бухгалтерия</x:v>
      </x:c>
      <x:c r="O76" s="208" t="str">
        <x:v>Высокий без obligation/ENS ID</x:v>
      </x:c>
    </x:row>
    <x:row r="77">
      <x:c r="A77" s="206" t="str">
        <x:v>TAX-EDGE-073</x:v>
      </x:c>
      <x:c r="B77" s="207" t="str">
        <x:v>Налоги/ФОТ</x:v>
      </x:c>
      <x:c r="C77" s="207" t="str">
        <x:v>ЗП за февраль 2026.xlsx</x:v>
      </x:c>
      <x:c r="D77" s="207" t="str">
        <x:v>ДДС 2026.xlxs.xlsx</x:v>
      </x:c>
      <x:c r="E77" s="207" t="str">
        <x:v>Payroll calculation ↔ ДДС payroll cash</x:v>
      </x:c>
      <x:c r="F77" s="207" t="str">
        <x:v>2026-02</x:v>
      </x:c>
      <x:c r="G77" s="207" t="str">
        <x:v>month + displayed control total</x:v>
      </x:c>
      <x:c r="H77" s="207" t="str">
        <x:v>Не проверено построчно</x:v>
      </x:c>
      <x:c r="I77" s="207" t="str">
        <x:v>Частично</x:v>
      </x:c>
      <x:c r="J77" s="207" t="str">
        <x:v>Файл имеется, но batch-level сверка не выполнена</x:v>
      </x:c>
      <x:c r="K77" s="207" t="str">
        <x:v>payroll_batch_id / payment_type</x:v>
      </x:c>
      <x:c r="L77" s="207" t="str">
        <x:v>payroll_batch_id + payment_date + employer_id</x:v>
      </x:c>
      <x:c r="M77" s="207" t="str">
        <x:v>Ежемесячная выплата ФОТ</x:v>
      </x:c>
      <x:c r="N77" s="207" t="str">
        <x:v>HR/Финансы</x:v>
      </x:c>
      <x:c r="O77" s="208" t="str">
        <x:v>Высокий без obligation/ENS ID</x:v>
      </x:c>
    </x:row>
    <x:row r="78">
      <x:c r="A78" s="206" t="str">
        <x:v>TAX-EDGE-074</x:v>
      </x:c>
      <x:c r="B78" s="207" t="str">
        <x:v>Налоги/ФОТ</x:v>
      </x:c>
      <x:c r="C78" s="207" t="str">
        <x:v>ЗП за февраль 2026.xlsx</x:v>
      </x:c>
      <x:c r="D78" s="207" t="str">
        <x:v>VTB_BankStatement_40802810500000006196_01.01.2024-22.06.2026_417014.pdf</x:v>
      </x:c>
      <x:c r="E78" s="207" t="str">
        <x:v>Payroll rows ↔ bank registry</x:v>
      </x:c>
      <x:c r="F78" s="207" t="str">
        <x:v>2026-02</x:v>
      </x:c>
      <x:c r="G78" s="207" t="str">
        <x:v>date + amount + account</x:v>
      </x:c>
      <x:c r="H78" s="207" t="str">
        <x:v>Не проверено построчно</x:v>
      </x:c>
      <x:c r="I78" s="207" t="str">
        <x:v>Частично</x:v>
      </x:c>
      <x:c r="J78" s="207" t="str">
        <x:v>Файл имеется, но batch-level сверка не выполнена</x:v>
      </x:c>
      <x:c r="K78" s="207" t="str">
        <x:v>employee_id / payroll_batch_id</x:v>
      </x:c>
      <x:c r="L78" s="207" t="str">
        <x:v>employee_id + payroll_batch_id + bank_payment_id</x:v>
      </x:c>
      <x:c r="M78" s="207" t="str">
        <x:v>Employee-level выплата ФОТ</x:v>
      </x:c>
      <x:c r="N78" s="207" t="str">
        <x:v>HR/Финансы</x:v>
      </x:c>
      <x:c r="O78" s="208" t="str">
        <x:v>Высокий без obligation/ENS ID</x:v>
      </x:c>
    </x:row>
    <x:row r="79">
      <x:c r="A79" s="206" t="str">
        <x:v>TAX-EDGE-075</x:v>
      </x:c>
      <x:c r="B79" s="207" t="str">
        <x:v>Налоги/ФОТ</x:v>
      </x:c>
      <x:c r="C79" s="207" t="str">
        <x:v>ЗП за февраль 2026.xlsx</x:v>
      </x:c>
      <x:c r="D79" s="207" t="str">
        <x:v>VTB_BankStatement_40702810804000008482_01.01.2024-22.06.2026_376277.pdf</x:v>
      </x:c>
      <x:c r="E79" s="207" t="str">
        <x:v>Payroll rows ↔ bank registry</x:v>
      </x:c>
      <x:c r="F79" s="207" t="str">
        <x:v>2026-02</x:v>
      </x:c>
      <x:c r="G79" s="207" t="str">
        <x:v>date + amount + account</x:v>
      </x:c>
      <x:c r="H79" s="207" t="str">
        <x:v>Не проверено построчно</x:v>
      </x:c>
      <x:c r="I79" s="207" t="str">
        <x:v>Частично</x:v>
      </x:c>
      <x:c r="J79" s="207" t="str">
        <x:v>Файл имеется, но batch-level сверка не выполнена</x:v>
      </x:c>
      <x:c r="K79" s="207" t="str">
        <x:v>employee_id / payroll_batch_id</x:v>
      </x:c>
      <x:c r="L79" s="207" t="str">
        <x:v>employee_id + payroll_batch_id + bank_payment_id</x:v>
      </x:c>
      <x:c r="M79" s="207" t="str">
        <x:v>Employee-level выплата ФОТ</x:v>
      </x:c>
      <x:c r="N79" s="207" t="str">
        <x:v>HR/Финансы</x:v>
      </x:c>
      <x:c r="O79" s="208" t="str">
        <x:v>Высокий без obligation/ENS ID</x:v>
      </x:c>
    </x:row>
    <x:row r="80">
      <x:c r="A80" s="206" t="str">
        <x:v>TAX-EDGE-076</x:v>
      </x:c>
      <x:c r="B80" s="207" t="str">
        <x:v>Налоги/ФОТ</x:v>
      </x:c>
      <x:c r="C80" s="207" t="str">
        <x:v>ЗП за февраль 2026.xlsx</x:v>
      </x:c>
      <x:c r="D80" s="207" t="str">
        <x:v>Расчет по страховым взносам за 1 квартал 2026 г. (Янина Ю. Ф. ИП).pdf</x:v>
      </x:c>
      <x:c r="E80" s="207" t="str">
        <x:v>Payroll accrual ↔ tax form</x:v>
      </x:c>
      <x:c r="F80" s="207" t="str">
        <x:v>2026-02</x:v>
      </x:c>
      <x:c r="G80" s="207" t="str">
        <x:v>month/year aggregate</x:v>
      </x:c>
      <x:c r="H80" s="207" t="str">
        <x:v>Частично</x:v>
      </x:c>
      <x:c r="I80" s="207" t="str">
        <x:v>Частично</x:v>
      </x:c>
      <x:c r="J80" s="207" t="str">
        <x:v>Месячные файлы покрывают только часть года/периметра</x:v>
      </x:c>
      <x:c r="K80" s="207" t="str">
        <x:v>employee_id + income type + tax base</x:v>
      </x:c>
      <x:c r="L80" s="207" t="str">
        <x:v>employer_id + employee_id + accrual_period + tax_code</x:v>
      </x:c>
      <x:c r="M80" s="207" t="str">
        <x:v>Employee-level НДФЛ/РСВ — заблокировано</x:v>
      </x:c>
      <x:c r="N80" s="207" t="str">
        <x:v>HR/Бухгалтерия</x:v>
      </x:c>
      <x:c r="O80" s="208" t="str">
        <x:v>Высокий без obligation/ENS ID</x:v>
      </x:c>
    </x:row>
    <x:row r="81">
      <x:c r="A81" s="206" t="str">
        <x:v>TAX-EDGE-077</x:v>
      </x:c>
      <x:c r="B81" s="207" t="str">
        <x:v>Налоги/ФОТ</x:v>
      </x:c>
      <x:c r="C81" s="207" t="str">
        <x:v>ЗП за февраль 2026.xlsx</x:v>
      </x:c>
      <x:c r="D81" s="207" t="str">
        <x:v>Расчет по страховым взносам за 1 квартал 2026 г. (Янина Ю. Ф. ИП).pdf</x:v>
      </x:c>
      <x:c r="E81" s="207" t="str">
        <x:v>Payroll accrual ↔ tax form</x:v>
      </x:c>
      <x:c r="F81" s="207" t="str">
        <x:v>2026-02</x:v>
      </x:c>
      <x:c r="G81" s="207" t="str">
        <x:v>month/year aggregate</x:v>
      </x:c>
      <x:c r="H81" s="207" t="str">
        <x:v>Частично</x:v>
      </x:c>
      <x:c r="I81" s="207" t="str">
        <x:v>Частично</x:v>
      </x:c>
      <x:c r="J81" s="207" t="str">
        <x:v>Месячные файлы покрывают только часть года/периметра</x:v>
      </x:c>
      <x:c r="K81" s="207" t="str">
        <x:v>employee_id + income type + tax base</x:v>
      </x:c>
      <x:c r="L81" s="207" t="str">
        <x:v>employer_id + employee_id + accrual_period + tax_code</x:v>
      </x:c>
      <x:c r="M81" s="207" t="str">
        <x:v>Employee-level НДФЛ/РСВ — заблокировано</x:v>
      </x:c>
      <x:c r="N81" s="207" t="str">
        <x:v>HR/Бухгалтерия</x:v>
      </x:c>
      <x:c r="O81" s="208" t="str">
        <x:v>Высокий без obligation/ENS ID</x:v>
      </x:c>
    </x:row>
    <x:row r="82">
      <x:c r="A82" s="206" t="str">
        <x:v>TAX-EDGE-078</x:v>
      </x:c>
      <x:c r="B82" s="207" t="str">
        <x:v>Налоги/ФОТ</x:v>
      </x:c>
      <x:c r="C82" s="207" t="str">
        <x:v>ЗП за январь 2025.xlsx</x:v>
      </x:c>
      <x:c r="D82" s="207" t="str">
        <x:v>ДДС 2025.xlsx</x:v>
      </x:c>
      <x:c r="E82" s="207" t="str">
        <x:v>Payroll calculation ↔ ДДС payroll cash</x:v>
      </x:c>
      <x:c r="F82" s="207" t="str">
        <x:v>2025-01</x:v>
      </x:c>
      <x:c r="G82" s="207" t="str">
        <x:v>month + displayed control total</x:v>
      </x:c>
      <x:c r="H82" s="207" t="str">
        <x:v>Подтверждено</x:v>
      </x:c>
      <x:c r="I82" s="207" t="str">
        <x:v>Подтверждено</x:v>
      </x:c>
      <x:c r="J82" s="207" t="str">
        <x:v>Сверка восстановлена до нулевой агрегатной разницы</x:v>
      </x:c>
      <x:c r="K82" s="207" t="str">
        <x:v>payroll_batch_id / payment_type</x:v>
      </x:c>
      <x:c r="L82" s="207" t="str">
        <x:v>payroll_batch_id + payment_date + employer_id</x:v>
      </x:c>
      <x:c r="M82" s="207" t="str">
        <x:v>Ежемесячная выплата ФОТ</x:v>
      </x:c>
      <x:c r="N82" s="207" t="str">
        <x:v>HR/Финансы</x:v>
      </x:c>
      <x:c r="O82" s="208" t="str">
        <x:v>Высокий без obligation/ENS ID</x:v>
      </x:c>
    </x:row>
    <x:row r="83">
      <x:c r="A83" s="206" t="str">
        <x:v>TAX-EDGE-079</x:v>
      </x:c>
      <x:c r="B83" s="207" t="str">
        <x:v>Налоги/ФОТ</x:v>
      </x:c>
      <x:c r="C83" s="207" t="str">
        <x:v>ЗП за январь 2025.xlsx</x:v>
      </x:c>
      <x:c r="D83" s="207" t="str">
        <x:v>VTB_BankStatement_40802810500000006196_01.01.2024-22.06.2026_417014.pdf</x:v>
      </x:c>
      <x:c r="E83" s="207" t="str">
        <x:v>Payroll rows ↔ bank registry</x:v>
      </x:c>
      <x:c r="F83" s="207" t="str">
        <x:v>2025-01</x:v>
      </x:c>
      <x:c r="G83" s="207" t="str">
        <x:v>date + amount + account</x:v>
      </x:c>
      <x:c r="H83" s="207" t="str">
        <x:v>Подтверждено</x:v>
      </x:c>
      <x:c r="I83" s="207" t="str">
        <x:v>Подтверждено</x:v>
      </x:c>
      <x:c r="J83" s="207" t="str">
        <x:v>Сверка восстановлена до нулевой агрегатной разницы</x:v>
      </x:c>
      <x:c r="K83" s="207" t="str">
        <x:v>employee_id / payroll_batch_id</x:v>
      </x:c>
      <x:c r="L83" s="207" t="str">
        <x:v>employee_id + payroll_batch_id + bank_payment_id</x:v>
      </x:c>
      <x:c r="M83" s="207" t="str">
        <x:v>Employee-level выплата ФОТ</x:v>
      </x:c>
      <x:c r="N83" s="207" t="str">
        <x:v>HR/Финансы</x:v>
      </x:c>
      <x:c r="O83" s="208" t="str">
        <x:v>Высокий без obligation/ENS ID</x:v>
      </x:c>
    </x:row>
    <x:row r="84">
      <x:c r="A84" s="206" t="str">
        <x:v>TAX-EDGE-080</x:v>
      </x:c>
      <x:c r="B84" s="207" t="str">
        <x:v>Налоги/ФОТ</x:v>
      </x:c>
      <x:c r="C84" s="207" t="str">
        <x:v>ЗП за январь 2025.xlsx</x:v>
      </x:c>
      <x:c r="D84" s="207" t="str">
        <x:v>VTB_BankStatement_40702810804000008482_01.01.2024-22.06.2026_376277.pdf</x:v>
      </x:c>
      <x:c r="E84" s="207" t="str">
        <x:v>Payroll rows ↔ bank registry</x:v>
      </x:c>
      <x:c r="F84" s="207" t="str">
        <x:v>2025-01</x:v>
      </x:c>
      <x:c r="G84" s="207" t="str">
        <x:v>date + amount + account</x:v>
      </x:c>
      <x:c r="H84" s="207" t="str">
        <x:v>Подтверждено</x:v>
      </x:c>
      <x:c r="I84" s="207" t="str">
        <x:v>Подтверждено</x:v>
      </x:c>
      <x:c r="J84" s="207" t="str">
        <x:v>Сверка восстановлена до нулевой агрегатной разницы</x:v>
      </x:c>
      <x:c r="K84" s="207" t="str">
        <x:v>employee_id / payroll_batch_id</x:v>
      </x:c>
      <x:c r="L84" s="207" t="str">
        <x:v>employee_id + payroll_batch_id + bank_payment_id</x:v>
      </x:c>
      <x:c r="M84" s="207" t="str">
        <x:v>Employee-level выплата ФОТ</x:v>
      </x:c>
      <x:c r="N84" s="207" t="str">
        <x:v>HR/Финансы</x:v>
      </x:c>
      <x:c r="O84" s="208" t="str">
        <x:v>Высокий без obligation/ENS ID</x:v>
      </x:c>
    </x:row>
    <x:row r="85">
      <x:c r="A85" s="206" t="str">
        <x:v>TAX-EDGE-081</x:v>
      </x:c>
      <x:c r="B85" s="207" t="str">
        <x:v>Налоги/ФОТ</x:v>
      </x:c>
      <x:c r="C85" s="207" t="str">
        <x:v>ЗП за январь 2025.xlsx</x:v>
      </x:c>
      <x:c r="D85" s="207" t="str">
        <x:v>6-НДФЛ (с 2021 года) за 2025 г. (Янина Ю. Ф. ИП).pdf</x:v>
      </x:c>
      <x:c r="E85" s="207" t="str">
        <x:v>Payroll accrual ↔ tax form</x:v>
      </x:c>
      <x:c r="F85" s="207" t="str">
        <x:v>2025-01</x:v>
      </x:c>
      <x:c r="G85" s="207" t="str">
        <x:v>month/year aggregate</x:v>
      </x:c>
      <x:c r="H85" s="207" t="str">
        <x:v>Частично</x:v>
      </x:c>
      <x:c r="I85" s="207" t="str">
        <x:v>Частично</x:v>
      </x:c>
      <x:c r="J85" s="207" t="str">
        <x:v>Месячные файлы покрывают только часть года/периметра</x:v>
      </x:c>
      <x:c r="K85" s="207" t="str">
        <x:v>employee_id + income type + tax base</x:v>
      </x:c>
      <x:c r="L85" s="207" t="str">
        <x:v>employer_id + employee_id + accrual_period + tax_code</x:v>
      </x:c>
      <x:c r="M85" s="207" t="str">
        <x:v>Employee-level НДФЛ/РСВ — заблокировано</x:v>
      </x:c>
      <x:c r="N85" s="207" t="str">
        <x:v>HR/Бухгалтерия</x:v>
      </x:c>
      <x:c r="O85" s="208" t="str">
        <x:v>Высокий без obligation/ENS ID</x:v>
      </x:c>
    </x:row>
    <x:row r="86">
      <x:c r="A86" s="206" t="str">
        <x:v>TAX-EDGE-082</x:v>
      </x:c>
      <x:c r="B86" s="207" t="str">
        <x:v>Налоги/ФОТ</x:v>
      </x:c>
      <x:c r="C86" s="207" t="str">
        <x:v>ЗП за январь 2025.xlsx</x:v>
      </x:c>
      <x:c r="D86" s="207" t="str">
        <x:v>6-НДФЛ (с 2021 года) за 2025 г. (ДЕКОР ООО).pdf</x:v>
      </x:c>
      <x:c r="E86" s="207" t="str">
        <x:v>Payroll accrual ↔ tax form</x:v>
      </x:c>
      <x:c r="F86" s="207" t="str">
        <x:v>2025-01</x:v>
      </x:c>
      <x:c r="G86" s="207" t="str">
        <x:v>month/year aggregate</x:v>
      </x:c>
      <x:c r="H86" s="207" t="str">
        <x:v>Частично</x:v>
      </x:c>
      <x:c r="I86" s="207" t="str">
        <x:v>Частично</x:v>
      </x:c>
      <x:c r="J86" s="207" t="str">
        <x:v>Месячные файлы покрывают только часть года/периметра</x:v>
      </x:c>
      <x:c r="K86" s="207" t="str">
        <x:v>employee_id + income type + tax base</x:v>
      </x:c>
      <x:c r="L86" s="207" t="str">
        <x:v>employer_id + employee_id + accrual_period + tax_code</x:v>
      </x:c>
      <x:c r="M86" s="207" t="str">
        <x:v>Employee-level НДФЛ/РСВ — заблокировано</x:v>
      </x:c>
      <x:c r="N86" s="207" t="str">
        <x:v>HR/Бухгалтерия</x:v>
      </x:c>
      <x:c r="O86" s="208" t="str">
        <x:v>Высокий без obligation/ENS ID</x:v>
      </x:c>
    </x:row>
    <x:row r="87">
      <x:c r="A87" s="206" t="str">
        <x:v>TAX-EDGE-083</x:v>
      </x:c>
      <x:c r="B87" s="207" t="str">
        <x:v>Налоги/ФОТ</x:v>
      </x:c>
      <x:c r="C87" s="207" t="str">
        <x:v>ЗП за январь 2025.xlsx</x:v>
      </x:c>
      <x:c r="D87" s="207" t="str">
        <x:v>Расчет по страховым взносам за 2025 г. (Янина Ю. Ф. ИП).pdf</x:v>
      </x:c>
      <x:c r="E87" s="207" t="str">
        <x:v>Payroll accrual ↔ tax form</x:v>
      </x:c>
      <x:c r="F87" s="207" t="str">
        <x:v>2025-01</x:v>
      </x:c>
      <x:c r="G87" s="207" t="str">
        <x:v>month/year aggregate</x:v>
      </x:c>
      <x:c r="H87" s="207" t="str">
        <x:v>Частично</x:v>
      </x:c>
      <x:c r="I87" s="207" t="str">
        <x:v>Частично</x:v>
      </x:c>
      <x:c r="J87" s="207" t="str">
        <x:v>Месячные файлы покрывают только часть года/периметра</x:v>
      </x:c>
      <x:c r="K87" s="207" t="str">
        <x:v>employee_id + income type + tax base</x:v>
      </x:c>
      <x:c r="L87" s="207" t="str">
        <x:v>employer_id + employee_id + accrual_period + tax_code</x:v>
      </x:c>
      <x:c r="M87" s="207" t="str">
        <x:v>Employee-level НДФЛ/РСВ — заблокировано</x:v>
      </x:c>
      <x:c r="N87" s="207" t="str">
        <x:v>HR/Бухгалтерия</x:v>
      </x:c>
      <x:c r="O87" s="208" t="str">
        <x:v>Высокий без obligation/ENS ID</x:v>
      </x:c>
    </x:row>
    <x:row r="88">
      <x:c r="A88" s="206" t="str">
        <x:v>TAX-EDGE-084</x:v>
      </x:c>
      <x:c r="B88" s="207" t="str">
        <x:v>Налоги/ФОТ</x:v>
      </x:c>
      <x:c r="C88" s="207" t="str">
        <x:v>ЗП за январь 2025.xlsx</x:v>
      </x:c>
      <x:c r="D88" s="207" t="str">
        <x:v>Расчет по страховым взносам за 2025 г. (Янина Ю. Ф. ИП).pdf</x:v>
      </x:c>
      <x:c r="E88" s="207" t="str">
        <x:v>Payroll accrual ↔ tax form</x:v>
      </x:c>
      <x:c r="F88" s="207" t="str">
        <x:v>2025-01</x:v>
      </x:c>
      <x:c r="G88" s="207" t="str">
        <x:v>month/year aggregate</x:v>
      </x:c>
      <x:c r="H88" s="207" t="str">
        <x:v>Частично</x:v>
      </x:c>
      <x:c r="I88" s="207" t="str">
        <x:v>Частично</x:v>
      </x:c>
      <x:c r="J88" s="207" t="str">
        <x:v>Месячные файлы покрывают только часть года/периметра</x:v>
      </x:c>
      <x:c r="K88" s="207" t="str">
        <x:v>employee_id + income type + tax base</x:v>
      </x:c>
      <x:c r="L88" s="207" t="str">
        <x:v>employer_id + employee_id + accrual_period + tax_code</x:v>
      </x:c>
      <x:c r="M88" s="207" t="str">
        <x:v>Employee-level НДФЛ/РСВ — заблокировано</x:v>
      </x:c>
      <x:c r="N88" s="207" t="str">
        <x:v>HR/Бухгалтерия</x:v>
      </x:c>
      <x:c r="O88" s="208" t="str">
        <x:v>Высокий без obligation/ENS ID</x:v>
      </x:c>
    </x:row>
    <x:row r="89">
      <x:c r="A89" s="206" t="str">
        <x:v>TAX-EDGE-085</x:v>
      </x:c>
      <x:c r="B89" s="207" t="str">
        <x:v>Налоги/ФОТ</x:v>
      </x:c>
      <x:c r="C89" s="207" t="str">
        <x:v>ЗП за январь 2025.xlsx</x:v>
      </x:c>
      <x:c r="D89" s="207" t="str">
        <x:v>Расчет по страховым взносам за 2025 г. (ДЕКОР ООО).pdf</x:v>
      </x:c>
      <x:c r="E89" s="207" t="str">
        <x:v>Payroll accrual ↔ tax form</x:v>
      </x:c>
      <x:c r="F89" s="207" t="str">
        <x:v>2025-01</x:v>
      </x:c>
      <x:c r="G89" s="207" t="str">
        <x:v>month/year aggregate</x:v>
      </x:c>
      <x:c r="H89" s="207" t="str">
        <x:v>Частично</x:v>
      </x:c>
      <x:c r="I89" s="207" t="str">
        <x:v>Частично</x:v>
      </x:c>
      <x:c r="J89" s="207" t="str">
        <x:v>Месячные файлы покрывают только часть года/периметра</x:v>
      </x:c>
      <x:c r="K89" s="207" t="str">
        <x:v>employee_id + income type + tax base</x:v>
      </x:c>
      <x:c r="L89" s="207" t="str">
        <x:v>employer_id + employee_id + accrual_period + tax_code</x:v>
      </x:c>
      <x:c r="M89" s="207" t="str">
        <x:v>Employee-level НДФЛ/РСВ — заблокировано</x:v>
      </x:c>
      <x:c r="N89" s="207" t="str">
        <x:v>HR/Бухгалтерия</x:v>
      </x:c>
      <x:c r="O89" s="208" t="str">
        <x:v>Высокий без obligation/ENS ID</x:v>
      </x:c>
    </x:row>
    <x:row r="90">
      <x:c r="A90" s="206" t="str">
        <x:v>TAX-EDGE-086</x:v>
      </x:c>
      <x:c r="B90" s="207" t="str">
        <x:v>Налоги/ФОТ</x:v>
      </x:c>
      <x:c r="C90" s="207" t="str">
        <x:v>ЗП за январь 2025.xlsx</x:v>
      </x:c>
      <x:c r="D90" s="207" t="str">
        <x:v>Расчет по страховым взносам за 2025 г. (ДЕКОР ООО).pdf</x:v>
      </x:c>
      <x:c r="E90" s="207" t="str">
        <x:v>Payroll accrual ↔ tax form</x:v>
      </x:c>
      <x:c r="F90" s="207" t="str">
        <x:v>2025-01</x:v>
      </x:c>
      <x:c r="G90" s="207" t="str">
        <x:v>month/year aggregate</x:v>
      </x:c>
      <x:c r="H90" s="207" t="str">
        <x:v>Частично</x:v>
      </x:c>
      <x:c r="I90" s="207" t="str">
        <x:v>Частично</x:v>
      </x:c>
      <x:c r="J90" s="207" t="str">
        <x:v>Месячные файлы покрывают только часть года/периметра</x:v>
      </x:c>
      <x:c r="K90" s="207" t="str">
        <x:v>employee_id + income type + tax base</x:v>
      </x:c>
      <x:c r="L90" s="207" t="str">
        <x:v>employer_id + employee_id + accrual_period + tax_code</x:v>
      </x:c>
      <x:c r="M90" s="207" t="str">
        <x:v>Employee-level НДФЛ/РСВ — заблокировано</x:v>
      </x:c>
      <x:c r="N90" s="207" t="str">
        <x:v>HR/Бухгалтерия</x:v>
      </x:c>
      <x:c r="O90" s="208" t="str">
        <x:v>Высокий без obligation/ENS ID</x:v>
      </x:c>
    </x:row>
    <x:row r="91">
      <x:c r="A91" s="206" t="str">
        <x:v>TAX-EDGE-087</x:v>
      </x:c>
      <x:c r="B91" s="207" t="str">
        <x:v>Налоги/ФОТ</x:v>
      </x:c>
      <x:c r="C91" s="207" t="str">
        <x:v>ЗП за январь 2026.xlsx</x:v>
      </x:c>
      <x:c r="D91" s="207" t="str">
        <x:v>ДДС 2026.xlxs.xlsx</x:v>
      </x:c>
      <x:c r="E91" s="207" t="str">
        <x:v>Payroll calculation ↔ ДДС payroll cash</x:v>
      </x:c>
      <x:c r="F91" s="207" t="str">
        <x:v>2026-01</x:v>
      </x:c>
      <x:c r="G91" s="207" t="str">
        <x:v>month + displayed control total</x:v>
      </x:c>
      <x:c r="H91" s="207" t="str">
        <x:v>Не проверено построчно</x:v>
      </x:c>
      <x:c r="I91" s="207" t="str">
        <x:v>Частично</x:v>
      </x:c>
      <x:c r="J91" s="207" t="str">
        <x:v>Файл имеется, но batch-level сверка не выполнена</x:v>
      </x:c>
      <x:c r="K91" s="207" t="str">
        <x:v>payroll_batch_id / payment_type</x:v>
      </x:c>
      <x:c r="L91" s="207" t="str">
        <x:v>payroll_batch_id + payment_date + employer_id</x:v>
      </x:c>
      <x:c r="M91" s="207" t="str">
        <x:v>Ежемесячная выплата ФОТ</x:v>
      </x:c>
      <x:c r="N91" s="207" t="str">
        <x:v>HR/Финансы</x:v>
      </x:c>
      <x:c r="O91" s="208" t="str">
        <x:v>Высокий без obligation/ENS ID</x:v>
      </x:c>
    </x:row>
    <x:row r="92">
      <x:c r="A92" s="206" t="str">
        <x:v>TAX-EDGE-088</x:v>
      </x:c>
      <x:c r="B92" s="207" t="str">
        <x:v>Налоги/ФОТ</x:v>
      </x:c>
      <x:c r="C92" s="207" t="str">
        <x:v>ЗП за январь 2026.xlsx</x:v>
      </x:c>
      <x:c r="D92" s="207" t="str">
        <x:v>VTB_BankStatement_40802810500000006196_01.01.2024-22.06.2026_417014.pdf</x:v>
      </x:c>
      <x:c r="E92" s="207" t="str">
        <x:v>Payroll rows ↔ bank registry</x:v>
      </x:c>
      <x:c r="F92" s="207" t="str">
        <x:v>2026-01</x:v>
      </x:c>
      <x:c r="G92" s="207" t="str">
        <x:v>date + amount + account</x:v>
      </x:c>
      <x:c r="H92" s="207" t="str">
        <x:v>Не проверено построчно</x:v>
      </x:c>
      <x:c r="I92" s="207" t="str">
        <x:v>Частично</x:v>
      </x:c>
      <x:c r="J92" s="207" t="str">
        <x:v>Файл имеется, но batch-level сверка не выполнена</x:v>
      </x:c>
      <x:c r="K92" s="207" t="str">
        <x:v>employee_id / payroll_batch_id</x:v>
      </x:c>
      <x:c r="L92" s="207" t="str">
        <x:v>employee_id + payroll_batch_id + bank_payment_id</x:v>
      </x:c>
      <x:c r="M92" s="207" t="str">
        <x:v>Employee-level выплата ФОТ</x:v>
      </x:c>
      <x:c r="N92" s="207" t="str">
        <x:v>HR/Финансы</x:v>
      </x:c>
      <x:c r="O92" s="208" t="str">
        <x:v>Высокий без obligation/ENS ID</x:v>
      </x:c>
    </x:row>
    <x:row r="93">
      <x:c r="A93" s="206" t="str">
        <x:v>TAX-EDGE-089</x:v>
      </x:c>
      <x:c r="B93" s="207" t="str">
        <x:v>Налоги/ФОТ</x:v>
      </x:c>
      <x:c r="C93" s="207" t="str">
        <x:v>ЗП за январь 2026.xlsx</x:v>
      </x:c>
      <x:c r="D93" s="207" t="str">
        <x:v>VTB_BankStatement_40702810804000008482_01.01.2024-22.06.2026_376277.pdf</x:v>
      </x:c>
      <x:c r="E93" s="207" t="str">
        <x:v>Payroll rows ↔ bank registry</x:v>
      </x:c>
      <x:c r="F93" s="207" t="str">
        <x:v>2026-01</x:v>
      </x:c>
      <x:c r="G93" s="207" t="str">
        <x:v>date + amount + account</x:v>
      </x:c>
      <x:c r="H93" s="207" t="str">
        <x:v>Не проверено построчно</x:v>
      </x:c>
      <x:c r="I93" s="207" t="str">
        <x:v>Частично</x:v>
      </x:c>
      <x:c r="J93" s="207" t="str">
        <x:v>Файл имеется, но batch-level сверка не выполнена</x:v>
      </x:c>
      <x:c r="K93" s="207" t="str">
        <x:v>employee_id / payroll_batch_id</x:v>
      </x:c>
      <x:c r="L93" s="207" t="str">
        <x:v>employee_id + payroll_batch_id + bank_payment_id</x:v>
      </x:c>
      <x:c r="M93" s="207" t="str">
        <x:v>Employee-level выплата ФОТ</x:v>
      </x:c>
      <x:c r="N93" s="207" t="str">
        <x:v>HR/Финансы</x:v>
      </x:c>
      <x:c r="O93" s="208" t="str">
        <x:v>Высокий без obligation/ENS ID</x:v>
      </x:c>
    </x:row>
    <x:row r="94">
      <x:c r="A94" s="206" t="str">
        <x:v>TAX-EDGE-090</x:v>
      </x:c>
      <x:c r="B94" s="207" t="str">
        <x:v>Налоги/ФОТ</x:v>
      </x:c>
      <x:c r="C94" s="207" t="str">
        <x:v>ЗП за январь 2026.xlsx</x:v>
      </x:c>
      <x:c r="D94" s="207" t="str">
        <x:v>Расчет по страховым взносам за 1 квартал 2026 г. (Янина Ю. Ф. ИП).pdf</x:v>
      </x:c>
      <x:c r="E94" s="207" t="str">
        <x:v>Payroll accrual ↔ tax form</x:v>
      </x:c>
      <x:c r="F94" s="207" t="str">
        <x:v>2026-01</x:v>
      </x:c>
      <x:c r="G94" s="207" t="str">
        <x:v>month/year aggregate</x:v>
      </x:c>
      <x:c r="H94" s="207" t="str">
        <x:v>Частично</x:v>
      </x:c>
      <x:c r="I94" s="207" t="str">
        <x:v>Частично</x:v>
      </x:c>
      <x:c r="J94" s="207" t="str">
        <x:v>Месячные файлы покрывают только часть года/периметра</x:v>
      </x:c>
      <x:c r="K94" s="207" t="str">
        <x:v>employee_id + income type + tax base</x:v>
      </x:c>
      <x:c r="L94" s="207" t="str">
        <x:v>employer_id + employee_id + accrual_period + tax_code</x:v>
      </x:c>
      <x:c r="M94" s="207" t="str">
        <x:v>Employee-level НДФЛ/РСВ — заблокировано</x:v>
      </x:c>
      <x:c r="N94" s="207" t="str">
        <x:v>HR/Бухгалтерия</x:v>
      </x:c>
      <x:c r="O94" s="208" t="str">
        <x:v>Высокий без obligation/ENS ID</x:v>
      </x:c>
    </x:row>
    <x:row r="95">
      <x:c r="A95" s="206" t="str">
        <x:v>TAX-EDGE-091</x:v>
      </x:c>
      <x:c r="B95" s="207" t="str">
        <x:v>Налоги/ФОТ</x:v>
      </x:c>
      <x:c r="C95" s="207" t="str">
        <x:v>ЗП за январь 2026.xlsx</x:v>
      </x:c>
      <x:c r="D95" s="207" t="str">
        <x:v>Расчет по страховым взносам за 1 квартал 2026 г. (Янина Ю. Ф. ИП).pdf</x:v>
      </x:c>
      <x:c r="E95" s="207" t="str">
        <x:v>Payroll accrual ↔ tax form</x:v>
      </x:c>
      <x:c r="F95" s="207" t="str">
        <x:v>2026-01</x:v>
      </x:c>
      <x:c r="G95" s="207" t="str">
        <x:v>month/year aggregate</x:v>
      </x:c>
      <x:c r="H95" s="207" t="str">
        <x:v>Частично</x:v>
      </x:c>
      <x:c r="I95" s="207" t="str">
        <x:v>Частично</x:v>
      </x:c>
      <x:c r="J95" s="207" t="str">
        <x:v>Месячные файлы покрывают только часть года/периметра</x:v>
      </x:c>
      <x:c r="K95" s="207" t="str">
        <x:v>employee_id + income type + tax base</x:v>
      </x:c>
      <x:c r="L95" s="207" t="str">
        <x:v>employer_id + employee_id + accrual_period + tax_code</x:v>
      </x:c>
      <x:c r="M95" s="207" t="str">
        <x:v>Employee-level НДФЛ/РСВ — заблокировано</x:v>
      </x:c>
      <x:c r="N95" s="207" t="str">
        <x:v>HR/Бухгалтерия</x:v>
      </x:c>
      <x:c r="O95" s="208" t="str">
        <x:v>Высокий без obligation/ENS ID</x:v>
      </x:c>
    </x:row>
    <x:row r="96">
      <x:c r="A96" s="206" t="str">
        <x:v>TAX-EDGE-092</x:v>
      </x:c>
      <x:c r="B96" s="207" t="str">
        <x:v>Налоги/ФОТ</x:v>
      </x:c>
      <x:c r="C96" s="207" t="str">
        <x:v>ЗП_ЦЕХ 05.26.xlsx</x:v>
      </x:c>
      <x:c r="D96" s="207" t="str">
        <x:v>ЗП за май 2026.xlsx</x:v>
      </x:c>
      <x:c r="E96" s="207" t="str">
        <x:v>Вспомогательная ведомость ↔ основной payroll</x:v>
      </x:c>
      <x:c r="F96" s="207" t="str">
        <x:v>2026-05</x:v>
      </x:c>
      <x:c r="G96" s="207" t="str">
        <x:v>month + employee name/manual total</x:v>
      </x:c>
      <x:c r="H96" s="207" t="str">
        <x:v>Частично</x:v>
      </x:c>
      <x:c r="I96" s="207" t="str">
        <x:v>Частично</x:v>
      </x:c>
      <x:c r="J96" s="207" t="str">
        <x:v>Оба файла существуют в одном месяце</x:v>
      </x:c>
      <x:c r="K96" s="207" t="str">
        <x:v>employee_id + payroll_component_id</x:v>
      </x:c>
      <x:c r="L96" s="207" t="str">
        <x:v>employee_id + accrual_period + component_code</x:v>
      </x:c>
      <x:c r="M96" s="207" t="str">
        <x:v>Полная стоимость ФОТ по сотруднику</x:v>
      </x:c>
      <x:c r="N96" s="207" t="str">
        <x:v>HR</x:v>
      </x:c>
      <x:c r="O96" s="208" t="str">
        <x:v>Высокий без obligation/ENS ID</x:v>
      </x:c>
    </x:row>
    <x:row r="97">
      <x:c r="A97" s="206" t="str">
        <x:v>TAX-EDGE-093</x:v>
      </x:c>
      <x:c r="B97" s="207" t="str">
        <x:v>Налоги/ФОТ</x:v>
      </x:c>
      <x:c r="C97" s="207" t="str">
        <x:v>ЗП_ЦЕХ 03.26.xlsx</x:v>
      </x:c>
      <x:c r="D97" s="207" t="str">
        <x:v>ЗП за март 2026.xlsx</x:v>
      </x:c>
      <x:c r="E97" s="207" t="str">
        <x:v>Вспомогательная ведомость ↔ основной payroll</x:v>
      </x:c>
      <x:c r="F97" s="207" t="str">
        <x:v>2026-03</x:v>
      </x:c>
      <x:c r="G97" s="207" t="str">
        <x:v>month + employee name/manual total</x:v>
      </x:c>
      <x:c r="H97" s="207" t="str">
        <x:v>Частично</x:v>
      </x:c>
      <x:c r="I97" s="207" t="str">
        <x:v>Частично</x:v>
      </x:c>
      <x:c r="J97" s="207" t="str">
        <x:v>Оба файла существуют в одном месяце</x:v>
      </x:c>
      <x:c r="K97" s="207" t="str">
        <x:v>employee_id + payroll_component_id</x:v>
      </x:c>
      <x:c r="L97" s="207" t="str">
        <x:v>employee_id + accrual_period + component_code</x:v>
      </x:c>
      <x:c r="M97" s="207" t="str">
        <x:v>Полная стоимость ФОТ по сотруднику</x:v>
      </x:c>
      <x:c r="N97" s="207" t="str">
        <x:v>HR</x:v>
      </x:c>
      <x:c r="O97" s="208" t="str">
        <x:v>Высокий без obligation/ENS ID</x:v>
      </x:c>
    </x:row>
    <x:row r="98">
      <x:c r="A98" s="206" t="str">
        <x:v>TAX-EDGE-094</x:v>
      </x:c>
      <x:c r="B98" s="207" t="str">
        <x:v>Налоги/ФОТ</x:v>
      </x:c>
      <x:c r="C98" s="207" t="str">
        <x:v>ЗП_ЦЕХ 04.26.xlsx</x:v>
      </x:c>
      <x:c r="D98" s="207" t="str">
        <x:v>ЗП за апрель 2026.xlsx</x:v>
      </x:c>
      <x:c r="E98" s="207" t="str">
        <x:v>Вспомогательная ведомость ↔ основной payroll</x:v>
      </x:c>
      <x:c r="F98" s="207" t="str">
        <x:v>2026-04</x:v>
      </x:c>
      <x:c r="G98" s="207" t="str">
        <x:v>month + employee name/manual total</x:v>
      </x:c>
      <x:c r="H98" s="207" t="str">
        <x:v>Частично</x:v>
      </x:c>
      <x:c r="I98" s="207" t="str">
        <x:v>Частично</x:v>
      </x:c>
      <x:c r="J98" s="207" t="str">
        <x:v>Оба файла существуют в одном месяце</x:v>
      </x:c>
      <x:c r="K98" s="207" t="str">
        <x:v>employee_id + payroll_component_id</x:v>
      </x:c>
      <x:c r="L98" s="207" t="str">
        <x:v>employee_id + accrual_period + component_code</x:v>
      </x:c>
      <x:c r="M98" s="207" t="str">
        <x:v>Полная стоимость ФОТ по сотруднику</x:v>
      </x:c>
      <x:c r="N98" s="207" t="str">
        <x:v>HR</x:v>
      </x:c>
      <x:c r="O98" s="208" t="str">
        <x:v>Высокий без obligation/ENS ID</x:v>
      </x:c>
    </x:row>
    <x:row r="99">
      <x:c r="A99" s="206" t="str">
        <x:v>TAX-EDGE-095</x:v>
      </x:c>
      <x:c r="B99" s="207" t="str">
        <x:v>Налоги/ФОТ</x:v>
      </x:c>
      <x:c r="C99" s="207" t="str">
        <x:v>ЗП_ЦЕХ 01.26.xlsx</x:v>
      </x:c>
      <x:c r="D99" s="207" t="str">
        <x:v>ЗП за январь 2026.xlsx</x:v>
      </x:c>
      <x:c r="E99" s="207" t="str">
        <x:v>Вспомогательная ведомость ↔ основной payroll</x:v>
      </x:c>
      <x:c r="F99" s="207" t="str">
        <x:v>2026-01</x:v>
      </x:c>
      <x:c r="G99" s="207" t="str">
        <x:v>month + employee name/manual total</x:v>
      </x:c>
      <x:c r="H99" s="207" t="str">
        <x:v>Частично</x:v>
      </x:c>
      <x:c r="I99" s="207" t="str">
        <x:v>Частично</x:v>
      </x:c>
      <x:c r="J99" s="207" t="str">
        <x:v>Оба файла существуют в одном месяце</x:v>
      </x:c>
      <x:c r="K99" s="207" t="str">
        <x:v>employee_id + payroll_component_id</x:v>
      </x:c>
      <x:c r="L99" s="207" t="str">
        <x:v>employee_id + accrual_period + component_code</x:v>
      </x:c>
      <x:c r="M99" s="207" t="str">
        <x:v>Полная стоимость ФОТ по сотруднику</x:v>
      </x:c>
      <x:c r="N99" s="207" t="str">
        <x:v>HR</x:v>
      </x:c>
      <x:c r="O99" s="208" t="str">
        <x:v>Высокий без obligation/ENS ID</x:v>
      </x:c>
    </x:row>
    <x:row r="100">
      <x:c r="A100" s="206" t="str">
        <x:v>TAX-EDGE-096</x:v>
      </x:c>
      <x:c r="B100" s="207" t="str">
        <x:v>Налоги/ФОТ</x:v>
      </x:c>
      <x:c r="C100" s="207" t="str">
        <x:v>ЗП_ЦЕХ 02.26.xlsx</x:v>
      </x:c>
      <x:c r="D100" s="207" t="str">
        <x:v>ЗП за февраль 2026.xlsx</x:v>
      </x:c>
      <x:c r="E100" s="207" t="str">
        <x:v>Вспомогательная ведомость ↔ основной payroll</x:v>
      </x:c>
      <x:c r="F100" s="207" t="str">
        <x:v>2026-02</x:v>
      </x:c>
      <x:c r="G100" s="207" t="str">
        <x:v>month + employee name/manual total</x:v>
      </x:c>
      <x:c r="H100" s="207" t="str">
        <x:v>Частично</x:v>
      </x:c>
      <x:c r="I100" s="207" t="str">
        <x:v>Частично</x:v>
      </x:c>
      <x:c r="J100" s="207" t="str">
        <x:v>Оба файла существуют в одном месяце</x:v>
      </x:c>
      <x:c r="K100" s="207" t="str">
        <x:v>employee_id + payroll_component_id</x:v>
      </x:c>
      <x:c r="L100" s="207" t="str">
        <x:v>employee_id + accrual_period + component_code</x:v>
      </x:c>
      <x:c r="M100" s="207" t="str">
        <x:v>Полная стоимость ФОТ по сотруднику</x:v>
      </x:c>
      <x:c r="N100" s="207" t="str">
        <x:v>HR</x:v>
      </x:c>
      <x:c r="O100" s="208" t="str">
        <x:v>Высокий без obligation/ENS ID</x:v>
      </x:c>
    </x:row>
    <x:row r="101">
      <x:c r="A101" s="206" t="str">
        <x:v>TAX-EDGE-097</x:v>
      </x:c>
      <x:c r="B101" s="207" t="str">
        <x:v>Налоги/ФОТ</x:v>
      </x:c>
      <x:c r="C101" s="207" t="str">
        <x:v>зп_конструкторы_05.26.xlsx</x:v>
      </x:c>
      <x:c r="D101" s="207" t="str">
        <x:v>ЗП за май 2026.xlsx</x:v>
      </x:c>
      <x:c r="E101" s="207" t="str">
        <x:v>Вспомогательная ведомость ↔ основной payroll</x:v>
      </x:c>
      <x:c r="F101" s="207" t="str">
        <x:v>2026-05</x:v>
      </x:c>
      <x:c r="G101" s="207" t="str">
        <x:v>month + employee name/manual total</x:v>
      </x:c>
      <x:c r="H101" s="207" t="str">
        <x:v>Частично</x:v>
      </x:c>
      <x:c r="I101" s="207" t="str">
        <x:v>Частично</x:v>
      </x:c>
      <x:c r="J101" s="207" t="str">
        <x:v>Оба файла существуют в одном месяце</x:v>
      </x:c>
      <x:c r="K101" s="207" t="str">
        <x:v>employee_id + payroll_component_id</x:v>
      </x:c>
      <x:c r="L101" s="207" t="str">
        <x:v>employee_id + accrual_period + component_code</x:v>
      </x:c>
      <x:c r="M101" s="207" t="str">
        <x:v>Полная стоимость ФОТ по сотруднику</x:v>
      </x:c>
      <x:c r="N101" s="207" t="str">
        <x:v>HR</x:v>
      </x:c>
      <x:c r="O101" s="208" t="str">
        <x:v>Высокий без obligation/ENS ID</x:v>
      </x:c>
    </x:row>
    <x:row r="102">
      <x:c r="A102" s="206" t="str">
        <x:v>TAX-EDGE-098</x:v>
      </x:c>
      <x:c r="B102" s="207" t="str">
        <x:v>Налоги/ФОТ</x:v>
      </x:c>
      <x:c r="C102" s="207" t="str">
        <x:v>зп_конструкторы_04.26.xlsx</x:v>
      </x:c>
      <x:c r="D102" s="207" t="str">
        <x:v>ЗП за апрель 2026.xlsx</x:v>
      </x:c>
      <x:c r="E102" s="207" t="str">
        <x:v>Вспомогательная ведомость ↔ основной payroll</x:v>
      </x:c>
      <x:c r="F102" s="207" t="str">
        <x:v>2026-04</x:v>
      </x:c>
      <x:c r="G102" s="207" t="str">
        <x:v>month + employee name/manual total</x:v>
      </x:c>
      <x:c r="H102" s="207" t="str">
        <x:v>Частично</x:v>
      </x:c>
      <x:c r="I102" s="207" t="str">
        <x:v>Частично</x:v>
      </x:c>
      <x:c r="J102" s="207" t="str">
        <x:v>Оба файла существуют в одном месяце</x:v>
      </x:c>
      <x:c r="K102" s="207" t="str">
        <x:v>employee_id + payroll_component_id</x:v>
      </x:c>
      <x:c r="L102" s="207" t="str">
        <x:v>employee_id + accrual_period + component_code</x:v>
      </x:c>
      <x:c r="M102" s="207" t="str">
        <x:v>Полная стоимость ФОТ по сотруднику</x:v>
      </x:c>
      <x:c r="N102" s="207" t="str">
        <x:v>HR</x:v>
      </x:c>
      <x:c r="O102" s="208" t="str">
        <x:v>Высокий без obligation/ENS ID</x:v>
      </x:c>
    </x:row>
    <x:row r="103">
      <x:c r="A103" s="206" t="str">
        <x:v>TAX-EDGE-099</x:v>
      </x:c>
      <x:c r="B103" s="207" t="str">
        <x:v>Налоги/ФОТ</x:v>
      </x:c>
      <x:c r="C103" s="207" t="str">
        <x:v>зп_конструкторы_03.26.xlsx</x:v>
      </x:c>
      <x:c r="D103" s="207" t="str">
        <x:v>ЗП за март 2026.xlsx</x:v>
      </x:c>
      <x:c r="E103" s="207" t="str">
        <x:v>Вспомогательная ведомость ↔ основной payroll</x:v>
      </x:c>
      <x:c r="F103" s="207" t="str">
        <x:v>2026-03</x:v>
      </x:c>
      <x:c r="G103" s="207" t="str">
        <x:v>month + employee name/manual total</x:v>
      </x:c>
      <x:c r="H103" s="207" t="str">
        <x:v>Частично</x:v>
      </x:c>
      <x:c r="I103" s="207" t="str">
        <x:v>Частично</x:v>
      </x:c>
      <x:c r="J103" s="207" t="str">
        <x:v>Оба файла существуют в одном месяце</x:v>
      </x:c>
      <x:c r="K103" s="207" t="str">
        <x:v>employee_id + payroll_component_id</x:v>
      </x:c>
      <x:c r="L103" s="207" t="str">
        <x:v>employee_id + accrual_period + component_code</x:v>
      </x:c>
      <x:c r="M103" s="207" t="str">
        <x:v>Полная стоимость ФОТ по сотруднику</x:v>
      </x:c>
      <x:c r="N103" s="207" t="str">
        <x:v>HR</x:v>
      </x:c>
      <x:c r="O103" s="208" t="str">
        <x:v>Высокий без obligation/ENS ID</x:v>
      </x:c>
    </x:row>
    <x:row r="104">
      <x:c r="A104" s="206" t="str">
        <x:v>TAX-EDGE-100</x:v>
      </x:c>
      <x:c r="B104" s="207" t="str">
        <x:v>Налоги/ФОТ</x:v>
      </x:c>
      <x:c r="C104" s="207" t="str">
        <x:v>зп_конструкторы_02.26.xlsx</x:v>
      </x:c>
      <x:c r="D104" s="207" t="str">
        <x:v>ЗП за февраль 2026.xlsx</x:v>
      </x:c>
      <x:c r="E104" s="207" t="str">
        <x:v>Вспомогательная ведомость ↔ основной payroll</x:v>
      </x:c>
      <x:c r="F104" s="207" t="str">
        <x:v>2026-02</x:v>
      </x:c>
      <x:c r="G104" s="207" t="str">
        <x:v>month + employee name/manual total</x:v>
      </x:c>
      <x:c r="H104" s="207" t="str">
        <x:v>Частично</x:v>
      </x:c>
      <x:c r="I104" s="207" t="str">
        <x:v>Частично</x:v>
      </x:c>
      <x:c r="J104" s="207" t="str">
        <x:v>Оба файла существуют в одном месяце</x:v>
      </x:c>
      <x:c r="K104" s="207" t="str">
        <x:v>employee_id + payroll_component_id</x:v>
      </x:c>
      <x:c r="L104" s="207" t="str">
        <x:v>employee_id + accrual_period + component_code</x:v>
      </x:c>
      <x:c r="M104" s="207" t="str">
        <x:v>Полная стоимость ФОТ по сотруднику</x:v>
      </x:c>
      <x:c r="N104" s="207" t="str">
        <x:v>HR</x:v>
      </x:c>
      <x:c r="O104" s="208" t="str">
        <x:v>Высокий без obligation/ENS ID</x:v>
      </x:c>
    </x:row>
    <x:row r="105">
      <x:c r="A105" s="206" t="str">
        <x:v>TAX-EDGE-101</x:v>
      </x:c>
      <x:c r="B105" s="207" t="str">
        <x:v>Налоги/ФОТ</x:v>
      </x:c>
      <x:c r="C105" s="207" t="str">
        <x:v>зп_конструкторы_01.26.xlsx</x:v>
      </x:c>
      <x:c r="D105" s="207" t="str">
        <x:v>ЗП за январь 2026.xlsx</x:v>
      </x:c>
      <x:c r="E105" s="207" t="str">
        <x:v>Вспомогательная ведомость ↔ основной payroll</x:v>
      </x:c>
      <x:c r="F105" s="207" t="str">
        <x:v>2026-01</x:v>
      </x:c>
      <x:c r="G105" s="207" t="str">
        <x:v>month + employee name/manual total</x:v>
      </x:c>
      <x:c r="H105" s="207" t="str">
        <x:v>Частично</x:v>
      </x:c>
      <x:c r="I105" s="207" t="str">
        <x:v>Частично</x:v>
      </x:c>
      <x:c r="J105" s="207" t="str">
        <x:v>Оба файла существуют в одном месяце</x:v>
      </x:c>
      <x:c r="K105" s="207" t="str">
        <x:v>employee_id + payroll_component_id</x:v>
      </x:c>
      <x:c r="L105" s="207" t="str">
        <x:v>employee_id + accrual_period + component_code</x:v>
      </x:c>
      <x:c r="M105" s="207" t="str">
        <x:v>Полная стоимость ФОТ по сотруднику</x:v>
      </x:c>
      <x:c r="N105" s="207" t="str">
        <x:v>HR</x:v>
      </x:c>
      <x:c r="O105" s="208" t="str">
        <x:v>Высокий без obligation/ENS ID</x:v>
      </x:c>
    </x:row>
    <x:row r="106">
      <x:c r="A106" s="206" t="str">
        <x:v>TAX-EDGE-102</x:v>
      </x:c>
      <x:c r="B106" s="207" t="str">
        <x:v>Налоги/ФОТ</x:v>
      </x:c>
      <x:c r="C106" s="207" t="str">
        <x:v>VTB_BankStatement_40802810500000006196_01.01.2024-22.06.2026_417014.pdf</x:v>
      </x:c>
      <x:c r="D106" s="207" t="str">
        <x:v>ДДС 2024.xlsx</x:v>
      </x:c>
      <x:c r="E106" s="207" t="str">
        <x:v>Bank tax payment ↔ ДДС tax article</x:v>
      </x:c>
      <x:c r="F106" s="207" t="str">
        <x:v>2024</x:v>
      </x:c>
      <x:c r="G106" s="207" t="str">
        <x:v>date + amount + account + description</x:v>
      </x:c>
      <x:c r="H106" s="207" t="str">
        <x:v>Частично</x:v>
      </x:c>
      <x:c r="I106" s="207" t="str">
        <x:v>Частично</x:v>
      </x:c>
      <x:c r="J106" s="207" t="str">
        <x:v>Налоговые операции классифицированы в банке; полная строковая сверка ДДС не выполнена</x:v>
      </x:c>
      <x:c r="K106" s="207" t="str">
        <x:v>bank_payment_id в ДДС</x:v>
      </x:c>
      <x:c r="L106" s="207" t="str">
        <x:v>bank_payment_id</x:v>
      </x:c>
      <x:c r="M106" s="207" t="str">
        <x:v>Cash-flow tax classification</x:v>
      </x:c>
      <x:c r="N106" s="207" t="str">
        <x:v>Финансы</x:v>
      </x:c>
      <x:c r="O106" s="208" t="str">
        <x:v>Высокий без obligation/ENS ID</x:v>
      </x:c>
    </x:row>
    <x:row r="107">
      <x:c r="A107" s="206" t="str">
        <x:v>TAX-EDGE-103</x:v>
      </x:c>
      <x:c r="B107" s="207" t="str">
        <x:v>Налоги/ФОТ</x:v>
      </x:c>
      <x:c r="C107" s="207" t="str">
        <x:v>VTB_BankStatement_40802810500000006196_01.01.2024-22.06.2026_417014.pdf</x:v>
      </x:c>
      <x:c r="D107" s="207" t="str">
        <x:v>ДДС 2025.xlsx</x:v>
      </x:c>
      <x:c r="E107" s="207" t="str">
        <x:v>Bank tax payment ↔ ДДС tax article</x:v>
      </x:c>
      <x:c r="F107" s="207" t="str">
        <x:v>2025</x:v>
      </x:c>
      <x:c r="G107" s="207" t="str">
        <x:v>date + amount + account + description</x:v>
      </x:c>
      <x:c r="H107" s="207" t="str">
        <x:v>Частично</x:v>
      </x:c>
      <x:c r="I107" s="207" t="str">
        <x:v>Частично</x:v>
      </x:c>
      <x:c r="J107" s="207" t="str">
        <x:v>Налоговые операции классифицированы в банке; полная строковая сверка ДДС не выполнена</x:v>
      </x:c>
      <x:c r="K107" s="207" t="str">
        <x:v>bank_payment_id в ДДС</x:v>
      </x:c>
      <x:c r="L107" s="207" t="str">
        <x:v>bank_payment_id</x:v>
      </x:c>
      <x:c r="M107" s="207" t="str">
        <x:v>Cash-flow tax classification</x:v>
      </x:c>
      <x:c r="N107" s="207" t="str">
        <x:v>Финансы</x:v>
      </x:c>
      <x:c r="O107" s="208" t="str">
        <x:v>Высокий без obligation/ENS ID</x:v>
      </x:c>
    </x:row>
    <x:row r="108">
      <x:c r="A108" s="206" t="str">
        <x:v>TAX-EDGE-104</x:v>
      </x:c>
      <x:c r="B108" s="207" t="str">
        <x:v>Налоги/ФОТ</x:v>
      </x:c>
      <x:c r="C108" s="207" t="str">
        <x:v>VTB_BankStatement_40802810500000006196_01.01.2024-22.06.2026_417014.pdf</x:v>
      </x:c>
      <x:c r="D108" s="207" t="str">
        <x:v>ДДС 2026.xlxs.xlsx</x:v>
      </x:c>
      <x:c r="E108" s="207" t="str">
        <x:v>Bank tax payment ↔ ДДС tax article</x:v>
      </x:c>
      <x:c r="F108" s="207" t="str">
        <x:v>2026</x:v>
      </x:c>
      <x:c r="G108" s="207" t="str">
        <x:v>date + amount + account + description</x:v>
      </x:c>
      <x:c r="H108" s="207" t="str">
        <x:v>Частично</x:v>
      </x:c>
      <x:c r="I108" s="207" t="str">
        <x:v>Частично</x:v>
      </x:c>
      <x:c r="J108" s="207" t="str">
        <x:v>Налоговые операции классифицированы в банке; полная строковая сверка ДДС не выполнена</x:v>
      </x:c>
      <x:c r="K108" s="207" t="str">
        <x:v>bank_payment_id в ДДС</x:v>
      </x:c>
      <x:c r="L108" s="207" t="str">
        <x:v>bank_payment_id</x:v>
      </x:c>
      <x:c r="M108" s="207" t="str">
        <x:v>Cash-flow tax classification</x:v>
      </x:c>
      <x:c r="N108" s="207" t="str">
        <x:v>Финансы</x:v>
      </x:c>
      <x:c r="O108" s="208" t="str">
        <x:v>Высокий без obligation/ENS ID</x:v>
      </x:c>
    </x:row>
    <x:row r="109">
      <x:c r="A109" s="206" t="str">
        <x:v>TAX-EDGE-105</x:v>
      </x:c>
      <x:c r="B109" s="207" t="str">
        <x:v>Налоги/ФОТ</x:v>
      </x:c>
      <x:c r="C109" s="207" t="str">
        <x:v>VTB_BankStatement_40802810500000006196_01.01.2024-22.06.2026_417014.pdf</x:v>
      </x:c>
      <x:c r="D109" s="207" t="str">
        <x:v>Сведения о наличии отрицательного сальдо ЕНС.pdf</x:v>
      </x:c>
      <x:c r="E109" s="207" t="str">
        <x:v>Исторические платежи ↔ point-in-time status</x:v>
      </x:c>
      <x:c r="F109" s="207" t="str">
        <x:v>2024–25.06.2026</x:v>
      </x:c>
      <x:c r="G109" s="207" t="str">
        <x:v>entity only</x:v>
      </x:c>
      <x:c r="H109" s="207" t="str">
        <x:v>Частично</x:v>
      </x:c>
      <x:c r="I109" s="207" t="str">
        <x:v>Частично</x:v>
      </x:c>
      <x:c r="J109" s="207" t="str">
        <x:v>Справка подтверждает статус на одну дату, не lineage платежей</x:v>
      </x:c>
      <x:c r="K109" s="207" t="str">
        <x:v>ens_allocation_id / operations ENS</x:v>
      </x:c>
      <x:c r="L109" s="207" t="str">
        <x:v>bank_payment_id → ens_allocation_id → status_date</x:v>
      </x:c>
      <x:c r="M109" s="207" t="str">
        <x:v>Текущая задолженность — только ИП</x:v>
      </x:c>
      <x:c r="N109" s="207" t="str">
        <x:v>Бухгалтерия</x:v>
      </x:c>
      <x:c r="O109" s="208" t="str">
        <x:v>Высокий без obligation/ENS ID</x:v>
      </x:c>
    </x:row>
    <x:row r="110">
      <x:c r="A110" s="206" t="str">
        <x:v>TAX-EDGE-106</x:v>
      </x:c>
      <x:c r="B110" s="207" t="str">
        <x:v>Налоги/ФОТ</x:v>
      </x:c>
      <x:c r="C110" s="207" t="str">
        <x:v>VTB_BankStatement_40802810500000006196_01.01.2024-22.06.2026_417014.pdf</x:v>
      </x:c>
      <x:c r="D110" s="207" t="str">
        <x:v>Справка о расчетах по взносам на несч.сл на 25.06.2026.pdf</x:v>
      </x:c>
      <x:c r="E110" s="207" t="str">
        <x:v>Исторические платежи ↔ point-in-time status</x:v>
      </x:c>
      <x:c r="F110" s="207" t="str">
        <x:v>2024–25.06.2026</x:v>
      </x:c>
      <x:c r="G110" s="207" t="str">
        <x:v>entity only</x:v>
      </x:c>
      <x:c r="H110" s="207" t="str">
        <x:v>Частично</x:v>
      </x:c>
      <x:c r="I110" s="207" t="str">
        <x:v>Частично</x:v>
      </x:c>
      <x:c r="J110" s="207" t="str">
        <x:v>Справка подтверждает статус на одну дату, не lineage платежей</x:v>
      </x:c>
      <x:c r="K110" s="207" t="str">
        <x:v>ens_allocation_id / operations ENS</x:v>
      </x:c>
      <x:c r="L110" s="207" t="str">
        <x:v>bank_payment_id → ens_allocation_id → status_date</x:v>
      </x:c>
      <x:c r="M110" s="207" t="str">
        <x:v>Текущая задолженность — только ИП</x:v>
      </x:c>
      <x:c r="N110" s="207" t="str">
        <x:v>Бухгалтерия</x:v>
      </x:c>
      <x:c r="O110" s="208" t="str">
        <x:v>Высокий без obligation/ENS ID</x:v>
      </x:c>
    </x:row>
    <x:row r="111">
      <x:c r="A111" s="206" t="str">
        <x:v>TAX-EDGE-107</x:v>
      </x:c>
      <x:c r="B111" s="207" t="str">
        <x:v>Налоги/ФОТ</x:v>
      </x:c>
      <x:c r="C111" s="207" t="str">
        <x:v>VTB_BankStatement_40802810500000006196_01.01.2024-22.06.2026_417014.pdf</x:v>
      </x:c>
      <x:c r="D111" s="207" t="str">
        <x:v>Справка об исполнении обязанности по налогам.pdf</x:v>
      </x:c>
      <x:c r="E111" s="207" t="str">
        <x:v>Исторические платежи ↔ point-in-time status</x:v>
      </x:c>
      <x:c r="F111" s="207" t="str">
        <x:v>2024–25.06.2026</x:v>
      </x:c>
      <x:c r="G111" s="207" t="str">
        <x:v>entity only</x:v>
      </x:c>
      <x:c r="H111" s="207" t="str">
        <x:v>Частично</x:v>
      </x:c>
      <x:c r="I111" s="207" t="str">
        <x:v>Частично</x:v>
      </x:c>
      <x:c r="J111" s="207" t="str">
        <x:v>Справка подтверждает статус на одну дату, не lineage платежей</x:v>
      </x:c>
      <x:c r="K111" s="207" t="str">
        <x:v>ens_allocation_id / operations ENS</x:v>
      </x:c>
      <x:c r="L111" s="207" t="str">
        <x:v>bank_payment_id → ens_allocation_id → status_date</x:v>
      </x:c>
      <x:c r="M111" s="207" t="str">
        <x:v>Текущая задолженность — только ИП</x:v>
      </x:c>
      <x:c r="N111" s="207" t="str">
        <x:v>Бухгалтерия</x:v>
      </x:c>
      <x:c r="O111" s="208" t="str">
        <x:v>Высокий без obligation/ENS ID</x:v>
      </x:c>
    </x:row>
    <x:row r="112">
      <x:c r="A112" s="206" t="str">
        <x:v>TAX-EDGE-108</x:v>
      </x:c>
      <x:c r="B112" s="207" t="str">
        <x:v>Налоги/ФОТ</x:v>
      </x:c>
      <x:c r="C112" s="207" t="str">
        <x:v>VTB_BankStatement_40702810804000008482_01.01.2024-22.06.2026_376277.pdf</x:v>
      </x:c>
      <x:c r="D112" s="207" t="str">
        <x:v>ДДС 2024.xlsx</x:v>
      </x:c>
      <x:c r="E112" s="207" t="str">
        <x:v>Bank tax payment ↔ ДДС tax article</x:v>
      </x:c>
      <x:c r="F112" s="207" t="str">
        <x:v>2024</x:v>
      </x:c>
      <x:c r="G112" s="207" t="str">
        <x:v>date + amount + account + description</x:v>
      </x:c>
      <x:c r="H112" s="207" t="str">
        <x:v>Частично</x:v>
      </x:c>
      <x:c r="I112" s="207" t="str">
        <x:v>Частично</x:v>
      </x:c>
      <x:c r="J112" s="207" t="str">
        <x:v>Налоговые операции классифицированы в банке; полная строковая сверка ДДС не выполнена</x:v>
      </x:c>
      <x:c r="K112" s="207" t="str">
        <x:v>bank_payment_id в ДДС</x:v>
      </x:c>
      <x:c r="L112" s="207" t="str">
        <x:v>bank_payment_id</x:v>
      </x:c>
      <x:c r="M112" s="207" t="str">
        <x:v>Cash-flow tax classification</x:v>
      </x:c>
      <x:c r="N112" s="207" t="str">
        <x:v>Финансы</x:v>
      </x:c>
      <x:c r="O112" s="208" t="str">
        <x:v>Высокий без obligation/ENS ID</x:v>
      </x:c>
    </x:row>
    <x:row r="113">
      <x:c r="A113" s="206" t="str">
        <x:v>TAX-EDGE-109</x:v>
      </x:c>
      <x:c r="B113" s="207" t="str">
        <x:v>Налоги/ФОТ</x:v>
      </x:c>
      <x:c r="C113" s="207" t="str">
        <x:v>VTB_BankStatement_40702810804000008482_01.01.2024-22.06.2026_376277.pdf</x:v>
      </x:c>
      <x:c r="D113" s="207" t="str">
        <x:v>ДДС 2025.xlsx</x:v>
      </x:c>
      <x:c r="E113" s="207" t="str">
        <x:v>Bank tax payment ↔ ДДС tax article</x:v>
      </x:c>
      <x:c r="F113" s="207" t="str">
        <x:v>2025</x:v>
      </x:c>
      <x:c r="G113" s="207" t="str">
        <x:v>date + amount + account + description</x:v>
      </x:c>
      <x:c r="H113" s="207" t="str">
        <x:v>Частично</x:v>
      </x:c>
      <x:c r="I113" s="207" t="str">
        <x:v>Частично</x:v>
      </x:c>
      <x:c r="J113" s="207" t="str">
        <x:v>Налоговые операции классифицированы в банке; полная строковая сверка ДДС не выполнена</x:v>
      </x:c>
      <x:c r="K113" s="207" t="str">
        <x:v>bank_payment_id в ДДС</x:v>
      </x:c>
      <x:c r="L113" s="207" t="str">
        <x:v>bank_payment_id</x:v>
      </x:c>
      <x:c r="M113" s="207" t="str">
        <x:v>Cash-flow tax classification</x:v>
      </x:c>
      <x:c r="N113" s="207" t="str">
        <x:v>Финансы</x:v>
      </x:c>
      <x:c r="O113" s="208" t="str">
        <x:v>Высокий без obligation/ENS ID</x:v>
      </x:c>
    </x:row>
    <x:row r="114">
      <x:c r="A114" s="206" t="str">
        <x:v>TAX-EDGE-110</x:v>
      </x:c>
      <x:c r="B114" s="207" t="str">
        <x:v>Налоги/ФОТ</x:v>
      </x:c>
      <x:c r="C114" s="207" t="str">
        <x:v>VTB_BankStatement_40702810804000008482_01.01.2024-22.06.2026_376277.pdf</x:v>
      </x:c>
      <x:c r="D114" s="207" t="str">
        <x:v>ДДС 2026.xlxs.xlsx</x:v>
      </x:c>
      <x:c r="E114" s="207" t="str">
        <x:v>Bank tax payment ↔ ДДС tax article</x:v>
      </x:c>
      <x:c r="F114" s="207" t="str">
        <x:v>2026</x:v>
      </x:c>
      <x:c r="G114" s="207" t="str">
        <x:v>date + amount + account + description</x:v>
      </x:c>
      <x:c r="H114" s="207" t="str">
        <x:v>Частично</x:v>
      </x:c>
      <x:c r="I114" s="207" t="str">
        <x:v>Частично</x:v>
      </x:c>
      <x:c r="J114" s="207" t="str">
        <x:v>Налоговые операции классифицированы в банке; полная строковая сверка ДДС не выполнена</x:v>
      </x:c>
      <x:c r="K114" s="207" t="str">
        <x:v>bank_payment_id в ДДС</x:v>
      </x:c>
      <x:c r="L114" s="207" t="str">
        <x:v>bank_payment_id</x:v>
      </x:c>
      <x:c r="M114" s="207" t="str">
        <x:v>Cash-flow tax classification</x:v>
      </x:c>
      <x:c r="N114" s="207" t="str">
        <x:v>Финансы</x:v>
      </x:c>
      <x:c r="O114" s="208" t="str">
        <x:v>Высокий без obligation/ENS ID</x:v>
      </x:c>
    </x:row>
    <x:row r="115">
      <x:c r="A115" s="206" t="str">
        <x:v>TAX-EDGE-111</x:v>
      </x:c>
      <x:c r="B115" s="207" t="str">
        <x:v>Налоги/ФОТ</x:v>
      </x:c>
      <x:c r="C115" s="207" t="str">
        <x:v>Расчет по страховым взносам за 1 квартал 2026 г. (Янина Ю. Ф. ИП).pdf</x:v>
      </x:c>
      <x:c r="D115" s="207" t="str">
        <x:v>6-НДФЛ за 1 квартал 2026 — отсутствует</x:v>
      </x:c>
      <x:c r="E115" s="207" t="str">
        <x:v>Cross-form Q1 2026</x:v>
      </x:c>
      <x:c r="F115" s="207" t="str">
        <x:v>2026-Q1</x:v>
      </x:c>
      <x:c r="G115" s="207" t="str">
        <x:v>entity + quarter</x:v>
      </x:c>
      <x:c r="H115" s="207" t="str">
        <x:v>Отсутствует</x:v>
      </x:c>
      <x:c r="I115" s="207" t="str">
        <x:v>Отсутствует/не доказано</x:v>
      </x:c>
      <x:c r="J115" s="207" t="str">
        <x:v>РСВ Q1 имеется, сопоставимой формы 6-НДФЛ нет</x:v>
      </x:c>
      <x:c r="K115" s="207" t="str">
        <x:v>source document</x:v>
      </x:c>
      <x:c r="L115" s="207" t="str">
        <x:v>employer_id + reporting_period</x:v>
      </x:c>
      <x:c r="M115" s="207" t="str">
        <x:v>Cross-form Q1 2026 заблокировано</x:v>
      </x:c>
      <x:c r="N115" s="207" t="str">
        <x:v>Бухгалтерия</x:v>
      </x:c>
      <x:c r="O115" s="208" t="str">
        <x:v>Высокий без obligation/ENS ID</x:v>
      </x:c>
    </x:row>
    <x:row r="116">
      <x:c r="A116" s="206" t="str">
        <x:v>PROD-EDGE-001</x:v>
      </x:c>
      <x:c r="B116" s="207" t="str">
        <x:v>Продукт/операции</x:v>
      </x:c>
      <x:c r="C116" s="207" t="str">
        <x:v>Продажи ЦУМ 2024.xlsx</x:v>
      </x:c>
      <x:c r="D116" s="207" t="str">
        <x:v>MASTER_SKU</x:v>
      </x:c>
      <x:c r="E116" s="207" t="str">
        <x:v>Продажи → canonical SKU</x:v>
      </x:c>
      <x:c r="F116" s="207" t="str">
        <x:v>2024</x:v>
      </x:c>
      <x:c r="G116" s="207" t="str">
        <x:v>нормализованный артикул</x:v>
      </x:c>
      <x:c r="H116" s="207" t="str">
        <x:v>Подтверждено</x:v>
      </x:c>
      <x:c r="I116" s="207" t="str">
        <x:v>Подтверждено</x:v>
      </x:c>
      <x:c r="J116" s="207" t="str">
        <x:v>Строки продаж сформировали 234 preliminary SKU</x:v>
      </x:c>
      <x:c r="K116" s="207" t="str">
        <x:v>Официальный alias mapping</x:v>
      </x:c>
      <x:c r="L116" s="207" t="str">
        <x:v>sales_line.article → sku_alias → canonical_sku</x:v>
      </x:c>
      <x:c r="M116" s="207" t="str">
        <x:v>SKU продажи и ассортимент</x:v>
      </x:c>
      <x:c r="N116" s="207" t="str">
        <x:v>Коммерция</x:v>
      </x:c>
      <x:c r="O116" s="208" t="str">
        <x:v>Высокий при текстовом/агрегатном join</x:v>
      </x:c>
    </x:row>
    <x:row r="117">
      <x:c r="A117" s="206" t="str">
        <x:v>PROD-EDGE-002</x:v>
      </x:c>
      <x:c r="B117" s="207" t="str">
        <x:v>Продукт/операции</x:v>
      </x:c>
      <x:c r="C117" s="207" t="str">
        <x:v>Продажи ЦУМ 2024.xlsx</x:v>
      </x:c>
      <x:c r="D117" s="207" t="str">
        <x:v>COST_FILES</x:v>
      </x:c>
      <x:c r="E117" s="207" t="str">
        <x:v>SKU → полная себестоимость</x:v>
      </x:c>
      <x:c r="F117" s="207" t="str">
        <x:v>2024</x:v>
      </x:c>
      <x:c r="G117" s="207" t="str">
        <x:v>точное совпадение артикула</x:v>
      </x:c>
      <x:c r="H117" s="207" t="str">
        <x:v>Частично</x:v>
      </x:c>
      <x:c r="I117" s="207" t="str">
        <x:v>Частично</x:v>
      </x:c>
      <x:c r="J117" s="207" t="str">
        <x:v>Покрытие выручки: 11.8%</x:v>
      </x:c>
      <x:c r="K117" s="207" t="str">
        <x:v>cost_version_id и правило выбора</x:v>
      </x:c>
      <x:c r="L117" s="207" t="str">
        <x:v>canonical_sku + sale_date → approved cost_version</x:v>
      </x:c>
      <x:c r="M117" s="207" t="str">
        <x:v>Маржа SKU</x:v>
      </x:c>
      <x:c r="N117" s="207" t="str">
        <x:v>Финансы + производство</x:v>
      </x:c>
      <x:c r="O117" s="208" t="str">
        <x:v>Высокий при текстовом/агрегатном join</x:v>
      </x:c>
    </x:row>
    <x:row r="118">
      <x:c r="A118" s="206" t="str">
        <x:v>PROD-EDGE-003</x:v>
      </x:c>
      <x:c r="B118" s="207" t="str">
        <x:v>Продукт/операции</x:v>
      </x:c>
      <x:c r="C118" s="207" t="str">
        <x:v>Продажи ЦУМ 2024.xlsx</x:v>
      </x:c>
      <x:c r="D118" s="207" t="str">
        <x:v>COLLECTION_FILES</x:v>
      </x:c>
      <x:c r="E118" s="207" t="str">
        <x:v>SKU → коллекция</x:v>
      </x:c>
      <x:c r="F118" s="207" t="str">
        <x:v>2024</x:v>
      </x:c>
      <x:c r="G118" s="207" t="str">
        <x:v>точное/кандидатное совпадение кода</x:v>
      </x:c>
      <x:c r="H118" s="207" t="str">
        <x:v>Частично</x:v>
      </x:c>
      <x:c r="I118" s="207" t="str">
        <x:v>Частично</x:v>
      </x:c>
      <x:c r="J118" s="207" t="str">
        <x:v>Прямых артикулов: 6 из 121</x:v>
      </x:c>
      <x:c r="K118" s="207" t="str">
        <x:v>model alias history</x:v>
      </x:c>
      <x:c r="L118" s="207" t="str">
        <x:v>canonical_sku → model_id → collection_id</x:v>
      </x:c>
      <x:c r="M118" s="207" t="str">
        <x:v>Маржа коллекций</x:v>
      </x:c>
      <x:c r="N118" s="207" t="str">
        <x:v>Продуктовый блок</x:v>
      </x:c>
      <x:c r="O118" s="208" t="str">
        <x:v>Высокий при текстовом/агрегатном join</x:v>
      </x:c>
    </x:row>
    <x:row r="119">
      <x:c r="A119" s="206" t="str">
        <x:v>PROD-EDGE-004</x:v>
      </x:c>
      <x:c r="B119" s="207" t="str">
        <x:v>Продукт/операции</x:v>
      </x:c>
      <x:c r="C119" s="207" t="str">
        <x:v>Продажи ЦУМ 2025.xlsx</x:v>
      </x:c>
      <x:c r="D119" s="207" t="str">
        <x:v>MASTER_SKU</x:v>
      </x:c>
      <x:c r="E119" s="207" t="str">
        <x:v>Продажи → canonical SKU</x:v>
      </x:c>
      <x:c r="F119" s="207" t="str">
        <x:v>2025</x:v>
      </x:c>
      <x:c r="G119" s="207" t="str">
        <x:v>нормализованный артикул</x:v>
      </x:c>
      <x:c r="H119" s="207" t="str">
        <x:v>Подтверждено</x:v>
      </x:c>
      <x:c r="I119" s="207" t="str">
        <x:v>Подтверждено</x:v>
      </x:c>
      <x:c r="J119" s="207" t="str">
        <x:v>Строки продаж сформировали 234 preliminary SKU</x:v>
      </x:c>
      <x:c r="K119" s="207" t="str">
        <x:v>Официальный alias mapping</x:v>
      </x:c>
      <x:c r="L119" s="207" t="str">
        <x:v>sales_line.article → sku_alias → canonical_sku</x:v>
      </x:c>
      <x:c r="M119" s="207" t="str">
        <x:v>SKU продажи и ассортимент</x:v>
      </x:c>
      <x:c r="N119" s="207" t="str">
        <x:v>Коммерция</x:v>
      </x:c>
      <x:c r="O119" s="208" t="str">
        <x:v>Высокий при текстовом/агрегатном join</x:v>
      </x:c>
    </x:row>
    <x:row r="120">
      <x:c r="A120" s="206" t="str">
        <x:v>PROD-EDGE-005</x:v>
      </x:c>
      <x:c r="B120" s="207" t="str">
        <x:v>Продукт/операции</x:v>
      </x:c>
      <x:c r="C120" s="207" t="str">
        <x:v>Продажи ЦУМ 2025.xlsx</x:v>
      </x:c>
      <x:c r="D120" s="207" t="str">
        <x:v>COST_FILES</x:v>
      </x:c>
      <x:c r="E120" s="207" t="str">
        <x:v>SKU → полная себестоимость</x:v>
      </x:c>
      <x:c r="F120" s="207" t="str">
        <x:v>2025</x:v>
      </x:c>
      <x:c r="G120" s="207" t="str">
        <x:v>точное совпадение артикула</x:v>
      </x:c>
      <x:c r="H120" s="207" t="str">
        <x:v>Частично</x:v>
      </x:c>
      <x:c r="I120" s="207" t="str">
        <x:v>Частично</x:v>
      </x:c>
      <x:c r="J120" s="207" t="str">
        <x:v>Покрытие выручки: 63.0%</x:v>
      </x:c>
      <x:c r="K120" s="207" t="str">
        <x:v>cost_version_id и правило выбора</x:v>
      </x:c>
      <x:c r="L120" s="207" t="str">
        <x:v>canonical_sku + sale_date → approved cost_version</x:v>
      </x:c>
      <x:c r="M120" s="207" t="str">
        <x:v>Маржа SKU</x:v>
      </x:c>
      <x:c r="N120" s="207" t="str">
        <x:v>Финансы + производство</x:v>
      </x:c>
      <x:c r="O120" s="208" t="str">
        <x:v>Высокий при текстовом/агрегатном join</x:v>
      </x:c>
    </x:row>
    <x:row r="121">
      <x:c r="A121" s="206" t="str">
        <x:v>PROD-EDGE-006</x:v>
      </x:c>
      <x:c r="B121" s="207" t="str">
        <x:v>Продукт/операции</x:v>
      </x:c>
      <x:c r="C121" s="207" t="str">
        <x:v>Продажи ЦУМ 2025.xlsx</x:v>
      </x:c>
      <x:c r="D121" s="207" t="str">
        <x:v>COLLECTION_FILES</x:v>
      </x:c>
      <x:c r="E121" s="207" t="str">
        <x:v>SKU → коллекция</x:v>
      </x:c>
      <x:c r="F121" s="207" t="str">
        <x:v>2025</x:v>
      </x:c>
      <x:c r="G121" s="207" t="str">
        <x:v>точное/кандидатное совпадение кода</x:v>
      </x:c>
      <x:c r="H121" s="207" t="str">
        <x:v>Частично</x:v>
      </x:c>
      <x:c r="I121" s="207" t="str">
        <x:v>Частично</x:v>
      </x:c>
      <x:c r="J121" s="207" t="str">
        <x:v>Прямых артикулов: 2 из 136</x:v>
      </x:c>
      <x:c r="K121" s="207" t="str">
        <x:v>model alias history</x:v>
      </x:c>
      <x:c r="L121" s="207" t="str">
        <x:v>canonical_sku → model_id → collection_id</x:v>
      </x:c>
      <x:c r="M121" s="207" t="str">
        <x:v>Маржа коллекций</x:v>
      </x:c>
      <x:c r="N121" s="207" t="str">
        <x:v>Продуктовый блок</x:v>
      </x:c>
      <x:c r="O121" s="208" t="str">
        <x:v>Высокий при текстовом/агрегатном join</x:v>
      </x:c>
    </x:row>
    <x:row r="122">
      <x:c r="A122" s="206" t="str">
        <x:v>PROD-EDGE-007</x:v>
      </x:c>
      <x:c r="B122" s="207" t="str">
        <x:v>Продукт/операции</x:v>
      </x:c>
      <x:c r="C122" s="207" t="str">
        <x:v>Продажи ЦУМ 2026.xlsx</x:v>
      </x:c>
      <x:c r="D122" s="207" t="str">
        <x:v>MASTER_SKU</x:v>
      </x:c>
      <x:c r="E122" s="207" t="str">
        <x:v>Продажи → canonical SKU</x:v>
      </x:c>
      <x:c r="F122" s="207" t="str">
        <x:v>2026</x:v>
      </x:c>
      <x:c r="G122" s="207" t="str">
        <x:v>нормализованный артикул</x:v>
      </x:c>
      <x:c r="H122" s="207" t="str">
        <x:v>Подтверждено</x:v>
      </x:c>
      <x:c r="I122" s="207" t="str">
        <x:v>Подтверждено</x:v>
      </x:c>
      <x:c r="J122" s="207" t="str">
        <x:v>Строки продаж сформировали 234 preliminary SKU</x:v>
      </x:c>
      <x:c r="K122" s="207" t="str">
        <x:v>Официальный alias mapping</x:v>
      </x:c>
      <x:c r="L122" s="207" t="str">
        <x:v>sales_line.article → sku_alias → canonical_sku</x:v>
      </x:c>
      <x:c r="M122" s="207" t="str">
        <x:v>SKU продажи и ассортимент</x:v>
      </x:c>
      <x:c r="N122" s="207" t="str">
        <x:v>Коммерция</x:v>
      </x:c>
      <x:c r="O122" s="208" t="str">
        <x:v>Высокий при текстовом/агрегатном join</x:v>
      </x:c>
    </x:row>
    <x:row r="123">
      <x:c r="A123" s="206" t="str">
        <x:v>PROD-EDGE-008</x:v>
      </x:c>
      <x:c r="B123" s="207" t="str">
        <x:v>Продукт/операции</x:v>
      </x:c>
      <x:c r="C123" s="207" t="str">
        <x:v>Продажи ЦУМ 2026.xlsx</x:v>
      </x:c>
      <x:c r="D123" s="207" t="str">
        <x:v>COST_FILES</x:v>
      </x:c>
      <x:c r="E123" s="207" t="str">
        <x:v>SKU → полная себестоимость</x:v>
      </x:c>
      <x:c r="F123" s="207" t="str">
        <x:v>2026</x:v>
      </x:c>
      <x:c r="G123" s="207" t="str">
        <x:v>точное совпадение артикула</x:v>
      </x:c>
      <x:c r="H123" s="207" t="str">
        <x:v>Частично</x:v>
      </x:c>
      <x:c r="I123" s="207" t="str">
        <x:v>Частично</x:v>
      </x:c>
      <x:c r="J123" s="207" t="str">
        <x:v>Покрытие выручки: 81.1%</x:v>
      </x:c>
      <x:c r="K123" s="207" t="str">
        <x:v>cost_version_id и правило выбора</x:v>
      </x:c>
      <x:c r="L123" s="207" t="str">
        <x:v>canonical_sku + sale_date → approved cost_version</x:v>
      </x:c>
      <x:c r="M123" s="207" t="str">
        <x:v>Маржа SKU</x:v>
      </x:c>
      <x:c r="N123" s="207" t="str">
        <x:v>Финансы + производство</x:v>
      </x:c>
      <x:c r="O123" s="208" t="str">
        <x:v>Высокий при текстовом/агрегатном join</x:v>
      </x:c>
    </x:row>
    <x:row r="124">
      <x:c r="A124" s="206" t="str">
        <x:v>PROD-EDGE-009</x:v>
      </x:c>
      <x:c r="B124" s="207" t="str">
        <x:v>Продукт/операции</x:v>
      </x:c>
      <x:c r="C124" s="207" t="str">
        <x:v>Продажи ЦУМ 2026.xlsx</x:v>
      </x:c>
      <x:c r="D124" s="207" t="str">
        <x:v>COLLECTION_FILES</x:v>
      </x:c>
      <x:c r="E124" s="207" t="str">
        <x:v>SKU → коллекция</x:v>
      </x:c>
      <x:c r="F124" s="207" t="str">
        <x:v>2026</x:v>
      </x:c>
      <x:c r="G124" s="207" t="str">
        <x:v>точное/кандидатное совпадение кода</x:v>
      </x:c>
      <x:c r="H124" s="207" t="str">
        <x:v>Частично</x:v>
      </x:c>
      <x:c r="I124" s="207" t="str">
        <x:v>Частично</x:v>
      </x:c>
      <x:c r="J124" s="207" t="str">
        <x:v>Прямых артикулов: 1 из 86</x:v>
      </x:c>
      <x:c r="K124" s="207" t="str">
        <x:v>model alias history</x:v>
      </x:c>
      <x:c r="L124" s="207" t="str">
        <x:v>canonical_sku → model_id → collection_id</x:v>
      </x:c>
      <x:c r="M124" s="207" t="str">
        <x:v>Маржа коллекций</x:v>
      </x:c>
      <x:c r="N124" s="207" t="str">
        <x:v>Продуктовый блок</x:v>
      </x:c>
      <x:c r="O124" s="208" t="str">
        <x:v>Высокий при текстовом/агрегатном join</x:v>
      </x:c>
    </x:row>
    <x:row r="125">
      <x:c r="A125" s="206" t="str">
        <x:v>PROD-EDGE-010</x:v>
      </x:c>
      <x:c r="B125" s="207" t="str">
        <x:v>Продукт/операции</x:v>
      </x:c>
      <x:c r="C125" s="207" t="str">
        <x:v>результат НГ 2024.xlsx</x:v>
      </x:c>
      <x:c r="D125" s="207" t="str">
        <x:v>MASTER_SKU</x:v>
      </x:c>
      <x:c r="E125" s="207" t="str">
        <x:v>Коллекция → SKU</x:v>
      </x:c>
      <x:c r="F125" s="207" t="str">
        <x:v>2024–май 2026</x:v>
      </x:c>
      <x:c r="G125" s="207" t="str">
        <x:v>точный код или номер/вариант без префикса</x:v>
      </x:c>
      <x:c r="H125" s="207" t="str">
        <x:v>Подтверждено частично</x:v>
      </x:c>
      <x:c r="I125" s="207" t="str">
        <x:v>Частично</x:v>
      </x:c>
      <x:c r="J125" s="207" t="str">
        <x:v>exact=1; candidates=13</x:v>
      </x:c>
      <x:c r="K125" s="207" t="str">
        <x:v>model_id, version_id, alias history, valid_from/valid_to</x:v>
      </x:c>
      <x:c r="L125" s="207" t="str">
        <x:v>collection_id + model_id + version_id + canonical_sku</x:v>
      </x:c>
      <x:c r="M125" s="207" t="str">
        <x:v>Принадлежность SKU к коллекции</x:v>
      </x:c>
      <x:c r="N125" s="207" t="str">
        <x:v>Продуктовый блок</x:v>
      </x:c>
      <x:c r="O125" s="208" t="str">
        <x:v>Высокий при текстовом/агрегатном join</x:v>
      </x:c>
    </x:row>
    <x:row r="126">
      <x:c r="A126" s="206" t="str">
        <x:v>PROD-EDGE-011</x:v>
      </x:c>
      <x:c r="B126" s="207" t="str">
        <x:v>Продукт/операции</x:v>
      </x:c>
      <x:c r="C126" s="207" t="str">
        <x:v>результат НГ 24.11.25.xlsx</x:v>
      </x:c>
      <x:c r="D126" s="207" t="str">
        <x:v>MASTER_SKU</x:v>
      </x:c>
      <x:c r="E126" s="207" t="str">
        <x:v>Коллекция → SKU</x:v>
      </x:c>
      <x:c r="F126" s="207" t="str">
        <x:v>2024–май 2026</x:v>
      </x:c>
      <x:c r="G126" s="207" t="str">
        <x:v>точный код или номер/вариант без префикса</x:v>
      </x:c>
      <x:c r="H126" s="207" t="str">
        <x:v>Связь не найдена</x:v>
      </x:c>
      <x:c r="I126" s="207" t="str">
        <x:v>Отсутствует/не доказано</x:v>
      </x:c>
      <x:c r="J126" s="207" t="str">
        <x:v>exact=0; candidates=0</x:v>
      </x:c>
      <x:c r="K126" s="207" t="str">
        <x:v>model_id, version_id, alias history, valid_from/valid_to</x:v>
      </x:c>
      <x:c r="L126" s="207" t="str">
        <x:v>collection_id + model_id + version_id + canonical_sku</x:v>
      </x:c>
      <x:c r="M126" s="207" t="str">
        <x:v>Принадлежность SKU к коллекции</x:v>
      </x:c>
      <x:c r="N126" s="207" t="str">
        <x:v>Продуктовый блок</x:v>
      </x:c>
      <x:c r="O126" s="208" t="str">
        <x:v>Высокий при текстовом/агрегатном join</x:v>
      </x:c>
    </x:row>
    <x:row r="127">
      <x:c r="A127" s="206" t="str">
        <x:v>PROD-EDGE-012</x:v>
      </x:c>
      <x:c r="B127" s="207" t="str">
        <x:v>Продукт/операции</x:v>
      </x:c>
      <x:c r="C127" s="207" t="str">
        <x:v>результат капсула 2024.xlsx</x:v>
      </x:c>
      <x:c r="D127" s="207" t="str">
        <x:v>MASTER_SKU</x:v>
      </x:c>
      <x:c r="E127" s="207" t="str">
        <x:v>Коллекция → SKU</x:v>
      </x:c>
      <x:c r="F127" s="207" t="str">
        <x:v>2024–май 2026</x:v>
      </x:c>
      <x:c r="G127" s="207" t="str">
        <x:v>точный код или номер/вариант без префикса</x:v>
      </x:c>
      <x:c r="H127" s="207" t="str">
        <x:v>Только кандидаты</x:v>
      </x:c>
      <x:c r="I127" s="207" t="str">
        <x:v>Частично</x:v>
      </x:c>
      <x:c r="J127" s="207" t="str">
        <x:v>exact=0; candidates=12</x:v>
      </x:c>
      <x:c r="K127" s="207" t="str">
        <x:v>model_id, version_id, alias history, valid_from/valid_to</x:v>
      </x:c>
      <x:c r="L127" s="207" t="str">
        <x:v>collection_id + model_id + version_id + canonical_sku</x:v>
      </x:c>
      <x:c r="M127" s="207" t="str">
        <x:v>Принадлежность SKU к коллекции</x:v>
      </x:c>
      <x:c r="N127" s="207" t="str">
        <x:v>Продуктовый блок</x:v>
      </x:c>
      <x:c r="O127" s="208" t="str">
        <x:v>Высокий при текстовом/агрегатном join</x:v>
      </x:c>
    </x:row>
    <x:row r="128">
      <x:c r="A128" s="206" t="str">
        <x:v>PROD-EDGE-013</x:v>
      </x:c>
      <x:c r="B128" s="207" t="str">
        <x:v>Продукт/операции</x:v>
      </x:c>
      <x:c r="C128" s="207" t="str">
        <x:v>результат капсула 2025.xlsx</x:v>
      </x:c>
      <x:c r="D128" s="207" t="str">
        <x:v>MASTER_SKU</x:v>
      </x:c>
      <x:c r="E128" s="207" t="str">
        <x:v>Коллекция → SKU</x:v>
      </x:c>
      <x:c r="F128" s="207" t="str">
        <x:v>2024–май 2026</x:v>
      </x:c>
      <x:c r="G128" s="207" t="str">
        <x:v>точный код или номер/вариант без префикса</x:v>
      </x:c>
      <x:c r="H128" s="207" t="str">
        <x:v>Подтверждено частично</x:v>
      </x:c>
      <x:c r="I128" s="207" t="str">
        <x:v>Частично</x:v>
      </x:c>
      <x:c r="J128" s="207" t="str">
        <x:v>exact=1; candidates=1</x:v>
      </x:c>
      <x:c r="K128" s="207" t="str">
        <x:v>model_id, version_id, alias history, valid_from/valid_to</x:v>
      </x:c>
      <x:c r="L128" s="207" t="str">
        <x:v>collection_id + model_id + version_id + canonical_sku</x:v>
      </x:c>
      <x:c r="M128" s="207" t="str">
        <x:v>Принадлежность SKU к коллекции</x:v>
      </x:c>
      <x:c r="N128" s="207" t="str">
        <x:v>Продуктовый блок</x:v>
      </x:c>
      <x:c r="O128" s="208" t="str">
        <x:v>Высокий при текстовом/агрегатном join</x:v>
      </x:c>
    </x:row>
    <x:row r="129">
      <x:c r="A129" s="206" t="str">
        <x:v>PROD-EDGE-014</x:v>
      </x:c>
      <x:c r="B129" s="207" t="str">
        <x:v>Продукт/операции</x:v>
      </x:c>
      <x:c r="C129" s="207" t="str">
        <x:v>результат кол-я 43 (янв 2024).xlsx</x:v>
      </x:c>
      <x:c r="D129" s="207" t="str">
        <x:v>MASTER_SKU</x:v>
      </x:c>
      <x:c r="E129" s="207" t="str">
        <x:v>Коллекция → SKU</x:v>
      </x:c>
      <x:c r="F129" s="207" t="str">
        <x:v>2024–май 2026</x:v>
      </x:c>
      <x:c r="G129" s="207" t="str">
        <x:v>точный код или номер/вариант без префикса</x:v>
      </x:c>
      <x:c r="H129" s="207" t="str">
        <x:v>Связь не найдена</x:v>
      </x:c>
      <x:c r="I129" s="207" t="str">
        <x:v>Отсутствует/не доказано</x:v>
      </x:c>
      <x:c r="J129" s="207" t="str">
        <x:v>exact=0; candidates=0</x:v>
      </x:c>
      <x:c r="K129" s="207" t="str">
        <x:v>model_id, version_id, alias history, valid_from/valid_to</x:v>
      </x:c>
      <x:c r="L129" s="207" t="str">
        <x:v>collection_id + model_id + version_id + canonical_sku</x:v>
      </x:c>
      <x:c r="M129" s="207" t="str">
        <x:v>Принадлежность SKU к коллекции</x:v>
      </x:c>
      <x:c r="N129" s="207" t="str">
        <x:v>Продуктовый блок</x:v>
      </x:c>
      <x:c r="O129" s="208" t="str">
        <x:v>Высокий при текстовом/агрегатном join</x:v>
      </x:c>
    </x:row>
    <x:row r="130">
      <x:c r="A130" s="206" t="str">
        <x:v>PROD-EDGE-015</x:v>
      </x:c>
      <x:c r="B130" s="207" t="str">
        <x:v>Продукт/операции</x:v>
      </x:c>
      <x:c r="C130" s="207" t="str">
        <x:v>результат кол-я 44 (июнь 2024).xlsx</x:v>
      </x:c>
      <x:c r="D130" s="207" t="str">
        <x:v>MASTER_SKU</x:v>
      </x:c>
      <x:c r="E130" s="207" t="str">
        <x:v>Коллекция → SKU</x:v>
      </x:c>
      <x:c r="F130" s="207" t="str">
        <x:v>2024–май 2026</x:v>
      </x:c>
      <x:c r="G130" s="207" t="str">
        <x:v>точный код или номер/вариант без префикса</x:v>
      </x:c>
      <x:c r="H130" s="207" t="str">
        <x:v>Связь не найдена</x:v>
      </x:c>
      <x:c r="I130" s="207" t="str">
        <x:v>Отсутствует/не доказано</x:v>
      </x:c>
      <x:c r="J130" s="207" t="str">
        <x:v>exact=0; candidates=0</x:v>
      </x:c>
      <x:c r="K130" s="207" t="str">
        <x:v>model_id, version_id, alias history, valid_from/valid_to</x:v>
      </x:c>
      <x:c r="L130" s="207" t="str">
        <x:v>collection_id + model_id + version_id + canonical_sku</x:v>
      </x:c>
      <x:c r="M130" s="207" t="str">
        <x:v>Принадлежность SKU к коллекции</x:v>
      </x:c>
      <x:c r="N130" s="207" t="str">
        <x:v>Продуктовый блок</x:v>
      </x:c>
      <x:c r="O130" s="208" t="str">
        <x:v>Высокий при текстовом/агрегатном join</x:v>
      </x:c>
    </x:row>
    <x:row r="131">
      <x:c r="A131" s="206" t="str">
        <x:v>PROD-EDGE-016</x:v>
      </x:c>
      <x:c r="B131" s="207" t="str">
        <x:v>Продукт/операции</x:v>
      </x:c>
      <x:c r="C131" s="207" t="str">
        <x:v>результат кол-я 45 (янв 2025).xlsx</x:v>
      </x:c>
      <x:c r="D131" s="207" t="str">
        <x:v>MASTER_SKU</x:v>
      </x:c>
      <x:c r="E131" s="207" t="str">
        <x:v>Коллекция → SKU</x:v>
      </x:c>
      <x:c r="F131" s="207" t="str">
        <x:v>2024–май 2026</x:v>
      </x:c>
      <x:c r="G131" s="207" t="str">
        <x:v>точный код или номер/вариант без префикса</x:v>
      </x:c>
      <x:c r="H131" s="207" t="str">
        <x:v>Связь не найдена</x:v>
      </x:c>
      <x:c r="I131" s="207" t="str">
        <x:v>Отсутствует/не доказано</x:v>
      </x:c>
      <x:c r="J131" s="207" t="str">
        <x:v>exact=0; candidates=0</x:v>
      </x:c>
      <x:c r="K131" s="207" t="str">
        <x:v>model_id, version_id, alias history, valid_from/valid_to</x:v>
      </x:c>
      <x:c r="L131" s="207" t="str">
        <x:v>collection_id + model_id + version_id + canonical_sku</x:v>
      </x:c>
      <x:c r="M131" s="207" t="str">
        <x:v>Принадлежность SKU к коллекции</x:v>
      </x:c>
      <x:c r="N131" s="207" t="str">
        <x:v>Продуктовый блок</x:v>
      </x:c>
      <x:c r="O131" s="208" t="str">
        <x:v>Высокий при текстовом/агрегатном join</x:v>
      </x:c>
    </x:row>
    <x:row r="132">
      <x:c r="A132" s="206" t="str">
        <x:v>PROD-EDGE-017</x:v>
      </x:c>
      <x:c r="B132" s="207" t="str">
        <x:v>Продукт/операции</x:v>
      </x:c>
      <x:c r="C132" s="207" t="str">
        <x:v>результат кол-я 46 (июль 2025).xlsx</x:v>
      </x:c>
      <x:c r="D132" s="207" t="str">
        <x:v>MASTER_SKU</x:v>
      </x:c>
      <x:c r="E132" s="207" t="str">
        <x:v>Коллекция → SKU</x:v>
      </x:c>
      <x:c r="F132" s="207" t="str">
        <x:v>2024–май 2026</x:v>
      </x:c>
      <x:c r="G132" s="207" t="str">
        <x:v>точный код или номер/вариант без префикса</x:v>
      </x:c>
      <x:c r="H132" s="207" t="str">
        <x:v>Связь не найдена</x:v>
      </x:c>
      <x:c r="I132" s="207" t="str">
        <x:v>Отсутствует/не доказано</x:v>
      </x:c>
      <x:c r="J132" s="207" t="str">
        <x:v>exact=0; candidates=0</x:v>
      </x:c>
      <x:c r="K132" s="207" t="str">
        <x:v>model_id, version_id, alias history, valid_from/valid_to</x:v>
      </x:c>
      <x:c r="L132" s="207" t="str">
        <x:v>collection_id + model_id + version_id + canonical_sku</x:v>
      </x:c>
      <x:c r="M132" s="207" t="str">
        <x:v>Принадлежность SKU к коллекции</x:v>
      </x:c>
      <x:c r="N132" s="207" t="str">
        <x:v>Продуктовый блок</x:v>
      </x:c>
      <x:c r="O132" s="208" t="str">
        <x:v>Высокий при текстовом/агрегатном join</x:v>
      </x:c>
    </x:row>
    <x:row r="133">
      <x:c r="A133" s="206" t="str">
        <x:v>PROD-EDGE-018</x:v>
      </x:c>
      <x:c r="B133" s="207" t="str">
        <x:v>Продукт/операции</x:v>
      </x:c>
      <x:c r="C133" s="207" t="str">
        <x:v>результат кол-я 47 (янв 2026).xlsx</x:v>
      </x:c>
      <x:c r="D133" s="207" t="str">
        <x:v>MASTER_SKU</x:v>
      </x:c>
      <x:c r="E133" s="207" t="str">
        <x:v>Коллекция → SKU</x:v>
      </x:c>
      <x:c r="F133" s="207" t="str">
        <x:v>2024–май 2026</x:v>
      </x:c>
      <x:c r="G133" s="207" t="str">
        <x:v>точный код или номер/вариант без префикса</x:v>
      </x:c>
      <x:c r="H133" s="207" t="str">
        <x:v>Связь не найдена</x:v>
      </x:c>
      <x:c r="I133" s="207" t="str">
        <x:v>Отсутствует/не доказано</x:v>
      </x:c>
      <x:c r="J133" s="207" t="str">
        <x:v>exact=0; candidates=0</x:v>
      </x:c>
      <x:c r="K133" s="207" t="str">
        <x:v>model_id, version_id, alias history, valid_from/valid_to</x:v>
      </x:c>
      <x:c r="L133" s="207" t="str">
        <x:v>collection_id + model_id + version_id + canonical_sku</x:v>
      </x:c>
      <x:c r="M133" s="207" t="str">
        <x:v>Принадлежность SKU к коллекции</x:v>
      </x:c>
      <x:c r="N133" s="207" t="str">
        <x:v>Продуктовый блок</x:v>
      </x:c>
      <x:c r="O133" s="208" t="str">
        <x:v>Высокий при текстовом/агрегатном join</x:v>
      </x:c>
    </x:row>
    <x:row r="134">
      <x:c r="A134" s="206" t="str">
        <x:v>PROD-EDGE-019</x:v>
      </x:c>
      <x:c r="B134" s="207" t="str">
        <x:v>Продукт/операции</x:v>
      </x:c>
      <x:c r="C134" s="207" t="str">
        <x:v>результат круиз 09.04.25.xlsx</x:v>
      </x:c>
      <x:c r="D134" s="207" t="str">
        <x:v>MASTER_SKU</x:v>
      </x:c>
      <x:c r="E134" s="207" t="str">
        <x:v>Коллекция → SKU</x:v>
      </x:c>
      <x:c r="F134" s="207" t="str">
        <x:v>2024–май 2026</x:v>
      </x:c>
      <x:c r="G134" s="207" t="str">
        <x:v>точный код или номер/вариант без префикса</x:v>
      </x:c>
      <x:c r="H134" s="207" t="str">
        <x:v>Подтверждено частично</x:v>
      </x:c>
      <x:c r="I134" s="207" t="str">
        <x:v>Частично</x:v>
      </x:c>
      <x:c r="J134" s="207" t="str">
        <x:v>exact=3; candidates=30</x:v>
      </x:c>
      <x:c r="K134" s="207" t="str">
        <x:v>model_id, version_id, alias history, valid_from/valid_to</x:v>
      </x:c>
      <x:c r="L134" s="207" t="str">
        <x:v>collection_id + model_id + version_id + canonical_sku</x:v>
      </x:c>
      <x:c r="M134" s="207" t="str">
        <x:v>Принадлежность SKU к коллекции</x:v>
      </x:c>
      <x:c r="N134" s="207" t="str">
        <x:v>Продуктовый блок</x:v>
      </x:c>
      <x:c r="O134" s="208" t="str">
        <x:v>Высокий при текстовом/агрегатном join</x:v>
      </x:c>
    </x:row>
    <x:row r="135">
      <x:c r="A135" s="206" t="str">
        <x:v>PROD-EDGE-020</x:v>
      </x:c>
      <x:c r="B135" s="207" t="str">
        <x:v>Продукт/операции</x:v>
      </x:c>
      <x:c r="C135" s="207" t="str">
        <x:v>результат круиз 14.04.26.xlsx</x:v>
      </x:c>
      <x:c r="D135" s="207" t="str">
        <x:v>MASTER_SKU</x:v>
      </x:c>
      <x:c r="E135" s="207" t="str">
        <x:v>Коллекция → SKU</x:v>
      </x:c>
      <x:c r="F135" s="207" t="str">
        <x:v>2024–май 2026</x:v>
      </x:c>
      <x:c r="G135" s="207" t="str">
        <x:v>точный код или номер/вариант без префикса</x:v>
      </x:c>
      <x:c r="H135" s="207" t="str">
        <x:v>Подтверждено частично</x:v>
      </x:c>
      <x:c r="I135" s="207" t="str">
        <x:v>Частично</x:v>
      </x:c>
      <x:c r="J135" s="207" t="str">
        <x:v>exact=1; candidates=4</x:v>
      </x:c>
      <x:c r="K135" s="207" t="str">
        <x:v>model_id, version_id, alias history, valid_from/valid_to</x:v>
      </x:c>
      <x:c r="L135" s="207" t="str">
        <x:v>collection_id + model_id + version_id + canonical_sku</x:v>
      </x:c>
      <x:c r="M135" s="207" t="str">
        <x:v>Принадлежность SKU к коллекции</x:v>
      </x:c>
      <x:c r="N135" s="207" t="str">
        <x:v>Продуктовый блок</x:v>
      </x:c>
      <x:c r="O135" s="208" t="str">
        <x:v>Высокий при текстовом/агрегатном join</x:v>
      </x:c>
    </x:row>
    <x:row r="136">
      <x:c r="A136" s="206" t="str">
        <x:v>PROD-EDGE-021</x:v>
      </x:c>
      <x:c r="B136" s="207" t="str">
        <x:v>Продукт/операции</x:v>
      </x:c>
      <x:c r="C136" s="207" t="str">
        <x:v>результат круиз 22.04.24.xlsx</x:v>
      </x:c>
      <x:c r="D136" s="207" t="str">
        <x:v>MASTER_SKU</x:v>
      </x:c>
      <x:c r="E136" s="207" t="str">
        <x:v>Коллекция → SKU</x:v>
      </x:c>
      <x:c r="F136" s="207" t="str">
        <x:v>2024–май 2026</x:v>
      </x:c>
      <x:c r="G136" s="207" t="str">
        <x:v>точный код или номер/вариант без префикса</x:v>
      </x:c>
      <x:c r="H136" s="207" t="str">
        <x:v>Только кандидаты</x:v>
      </x:c>
      <x:c r="I136" s="207" t="str">
        <x:v>Частично</x:v>
      </x:c>
      <x:c r="J136" s="207" t="str">
        <x:v>exact=0; candidates=26</x:v>
      </x:c>
      <x:c r="K136" s="207" t="str">
        <x:v>model_id, version_id, alias history, valid_from/valid_to</x:v>
      </x:c>
      <x:c r="L136" s="207" t="str">
        <x:v>collection_id + model_id + version_id + canonical_sku</x:v>
      </x:c>
      <x:c r="M136" s="207" t="str">
        <x:v>Принадлежность SKU к коллекции</x:v>
      </x:c>
      <x:c r="N136" s="207" t="str">
        <x:v>Продуктовый блок</x:v>
      </x:c>
      <x:c r="O136" s="208" t="str">
        <x:v>Высокий при текстовом/агрегатном join</x:v>
      </x:c>
    </x:row>
    <x:row r="137">
      <x:c r="A137" s="206" t="str">
        <x:v>PROD-EDGE-022</x:v>
      </x:c>
      <x:c r="B137" s="207" t="str">
        <x:v>Продукт/операции</x:v>
      </x:c>
      <x:c r="C137" s="207" t="str">
        <x:v>Себестоимость Жукова.xlsx</x:v>
      </x:c>
      <x:c r="D137" s="207" t="str">
        <x:v>MASTER_SKU</x:v>
      </x:c>
      <x:c r="E137" s="207" t="str">
        <x:v>Калькуляция → SKU</x:v>
      </x:c>
      <x:c r="F137" s="207" t="str">
        <x:v>2024–май 2026</x:v>
      </x:c>
      <x:c r="G137" s="207" t="str">
        <x:v>точное совпадение артикула</x:v>
      </x:c>
      <x:c r="H137" s="207" t="str">
        <x:v>Частично</x:v>
      </x:c>
      <x:c r="I137" s="207" t="str">
        <x:v>Частично</x:v>
      </x:c>
      <x:c r="J137" s="207" t="str">
        <x:v>unique=4; ambiguous=4; candidates=46</x:v>
      </x:c>
      <x:c r="K137" s="207" t="str">
        <x:v>cost_version_id, effective_date, variant/color/size, batch/production_order, approval</x:v>
      </x:c>
      <x:c r="L137" s="207" t="str">
        <x:v>canonical_sku + cost_version_id + production_order_id</x:v>
      </x:c>
      <x:c r="M137" s="207" t="str">
        <x:v>Себестоимость и маржа SKU</x:v>
      </x:c>
      <x:c r="N137" s="207" t="str">
        <x:v>Финансы + производство</x:v>
      </x:c>
      <x:c r="O137" s="208" t="str">
        <x:v>Высокий при текстовом/агрегатном join</x:v>
      </x:c>
    </x:row>
    <x:row r="138">
      <x:c r="A138" s="206" t="str">
        <x:v>PROD-EDGE-023</x:v>
      </x:c>
      <x:c r="B138" s="207" t="str">
        <x:v>Продукт/операции</x:v>
      </x:c>
      <x:c r="C138" s="207" t="str">
        <x:v>Себестоимость Меркушина.xlsx</x:v>
      </x:c>
      <x:c r="D138" s="207" t="str">
        <x:v>MASTER_SKU</x:v>
      </x:c>
      <x:c r="E138" s="207" t="str">
        <x:v>Калькуляция → SKU</x:v>
      </x:c>
      <x:c r="F138" s="207" t="str">
        <x:v>2024–май 2026</x:v>
      </x:c>
      <x:c r="G138" s="207" t="str">
        <x:v>точное совпадение артикула</x:v>
      </x:c>
      <x:c r="H138" s="207" t="str">
        <x:v>Частично</x:v>
      </x:c>
      <x:c r="I138" s="207" t="str">
        <x:v>Частично</x:v>
      </x:c>
      <x:c r="J138" s="207" t="str">
        <x:v>unique=77; ambiguous=20; candidates=5</x:v>
      </x:c>
      <x:c r="K138" s="207" t="str">
        <x:v>cost_version_id, effective_date, variant/color/size, batch/production_order, approval</x:v>
      </x:c>
      <x:c r="L138" s="207" t="str">
        <x:v>canonical_sku + cost_version_id + production_order_id</x:v>
      </x:c>
      <x:c r="M138" s="207" t="str">
        <x:v>Себестоимость и маржа SKU</x:v>
      </x:c>
      <x:c r="N138" s="207" t="str">
        <x:v>Финансы + производство</x:v>
      </x:c>
      <x:c r="O138" s="208" t="str">
        <x:v>Высокий при текстовом/агрегатном join</x:v>
      </x:c>
    </x:row>
    <x:row r="139">
      <x:c r="A139" s="206" t="str">
        <x:v>PROD-EDGE-024</x:v>
      </x:c>
      <x:c r="B139" s="207" t="str">
        <x:v>Продукт/операции</x:v>
      </x:c>
      <x:c r="C139" s="207" t="str">
        <x:v>себестоимость Мокеева 2025.xlsx</x:v>
      </x:c>
      <x:c r="D139" s="207" t="str">
        <x:v>MASTER_SKU</x:v>
      </x:c>
      <x:c r="E139" s="207" t="str">
        <x:v>Калькуляция → SKU</x:v>
      </x:c>
      <x:c r="F139" s="207" t="str">
        <x:v>2024–май 2026</x:v>
      </x:c>
      <x:c r="G139" s="207" t="str">
        <x:v>точное совпадение артикула</x:v>
      </x:c>
      <x:c r="H139" s="207" t="str">
        <x:v>Частично</x:v>
      </x:c>
      <x:c r="I139" s="207" t="str">
        <x:v>Частично</x:v>
      </x:c>
      <x:c r="J139" s="207" t="str">
        <x:v>unique=1; ambiguous=3; candidates=15</x:v>
      </x:c>
      <x:c r="K139" s="207" t="str">
        <x:v>cost_version_id, effective_date, variant/color/size, batch/production_order, approval</x:v>
      </x:c>
      <x:c r="L139" s="207" t="str">
        <x:v>canonical_sku + cost_version_id + production_order_id</x:v>
      </x:c>
      <x:c r="M139" s="207" t="str">
        <x:v>Себестоимость и маржа SKU</x:v>
      </x:c>
      <x:c r="N139" s="207" t="str">
        <x:v>Финансы + производство</x:v>
      </x:c>
      <x:c r="O139" s="208" t="str">
        <x:v>Высокий при текстовом/агрегатном join</x:v>
      </x:c>
    </x:row>
    <x:row r="140">
      <x:c r="A140" s="206" t="str">
        <x:v>PROD-EDGE-025</x:v>
      </x:c>
      <x:c r="B140" s="207" t="str">
        <x:v>Продукт/операции</x:v>
      </x:c>
      <x:c r="C140" s="207" t="str">
        <x:v>себестоимость Мокеева 2026.xlsx</x:v>
      </x:c>
      <x:c r="D140" s="207" t="str">
        <x:v>MASTER_SKU</x:v>
      </x:c>
      <x:c r="E140" s="207" t="str">
        <x:v>Калькуляция → SKU</x:v>
      </x:c>
      <x:c r="F140" s="207" t="str">
        <x:v>2024–май 2026</x:v>
      </x:c>
      <x:c r="G140" s="207" t="str">
        <x:v>точное совпадение артикула</x:v>
      </x:c>
      <x:c r="H140" s="207" t="str">
        <x:v>Частично</x:v>
      </x:c>
      <x:c r="I140" s="207" t="str">
        <x:v>Частично</x:v>
      </x:c>
      <x:c r="J140" s="207" t="str">
        <x:v>unique=1; ambiguous=0; candidates=2</x:v>
      </x:c>
      <x:c r="K140" s="207" t="str">
        <x:v>cost_version_id, effective_date, variant/color/size, batch/production_order, approval</x:v>
      </x:c>
      <x:c r="L140" s="207" t="str">
        <x:v>canonical_sku + cost_version_id + production_order_id</x:v>
      </x:c>
      <x:c r="M140" s="207" t="str">
        <x:v>Себестоимость и маржа SKU</x:v>
      </x:c>
      <x:c r="N140" s="207" t="str">
        <x:v>Финансы + производство</x:v>
      </x:c>
      <x:c r="O140" s="208" t="str">
        <x:v>Высокий при текстовом/агрегатном join</x:v>
      </x:c>
    </x:row>
    <x:row r="141">
      <x:c r="A141" s="206" t="str">
        <x:v>PROD-EDGE-026</x:v>
      </x:c>
      <x:c r="B141" s="207" t="str">
        <x:v>Продукт/операции</x:v>
      </x:c>
      <x:c r="C141" s="207" t="str">
        <x:v>Вышивка себестоимость 2024-2026.xlsx</x:v>
      </x:c>
      <x:c r="D141" s="207" t="str">
        <x:v>MASTER_SKU</x:v>
      </x:c>
      <x:c r="E141" s="207" t="str">
        <x:v>Калькуляция → SKU</x:v>
      </x:c>
      <x:c r="F141" s="207" t="str">
        <x:v>2024–май 2026</x:v>
      </x:c>
      <x:c r="G141" s="207" t="str">
        <x:v>точное совпадение артикула</x:v>
      </x:c>
      <x:c r="H141" s="207" t="str">
        <x:v>Частично</x:v>
      </x:c>
      <x:c r="I141" s="207" t="str">
        <x:v>Частично</x:v>
      </x:c>
      <x:c r="J141" s="207" t="str">
        <x:v>unique=0; ambiguous=0; candidates=0</x:v>
      </x:c>
      <x:c r="K141" s="207" t="str">
        <x:v>cost_version_id, effective_date, variant/color/size, batch/production_order, approval</x:v>
      </x:c>
      <x:c r="L141" s="207" t="str">
        <x:v>canonical_sku + cost_version_id + production_order_id</x:v>
      </x:c>
      <x:c r="M141" s="207" t="str">
        <x:v>Себестоимость и маржа SKU</x:v>
      </x:c>
      <x:c r="N141" s="207" t="str">
        <x:v>Финансы + производство</x:v>
      </x:c>
      <x:c r="O141" s="208" t="str">
        <x:v>Высокий при текстовом/агрегатном join</x:v>
      </x:c>
    </x:row>
    <x:row r="142">
      <x:c r="A142" s="206" t="str">
        <x:v>PROD-EDGE-027</x:v>
      </x:c>
      <x:c r="B142" s="207" t="str">
        <x:v>Продукт/операции</x:v>
      </x:c>
      <x:c r="C142" s="207" t="str">
        <x:v>Остатки ткани из 1С на 31.05.2026.xlsx</x:v>
      </x:c>
      <x:c r="D142" s="207" t="str">
        <x:v>COST_FILES</x:v>
      </x:c>
      <x:c r="E142" s="207" t="str">
        <x:v>Материал → калькуляция</x:v>
      </x:c>
      <x:c r="F142" s="207" t="str">
        <x:v>2024–май 2026</x:v>
      </x:c>
      <x:c r="G142" s="207" t="str">
        <x:v>код материала в наименовании ↔ код в калькуляции</x:v>
      </x:c>
      <x:c r="H142" s="207" t="str">
        <x:v>Частично</x:v>
      </x:c>
      <x:c r="I142" s="207" t="str">
        <x:v>Частично</x:v>
      </x:c>
      <x:c r="J142" s="207" t="str">
        <x:v>11 123 134,14 руб. найдено в фактических калькуляциях</x:v>
      </x:c>
      <x:c r="K142" s="207" t="str">
        <x:v>material_id, lot_id, issue_document</x:v>
      </x:c>
      <x:c r="L142" s="207" t="str">
        <x:v>material_id + material_lot_id + bom_line_id</x:v>
      </x:c>
      <x:c r="M142" s="207" t="str">
        <x:v>Фактический расход и отклонение</x:v>
      </x:c>
      <x:c r="N142" s="207" t="str">
        <x:v>Склад + производство</x:v>
      </x:c>
      <x:c r="O142" s="208" t="str">
        <x:v>Высокий при текстовом/агрегатном join</x:v>
      </x:c>
    </x:row>
    <x:row r="143">
      <x:c r="A143" s="206" t="str">
        <x:v>PROD-EDGE-028</x:v>
      </x:c>
      <x:c r="B143" s="207" t="str">
        <x:v>Продукт/операции</x:v>
      </x:c>
      <x:c r="C143" s="207" t="str">
        <x:v>Остатки ткани из 1С на 31.05.2026.xlsx</x:v>
      </x:c>
      <x:c r="D143" s="207" t="str">
        <x:v>COLLECTION_FILES</x:v>
      </x:c>
      <x:c r="E143" s="207" t="str">
        <x:v>Материал → план коллекции</x:v>
      </x:c>
      <x:c r="F143" s="207" t="str">
        <x:v>2024–май 2026</x:v>
      </x:c>
      <x:c r="G143" s="207" t="str">
        <x:v>код материала ↔ код в выбранных плановых файлах</x:v>
      </x:c>
      <x:c r="H143" s="207" t="str">
        <x:v>Частично</x:v>
      </x:c>
      <x:c r="I143" s="207" t="str">
        <x:v>Частично</x:v>
      </x:c>
      <x:c r="J143" s="207" t="str">
        <x:v>3 781 462,32 руб. найдено в плановых источниках</x:v>
      </x:c>
      <x:c r="K143" s="207" t="str">
        <x:v>BOM version and reservation</x:v>
      </x:c>
      <x:c r="L143" s="207" t="str">
        <x:v>material_id + bom_id + collection_id</x:v>
      </x:c>
      <x:c r="M143" s="207" t="str">
        <x:v>Потребность и резерв материалов</x:v>
      </x:c>
      <x:c r="N143" s="207" t="str">
        <x:v>Продуктовый блок + закупки</x:v>
      </x:c>
      <x:c r="O143" s="208" t="str">
        <x:v>Высокий при текстовом/агрегатном join</x:v>
      </x:c>
    </x:row>
    <x:row r="144">
      <x:c r="A144" s="206" t="str">
        <x:v>PROD-EDGE-029</x:v>
      </x:c>
      <x:c r="B144" s="207" t="str">
        <x:v>Продукт/операции</x:v>
      </x:c>
      <x:c r="C144" s="207" t="str">
        <x:v>Вышивка себестоимость 2024-2026.xlsx</x:v>
      </x:c>
      <x:c r="D144" s="207" t="str">
        <x:v>COST_FILES</x:v>
      </x:c>
      <x:c r="E144" s="207" t="str">
        <x:v>Операция → себестоимость</x:v>
      </x:c>
      <x:c r="F144" s="207" t="str">
        <x:v>2024–май 2026</x:v>
      </x:c>
      <x:c r="G144" s="207" t="str">
        <x:v>артикул/модель в калькуляции</x:v>
      </x:c>
      <x:c r="H144" s="207" t="str">
        <x:v>Частично</x:v>
      </x:c>
      <x:c r="I144" s="207" t="str">
        <x:v>Частично</x:v>
      </x:c>
      <x:c r="J144" s="207" t="str">
        <x:v>17 SKU имеют точную ссылку на компонент вышивки</x:v>
      </x:c>
      <x:c r="K144" s="207" t="str">
        <x:v>operation_id, hours, production_order_id</x:v>
      </x:c>
      <x:c r="L144" s="207" t="str">
        <x:v>operation_id + production_order_id + cost_component_id</x:v>
      </x:c>
      <x:c r="M144" s="207" t="str">
        <x:v>Фактическая производственная cost</x:v>
      </x:c>
      <x:c r="N144" s="207" t="str">
        <x:v>Производство</x:v>
      </x:c>
      <x:c r="O144" s="208" t="str">
        <x:v>Высокий при текстовом/агрегатном join</x:v>
      </x:c>
    </x:row>
    <x:row r="145">
      <x:c r="A145" s="206" t="str">
        <x:v>PROD-EDGE-030</x:v>
      </x:c>
      <x:c r="B145" s="207" t="str">
        <x:v>Продукт/операции</x:v>
      </x:c>
      <x:c r="C145" s="207" t="str">
        <x:v>Вышивка себестоимость 2024-2026.xlsx</x:v>
      </x:c>
      <x:c r="D145" s="207" t="str">
        <x:v>MASTER_SKU</x:v>
      </x:c>
      <x:c r="E145" s="207" t="str">
        <x:v>План производства → SKU</x:v>
      </x:c>
      <x:c r="F145" s="207" t="str">
        <x:v>2024–май 2026</x:v>
      </x:c>
      <x:c r="G145" s="207" t="str">
        <x:v>свободный текст кода модели/заказа</x:v>
      </x:c>
      <x:c r="H145" s="207" t="str">
        <x:v>Частично</x:v>
      </x:c>
      <x:c r="I145" s="207" t="str">
        <x:v>Частично</x:v>
      </x:c>
      <x:c r="J145" s="207" t="str">
        <x:v>163 заказа в плане; 22 без модели; 20 ячеек с несколькими кодами</x:v>
      </x:c>
      <x:c r="K145" s="207" t="str">
        <x:v>production_order_id, model_id, structured status</x:v>
      </x:c>
      <x:c r="L145" s="207" t="str">
        <x:v>production_order_id + canonical_sku + operation_id</x:v>
      </x:c>
      <x:c r="M145" s="207" t="str">
        <x:v>Lead time и загрузка</x:v>
      </x:c>
      <x:c r="N145" s="207" t="str">
        <x:v>Производство</x:v>
      </x:c>
      <x:c r="O145" s="208" t="str">
        <x:v>Высокий при текстовом/агрегатном join</x:v>
      </x:c>
    </x:row>
    <x:row r="146">
      <x:c r="A146" s="206" t="str">
        <x:v>PROD-EDGE-031</x:v>
      </x:c>
      <x:c r="B146" s="207" t="str">
        <x:v>Продукт/операции</x:v>
      </x:c>
      <x:c r="C146" s="207" t="str">
        <x:v>МД — копия.xlsx</x:v>
      </x:c>
      <x:c r="D146" s="207" t="str">
        <x:v>MASTER_SKU</x:v>
      </x:c>
      <x:c r="E146" s="207" t="str">
        <x:v>Исторический остаток → SKU</x:v>
      </x:c>
      <x:c r="F146" s="207" t="str">
        <x:v>2024–май 2026</x:v>
      </x:c>
      <x:c r="G146" s="207" t="str">
        <x:v>артикул</x:v>
      </x:c>
      <x:c r="H146" s="207" t="str">
        <x:v>Частично</x:v>
      </x:c>
      <x:c r="I146" s="207" t="str">
        <x:v>Частично</x:v>
      </x:c>
      <x:c r="J146" s="207" t="str">
        <x:v>109 исторических строк без даты продажи</x:v>
      </x:c>
      <x:c r="K146" s="207" t="str">
        <x:v>current snapshot and movement history</x:v>
      </x:c>
      <x:c r="L146" s="207" t="str">
        <x:v>canonical_sku + inventory_movement_id</x:v>
      </x:c>
      <x:c r="M146" s="207" t="str">
        <x:v>Остатки и aging</x:v>
      </x:c>
      <x:c r="N146" s="207" t="str">
        <x:v>Склад</x:v>
      </x:c>
      <x:c r="O146" s="208" t="str">
        <x:v>Высокий при текстовом/агрегатном join</x:v>
      </x:c>
    </x:row>
    <x:row r="147">
      <x:c r="A147" s="206" t="str">
        <x:v>PROD-EDGE-032</x:v>
      </x:c>
      <x:c r="B147" s="207" t="str">
        <x:v>Продукт/операции</x:v>
      </x:c>
      <x:c r="C147" s="207" t="str">
        <x:v>SALES 2024-2026.xlsx</x:v>
      </x:c>
      <x:c r="D147" s="207" t="str">
        <x:v>BANK_STATEMENTS</x:v>
      </x:c>
      <x:c r="E147" s="207" t="str">
        <x:v>Поступления ЦУМ → банк</x:v>
      </x:c>
      <x:c r="F147" s="207" t="str">
        <x:v>2024-01</x:v>
      </x:c>
      <x:c r="G147" s="207" t="str">
        <x:v>месяц поступления + назначение платежа</x:v>
      </x:c>
      <x:c r="H147" s="207" t="str">
        <x:v>Сопоставимо с малой разницей</x:v>
      </x:c>
      <x:c r="I147" s="207" t="str">
        <x:v>Подтверждено</x:v>
      </x:c>
      <x:c r="J147" s="207" t="str">
        <x:v>2024-01: diff -34.34 руб.</x:v>
      </x:c>
      <x:c r="K147" s="207" t="str">
        <x:v>sales_line_id / settlement statement / commission and return detail</x:v>
      </x:c>
      <x:c r="L147" s="207" t="str">
        <x:v>settlement_id + sale_period + bank_payment_id</x:v>
      </x:c>
      <x:c r="M147" s="207" t="str">
        <x:v>Cash collection и settlement</x:v>
      </x:c>
      <x:c r="N147" s="207" t="str">
        <x:v>Финансы</x:v>
      </x:c>
      <x:c r="O147" s="208" t="str">
        <x:v>Высокий при текстовом/агрегатном join</x:v>
      </x:c>
    </x:row>
    <x:row r="148">
      <x:c r="A148" s="206" t="str">
        <x:v>PROD-EDGE-033</x:v>
      </x:c>
      <x:c r="B148" s="207" t="str">
        <x:v>Продукт/операции</x:v>
      </x:c>
      <x:c r="C148" s="207" t="str">
        <x:v>SALES 2024-2026.xlsx</x:v>
      </x:c>
      <x:c r="D148" s="207" t="str">
        <x:v>BANK_STATEMENTS</x:v>
      </x:c>
      <x:c r="E148" s="207" t="str">
        <x:v>Поступления ЦУМ → банк</x:v>
      </x:c>
      <x:c r="F148" s="207" t="str">
        <x:v>2024-02</x:v>
      </x:c>
      <x:c r="G148" s="207" t="str">
        <x:v>месяц поступления + назначение платежа</x:v>
      </x:c>
      <x:c r="H148" s="207" t="str">
        <x:v>Подтверждено</x:v>
      </x:c>
      <x:c r="I148" s="207" t="str">
        <x:v>Подтверждено</x:v>
      </x:c>
      <x:c r="J148" s="207" t="str">
        <x:v>2024-02: diff 0.00 руб.</x:v>
      </x:c>
      <x:c r="K148" s="207" t="str">
        <x:v>sales_line_id / settlement statement / commission and return detail</x:v>
      </x:c>
      <x:c r="L148" s="207" t="str">
        <x:v>settlement_id + sale_period + bank_payment_id</x:v>
      </x:c>
      <x:c r="M148" s="207" t="str">
        <x:v>Cash collection и settlement</x:v>
      </x:c>
      <x:c r="N148" s="207" t="str">
        <x:v>Финансы</x:v>
      </x:c>
      <x:c r="O148" s="208" t="str">
        <x:v>Высокий при текстовом/агрегатном join</x:v>
      </x:c>
    </x:row>
    <x:row r="149">
      <x:c r="A149" s="206" t="str">
        <x:v>PROD-EDGE-034</x:v>
      </x:c>
      <x:c r="B149" s="207" t="str">
        <x:v>Продукт/операции</x:v>
      </x:c>
      <x:c r="C149" s="207" t="str">
        <x:v>SALES 2024-2026.xlsx</x:v>
      </x:c>
      <x:c r="D149" s="207" t="str">
        <x:v>BANK_STATEMENTS</x:v>
      </x:c>
      <x:c r="E149" s="207" t="str">
        <x:v>Поступления ЦУМ → банк</x:v>
      </x:c>
      <x:c r="F149" s="207" t="str">
        <x:v>2024-03</x:v>
      </x:c>
      <x:c r="G149" s="207" t="str">
        <x:v>месяц поступления + назначение платежа</x:v>
      </x:c>
      <x:c r="H149" s="207" t="str">
        <x:v>Сопоставимо с малой разницей</x:v>
      </x:c>
      <x:c r="I149" s="207" t="str">
        <x:v>Подтверждено</x:v>
      </x:c>
      <x:c r="J149" s="207" t="str">
        <x:v>2024-03: diff 29.00 руб.</x:v>
      </x:c>
      <x:c r="K149" s="207" t="str">
        <x:v>sales_line_id / settlement statement / commission and return detail</x:v>
      </x:c>
      <x:c r="L149" s="207" t="str">
        <x:v>settlement_id + sale_period + bank_payment_id</x:v>
      </x:c>
      <x:c r="M149" s="207" t="str">
        <x:v>Cash collection и settlement</x:v>
      </x:c>
      <x:c r="N149" s="207" t="str">
        <x:v>Финансы</x:v>
      </x:c>
      <x:c r="O149" s="208" t="str">
        <x:v>Высокий при текстовом/агрегатном join</x:v>
      </x:c>
    </x:row>
    <x:row r="150">
      <x:c r="A150" s="206" t="str">
        <x:v>PROD-EDGE-035</x:v>
      </x:c>
      <x:c r="B150" s="207" t="str">
        <x:v>Продукт/операции</x:v>
      </x:c>
      <x:c r="C150" s="207" t="str">
        <x:v>SALES 2024-2026.xlsx</x:v>
      </x:c>
      <x:c r="D150" s="207" t="str">
        <x:v>BANK_STATEMENTS</x:v>
      </x:c>
      <x:c r="E150" s="207" t="str">
        <x:v>Поступления ЦУМ → банк</x:v>
      </x:c>
      <x:c r="F150" s="207" t="str">
        <x:v>2024-04</x:v>
      </x:c>
      <x:c r="G150" s="207" t="str">
        <x:v>месяц поступления + назначение платежа</x:v>
      </x:c>
      <x:c r="H150" s="207" t="str">
        <x:v>Подтверждено</x:v>
      </x:c>
      <x:c r="I150" s="207" t="str">
        <x:v>Подтверждено</x:v>
      </x:c>
      <x:c r="J150" s="207" t="str">
        <x:v>2024-04: diff 0.26 руб.</x:v>
      </x:c>
      <x:c r="K150" s="207" t="str">
        <x:v>sales_line_id / settlement statement / commission and return detail</x:v>
      </x:c>
      <x:c r="L150" s="207" t="str">
        <x:v>settlement_id + sale_period + bank_payment_id</x:v>
      </x:c>
      <x:c r="M150" s="207" t="str">
        <x:v>Cash collection и settlement</x:v>
      </x:c>
      <x:c r="N150" s="207" t="str">
        <x:v>Финансы</x:v>
      </x:c>
      <x:c r="O150" s="208" t="str">
        <x:v>Высокий при текстовом/агрегатном join</x:v>
      </x:c>
    </x:row>
    <x:row r="151">
      <x:c r="A151" s="206" t="str">
        <x:v>PROD-EDGE-036</x:v>
      </x:c>
      <x:c r="B151" s="207" t="str">
        <x:v>Продукт/операции</x:v>
      </x:c>
      <x:c r="C151" s="207" t="str">
        <x:v>SALES 2024-2026.xlsx</x:v>
      </x:c>
      <x:c r="D151" s="207" t="str">
        <x:v>BANK_STATEMENTS</x:v>
      </x:c>
      <x:c r="E151" s="207" t="str">
        <x:v>Поступления ЦУМ → банк</x:v>
      </x:c>
      <x:c r="F151" s="207" t="str">
        <x:v>2024-05</x:v>
      </x:c>
      <x:c r="G151" s="207" t="str">
        <x:v>месяц поступления + назначение платежа</x:v>
      </x:c>
      <x:c r="H151" s="207" t="str">
        <x:v>Подтверждено</x:v>
      </x:c>
      <x:c r="I151" s="207" t="str">
        <x:v>Подтверждено</x:v>
      </x:c>
      <x:c r="J151" s="207" t="str">
        <x:v>2024-05: diff -0.28 руб.</x:v>
      </x:c>
      <x:c r="K151" s="207" t="str">
        <x:v>sales_line_id / settlement statement / commission and return detail</x:v>
      </x:c>
      <x:c r="L151" s="207" t="str">
        <x:v>settlement_id + sale_period + bank_payment_id</x:v>
      </x:c>
      <x:c r="M151" s="207" t="str">
        <x:v>Cash collection и settlement</x:v>
      </x:c>
      <x:c r="N151" s="207" t="str">
        <x:v>Финансы</x:v>
      </x:c>
      <x:c r="O151" s="208" t="str">
        <x:v>Высокий при текстовом/агрегатном join</x:v>
      </x:c>
    </x:row>
    <x:row r="152">
      <x:c r="A152" s="206" t="str">
        <x:v>PROD-EDGE-037</x:v>
      </x:c>
      <x:c r="B152" s="207" t="str">
        <x:v>Продукт/операции</x:v>
      </x:c>
      <x:c r="C152" s="207" t="str">
        <x:v>SALES 2024-2026.xlsx</x:v>
      </x:c>
      <x:c r="D152" s="207" t="str">
        <x:v>BANK_STATEMENTS</x:v>
      </x:c>
      <x:c r="E152" s="207" t="str">
        <x:v>Поступления ЦУМ → банк</x:v>
      </x:c>
      <x:c r="F152" s="207" t="str">
        <x:v>2024-06</x:v>
      </x:c>
      <x:c r="G152" s="207" t="str">
        <x:v>месяц поступления + назначение платежа</x:v>
      </x:c>
      <x:c r="H152" s="207" t="str">
        <x:v>Подтверждено</x:v>
      </x:c>
      <x:c r="I152" s="207" t="str">
        <x:v>Подтверждено</x:v>
      </x:c>
      <x:c r="J152" s="207" t="str">
        <x:v>2024-06: diff 0.00 руб.</x:v>
      </x:c>
      <x:c r="K152" s="207" t="str">
        <x:v>sales_line_id / settlement statement / commission and return detail</x:v>
      </x:c>
      <x:c r="L152" s="207" t="str">
        <x:v>settlement_id + sale_period + bank_payment_id</x:v>
      </x:c>
      <x:c r="M152" s="207" t="str">
        <x:v>Cash collection и settlement</x:v>
      </x:c>
      <x:c r="N152" s="207" t="str">
        <x:v>Финансы</x:v>
      </x:c>
      <x:c r="O152" s="208" t="str">
        <x:v>Высокий при текстовом/агрегатном join</x:v>
      </x:c>
    </x:row>
    <x:row r="153">
      <x:c r="A153" s="206" t="str">
        <x:v>PROD-EDGE-038</x:v>
      </x:c>
      <x:c r="B153" s="207" t="str">
        <x:v>Продукт/операции</x:v>
      </x:c>
      <x:c r="C153" s="207" t="str">
        <x:v>SALES 2024-2026.xlsx</x:v>
      </x:c>
      <x:c r="D153" s="207" t="str">
        <x:v>BANK_STATEMENTS</x:v>
      </x:c>
      <x:c r="E153" s="207" t="str">
        <x:v>Поступления ЦУМ → банк</x:v>
      </x:c>
      <x:c r="F153" s="207" t="str">
        <x:v>2024-07</x:v>
      </x:c>
      <x:c r="G153" s="207" t="str">
        <x:v>месяц поступления + назначение платежа</x:v>
      </x:c>
      <x:c r="H153" s="207" t="str">
        <x:v>Подтверждено</x:v>
      </x:c>
      <x:c r="I153" s="207" t="str">
        <x:v>Подтверждено</x:v>
      </x:c>
      <x:c r="J153" s="207" t="str">
        <x:v>2024-07: diff 0.00 руб.</x:v>
      </x:c>
      <x:c r="K153" s="207" t="str">
        <x:v>sales_line_id / settlement statement / commission and return detail</x:v>
      </x:c>
      <x:c r="L153" s="207" t="str">
        <x:v>settlement_id + sale_period + bank_payment_id</x:v>
      </x:c>
      <x:c r="M153" s="207" t="str">
        <x:v>Cash collection и settlement</x:v>
      </x:c>
      <x:c r="N153" s="207" t="str">
        <x:v>Финансы</x:v>
      </x:c>
      <x:c r="O153" s="208" t="str">
        <x:v>Высокий при текстовом/агрегатном join</x:v>
      </x:c>
    </x:row>
    <x:row r="154">
      <x:c r="A154" s="206" t="str">
        <x:v>PROD-EDGE-039</x:v>
      </x:c>
      <x:c r="B154" s="207" t="str">
        <x:v>Продукт/операции</x:v>
      </x:c>
      <x:c r="C154" s="207" t="str">
        <x:v>SALES 2024-2026.xlsx</x:v>
      </x:c>
      <x:c r="D154" s="207" t="str">
        <x:v>BANK_STATEMENTS</x:v>
      </x:c>
      <x:c r="E154" s="207" t="str">
        <x:v>Поступления ЦУМ → банк</x:v>
      </x:c>
      <x:c r="F154" s="207" t="str">
        <x:v>2024-08</x:v>
      </x:c>
      <x:c r="G154" s="207" t="str">
        <x:v>месяц поступления + назначение платежа</x:v>
      </x:c>
      <x:c r="H154" s="207" t="str">
        <x:v>Подтверждено</x:v>
      </x:c>
      <x:c r="I154" s="207" t="str">
        <x:v>Подтверждено</x:v>
      </x:c>
      <x:c r="J154" s="207" t="str">
        <x:v>2024-08: diff 0.00 руб.</x:v>
      </x:c>
      <x:c r="K154" s="207" t="str">
        <x:v>sales_line_id / settlement statement / commission and return detail</x:v>
      </x:c>
      <x:c r="L154" s="207" t="str">
        <x:v>settlement_id + sale_period + bank_payment_id</x:v>
      </x:c>
      <x:c r="M154" s="207" t="str">
        <x:v>Cash collection и settlement</x:v>
      </x:c>
      <x:c r="N154" s="207" t="str">
        <x:v>Финансы</x:v>
      </x:c>
      <x:c r="O154" s="208" t="str">
        <x:v>Высокий при текстовом/агрегатном join</x:v>
      </x:c>
    </x:row>
    <x:row r="155">
      <x:c r="A155" s="206" t="str">
        <x:v>PROD-EDGE-040</x:v>
      </x:c>
      <x:c r="B155" s="207" t="str">
        <x:v>Продукт/операции</x:v>
      </x:c>
      <x:c r="C155" s="207" t="str">
        <x:v>SALES 2024-2026.xlsx</x:v>
      </x:c>
      <x:c r="D155" s="207" t="str">
        <x:v>BANK_STATEMENTS</x:v>
      </x:c>
      <x:c r="E155" s="207" t="str">
        <x:v>Поступления ЦУМ → банк</x:v>
      </x:c>
      <x:c r="F155" s="207" t="str">
        <x:v>2024-09</x:v>
      </x:c>
      <x:c r="G155" s="207" t="str">
        <x:v>месяц поступления + назначение платежа</x:v>
      </x:c>
      <x:c r="H155" s="207" t="str">
        <x:v>Подтверждено</x:v>
      </x:c>
      <x:c r="I155" s="207" t="str">
        <x:v>Подтверждено</x:v>
      </x:c>
      <x:c r="J155" s="207" t="str">
        <x:v>2024-09: diff 0.00 руб.</x:v>
      </x:c>
      <x:c r="K155" s="207" t="str">
        <x:v>sales_line_id / settlement statement / commission and return detail</x:v>
      </x:c>
      <x:c r="L155" s="207" t="str">
        <x:v>settlement_id + sale_period + bank_payment_id</x:v>
      </x:c>
      <x:c r="M155" s="207" t="str">
        <x:v>Cash collection и settlement</x:v>
      </x:c>
      <x:c r="N155" s="207" t="str">
        <x:v>Финансы</x:v>
      </x:c>
      <x:c r="O155" s="208" t="str">
        <x:v>Высокий при текстовом/агрегатном join</x:v>
      </x:c>
    </x:row>
    <x:row r="156">
      <x:c r="A156" s="206" t="str">
        <x:v>PROD-EDGE-041</x:v>
      </x:c>
      <x:c r="B156" s="207" t="str">
        <x:v>Продукт/операции</x:v>
      </x:c>
      <x:c r="C156" s="207" t="str">
        <x:v>SALES 2024-2026.xlsx</x:v>
      </x:c>
      <x:c r="D156" s="207" t="str">
        <x:v>BANK_STATEMENTS</x:v>
      </x:c>
      <x:c r="E156" s="207" t="str">
        <x:v>Поступления ЦУМ → банк</x:v>
      </x:c>
      <x:c r="F156" s="207" t="str">
        <x:v>2024-10</x:v>
      </x:c>
      <x:c r="G156" s="207" t="str">
        <x:v>месяц поступления + назначение платежа</x:v>
      </x:c>
      <x:c r="H156" s="207" t="str">
        <x:v>Подтверждено</x:v>
      </x:c>
      <x:c r="I156" s="207" t="str">
        <x:v>Подтверждено</x:v>
      </x:c>
      <x:c r="J156" s="207" t="str">
        <x:v>2024-10: diff 0.00 руб.</x:v>
      </x:c>
      <x:c r="K156" s="207" t="str">
        <x:v>sales_line_id / settlement statement / commission and return detail</x:v>
      </x:c>
      <x:c r="L156" s="207" t="str">
        <x:v>settlement_id + sale_period + bank_payment_id</x:v>
      </x:c>
      <x:c r="M156" s="207" t="str">
        <x:v>Cash collection и settlement</x:v>
      </x:c>
      <x:c r="N156" s="207" t="str">
        <x:v>Финансы</x:v>
      </x:c>
      <x:c r="O156" s="208" t="str">
        <x:v>Высокий при текстовом/агрегатном join</x:v>
      </x:c>
    </x:row>
    <x:row r="157">
      <x:c r="A157" s="206" t="str">
        <x:v>PROD-EDGE-042</x:v>
      </x:c>
      <x:c r="B157" s="207" t="str">
        <x:v>Продукт/операции</x:v>
      </x:c>
      <x:c r="C157" s="207" t="str">
        <x:v>SALES 2024-2026.xlsx</x:v>
      </x:c>
      <x:c r="D157" s="207" t="str">
        <x:v>BANK_STATEMENTS</x:v>
      </x:c>
      <x:c r="E157" s="207" t="str">
        <x:v>Поступления ЦУМ → банк</x:v>
      </x:c>
      <x:c r="F157" s="207" t="str">
        <x:v>2024-11</x:v>
      </x:c>
      <x:c r="G157" s="207" t="str">
        <x:v>месяц поступления + назначение платежа</x:v>
      </x:c>
      <x:c r="H157" s="207" t="str">
        <x:v>Подтверждено</x:v>
      </x:c>
      <x:c r="I157" s="207" t="str">
        <x:v>Подтверждено</x:v>
      </x:c>
      <x:c r="J157" s="207" t="str">
        <x:v>2024-11: diff -0.00 руб.</x:v>
      </x:c>
      <x:c r="K157" s="207" t="str">
        <x:v>sales_line_id / settlement statement / commission and return detail</x:v>
      </x:c>
      <x:c r="L157" s="207" t="str">
        <x:v>settlement_id + sale_period + bank_payment_id</x:v>
      </x:c>
      <x:c r="M157" s="207" t="str">
        <x:v>Cash collection и settlement</x:v>
      </x:c>
      <x:c r="N157" s="207" t="str">
        <x:v>Финансы</x:v>
      </x:c>
      <x:c r="O157" s="208" t="str">
        <x:v>Высокий при текстовом/агрегатном join</x:v>
      </x:c>
    </x:row>
    <x:row r="158">
      <x:c r="A158" s="206" t="str">
        <x:v>PROD-EDGE-043</x:v>
      </x:c>
      <x:c r="B158" s="207" t="str">
        <x:v>Продукт/операции</x:v>
      </x:c>
      <x:c r="C158" s="207" t="str">
        <x:v>SALES 2024-2026.xlsx</x:v>
      </x:c>
      <x:c r="D158" s="207" t="str">
        <x:v>BANK_STATEMENTS</x:v>
      </x:c>
      <x:c r="E158" s="207" t="str">
        <x:v>Поступления ЦУМ → банк</x:v>
      </x:c>
      <x:c r="F158" s="207" t="str">
        <x:v>2024-12</x:v>
      </x:c>
      <x:c r="G158" s="207" t="str">
        <x:v>месяц поступления + назначение платежа</x:v>
      </x:c>
      <x:c r="H158" s="207" t="str">
        <x:v>Подтверждено</x:v>
      </x:c>
      <x:c r="I158" s="207" t="str">
        <x:v>Подтверждено</x:v>
      </x:c>
      <x:c r="J158" s="207" t="str">
        <x:v>2024-12: diff 0.00 руб.</x:v>
      </x:c>
      <x:c r="K158" s="207" t="str">
        <x:v>sales_line_id / settlement statement / commission and return detail</x:v>
      </x:c>
      <x:c r="L158" s="207" t="str">
        <x:v>settlement_id + sale_period + bank_payment_id</x:v>
      </x:c>
      <x:c r="M158" s="207" t="str">
        <x:v>Cash collection и settlement</x:v>
      </x:c>
      <x:c r="N158" s="207" t="str">
        <x:v>Финансы</x:v>
      </x:c>
      <x:c r="O158" s="208" t="str">
        <x:v>Высокий при текстовом/агрегатном join</x:v>
      </x:c>
    </x:row>
    <x:row r="159">
      <x:c r="A159" s="206" t="str">
        <x:v>PROD-EDGE-044</x:v>
      </x:c>
      <x:c r="B159" s="207" t="str">
        <x:v>Продукт/операции</x:v>
      </x:c>
      <x:c r="C159" s="207" t="str">
        <x:v>SALES 2024-2026.xlsx</x:v>
      </x:c>
      <x:c r="D159" s="207" t="str">
        <x:v>BANK_STATEMENTS</x:v>
      </x:c>
      <x:c r="E159" s="207" t="str">
        <x:v>Поступления ЦУМ → банк</x:v>
      </x:c>
      <x:c r="F159" s="207" t="str">
        <x:v>2025-01</x:v>
      </x:c>
      <x:c r="G159" s="207" t="str">
        <x:v>месяц поступления + назначение платежа</x:v>
      </x:c>
      <x:c r="H159" s="207" t="str">
        <x:v>Подтверждено</x:v>
      </x:c>
      <x:c r="I159" s="207" t="str">
        <x:v>Подтверждено</x:v>
      </x:c>
      <x:c r="J159" s="207" t="str">
        <x:v>2025-01: diff 0.00 руб.</x:v>
      </x:c>
      <x:c r="K159" s="207" t="str">
        <x:v>sales_line_id / settlement statement / commission and return detail</x:v>
      </x:c>
      <x:c r="L159" s="207" t="str">
        <x:v>settlement_id + sale_period + bank_payment_id</x:v>
      </x:c>
      <x:c r="M159" s="207" t="str">
        <x:v>Cash collection и settlement</x:v>
      </x:c>
      <x:c r="N159" s="207" t="str">
        <x:v>Финансы</x:v>
      </x:c>
      <x:c r="O159" s="208" t="str">
        <x:v>Высокий при текстовом/агрегатном join</x:v>
      </x:c>
    </x:row>
    <x:row r="160">
      <x:c r="A160" s="206" t="str">
        <x:v>PROD-EDGE-045</x:v>
      </x:c>
      <x:c r="B160" s="207" t="str">
        <x:v>Продукт/операции</x:v>
      </x:c>
      <x:c r="C160" s="207" t="str">
        <x:v>SALES 2024-2026.xlsx</x:v>
      </x:c>
      <x:c r="D160" s="207" t="str">
        <x:v>BANK_STATEMENTS</x:v>
      </x:c>
      <x:c r="E160" s="207" t="str">
        <x:v>Поступления ЦУМ → банк</x:v>
      </x:c>
      <x:c r="F160" s="207" t="str">
        <x:v>2025-02</x:v>
      </x:c>
      <x:c r="G160" s="207" t="str">
        <x:v>месяц поступления + назначение платежа</x:v>
      </x:c>
      <x:c r="H160" s="207" t="str">
        <x:v>Подтверждено</x:v>
      </x:c>
      <x:c r="I160" s="207" t="str">
        <x:v>Подтверждено</x:v>
      </x:c>
      <x:c r="J160" s="207" t="str">
        <x:v>2025-02: diff 0.00 руб.</x:v>
      </x:c>
      <x:c r="K160" s="207" t="str">
        <x:v>sales_line_id / settlement statement / commission and return detail</x:v>
      </x:c>
      <x:c r="L160" s="207" t="str">
        <x:v>settlement_id + sale_period + bank_payment_id</x:v>
      </x:c>
      <x:c r="M160" s="207" t="str">
        <x:v>Cash collection и settlement</x:v>
      </x:c>
      <x:c r="N160" s="207" t="str">
        <x:v>Финансы</x:v>
      </x:c>
      <x:c r="O160" s="208" t="str">
        <x:v>Высокий при текстовом/агрегатном join</x:v>
      </x:c>
    </x:row>
    <x:row r="161">
      <x:c r="A161" s="206" t="str">
        <x:v>PROD-EDGE-046</x:v>
      </x:c>
      <x:c r="B161" s="207" t="str">
        <x:v>Продукт/операции</x:v>
      </x:c>
      <x:c r="C161" s="207" t="str">
        <x:v>SALES 2024-2026.xlsx</x:v>
      </x:c>
      <x:c r="D161" s="207" t="str">
        <x:v>BANK_STATEMENTS</x:v>
      </x:c>
      <x:c r="E161" s="207" t="str">
        <x:v>Поступления ЦУМ → банк</x:v>
      </x:c>
      <x:c r="F161" s="207" t="str">
        <x:v>2025-03</x:v>
      </x:c>
      <x:c r="G161" s="207" t="str">
        <x:v>месяц поступления + назначение платежа</x:v>
      </x:c>
      <x:c r="H161" s="207" t="str">
        <x:v>Подтверждено</x:v>
      </x:c>
      <x:c r="I161" s="207" t="str">
        <x:v>Подтверждено</x:v>
      </x:c>
      <x:c r="J161" s="207" t="str">
        <x:v>2025-03: diff 0.00 руб.</x:v>
      </x:c>
      <x:c r="K161" s="207" t="str">
        <x:v>sales_line_id / settlement statement / commission and return detail</x:v>
      </x:c>
      <x:c r="L161" s="207" t="str">
        <x:v>settlement_id + sale_period + bank_payment_id</x:v>
      </x:c>
      <x:c r="M161" s="207" t="str">
        <x:v>Cash collection и settlement</x:v>
      </x:c>
      <x:c r="N161" s="207" t="str">
        <x:v>Финансы</x:v>
      </x:c>
      <x:c r="O161" s="208" t="str">
        <x:v>Высокий при текстовом/агрегатном join</x:v>
      </x:c>
    </x:row>
    <x:row r="162">
      <x:c r="A162" s="206" t="str">
        <x:v>PROD-EDGE-047</x:v>
      </x:c>
      <x:c r="B162" s="207" t="str">
        <x:v>Продукт/операции</x:v>
      </x:c>
      <x:c r="C162" s="207" t="str">
        <x:v>SALES 2024-2026.xlsx</x:v>
      </x:c>
      <x:c r="D162" s="207" t="str">
        <x:v>BANK_STATEMENTS</x:v>
      </x:c>
      <x:c r="E162" s="207" t="str">
        <x:v>Поступления ЦУМ → банк</x:v>
      </x:c>
      <x:c r="F162" s="207" t="str">
        <x:v>2025-04</x:v>
      </x:c>
      <x:c r="G162" s="207" t="str">
        <x:v>месяц поступления + назначение платежа</x:v>
      </x:c>
      <x:c r="H162" s="207" t="str">
        <x:v>Подтверждено</x:v>
      </x:c>
      <x:c r="I162" s="207" t="str">
        <x:v>Подтверждено</x:v>
      </x:c>
      <x:c r="J162" s="207" t="str">
        <x:v>2025-04: diff 0.00 руб.</x:v>
      </x:c>
      <x:c r="K162" s="207" t="str">
        <x:v>sales_line_id / settlement statement / commission and return detail</x:v>
      </x:c>
      <x:c r="L162" s="207" t="str">
        <x:v>settlement_id + sale_period + bank_payment_id</x:v>
      </x:c>
      <x:c r="M162" s="207" t="str">
        <x:v>Cash collection и settlement</x:v>
      </x:c>
      <x:c r="N162" s="207" t="str">
        <x:v>Финансы</x:v>
      </x:c>
      <x:c r="O162" s="208" t="str">
        <x:v>Высокий при текстовом/агрегатном join</x:v>
      </x:c>
    </x:row>
    <x:row r="163">
      <x:c r="A163" s="206" t="str">
        <x:v>PROD-EDGE-048</x:v>
      </x:c>
      <x:c r="B163" s="207" t="str">
        <x:v>Продукт/операции</x:v>
      </x:c>
      <x:c r="C163" s="207" t="str">
        <x:v>SALES 2024-2026.xlsx</x:v>
      </x:c>
      <x:c r="D163" s="207" t="str">
        <x:v>BANK_STATEMENTS</x:v>
      </x:c>
      <x:c r="E163" s="207" t="str">
        <x:v>Поступления ЦУМ → банк</x:v>
      </x:c>
      <x:c r="F163" s="207" t="str">
        <x:v>2025-05</x:v>
      </x:c>
      <x:c r="G163" s="207" t="str">
        <x:v>месяц поступления + назначение платежа</x:v>
      </x:c>
      <x:c r="H163" s="207" t="str">
        <x:v>Подтверждено</x:v>
      </x:c>
      <x:c r="I163" s="207" t="str">
        <x:v>Подтверждено</x:v>
      </x:c>
      <x:c r="J163" s="207" t="str">
        <x:v>2025-05: diff 0.00 руб.</x:v>
      </x:c>
      <x:c r="K163" s="207" t="str">
        <x:v>sales_line_id / settlement statement / commission and return detail</x:v>
      </x:c>
      <x:c r="L163" s="207" t="str">
        <x:v>settlement_id + sale_period + bank_payment_id</x:v>
      </x:c>
      <x:c r="M163" s="207" t="str">
        <x:v>Cash collection и settlement</x:v>
      </x:c>
      <x:c r="N163" s="207" t="str">
        <x:v>Финансы</x:v>
      </x:c>
      <x:c r="O163" s="208" t="str">
        <x:v>Высокий при текстовом/агрегатном join</x:v>
      </x:c>
    </x:row>
    <x:row r="164">
      <x:c r="A164" s="206" t="str">
        <x:v>PROD-EDGE-049</x:v>
      </x:c>
      <x:c r="B164" s="207" t="str">
        <x:v>Продукт/операции</x:v>
      </x:c>
      <x:c r="C164" s="207" t="str">
        <x:v>SALES 2024-2026.xlsx</x:v>
      </x:c>
      <x:c r="D164" s="207" t="str">
        <x:v>BANK_STATEMENTS</x:v>
      </x:c>
      <x:c r="E164" s="207" t="str">
        <x:v>Поступления ЦУМ → банк</x:v>
      </x:c>
      <x:c r="F164" s="207" t="str">
        <x:v>2025-06</x:v>
      </x:c>
      <x:c r="G164" s="207" t="str">
        <x:v>месяц поступления + назначение платежа</x:v>
      </x:c>
      <x:c r="H164" s="207" t="str">
        <x:v>Подтверждено</x:v>
      </x:c>
      <x:c r="I164" s="207" t="str">
        <x:v>Подтверждено</x:v>
      </x:c>
      <x:c r="J164" s="207" t="str">
        <x:v>2025-06: diff 0.00 руб.</x:v>
      </x:c>
      <x:c r="K164" s="207" t="str">
        <x:v>sales_line_id / settlement statement / commission and return detail</x:v>
      </x:c>
      <x:c r="L164" s="207" t="str">
        <x:v>settlement_id + sale_period + bank_payment_id</x:v>
      </x:c>
      <x:c r="M164" s="207" t="str">
        <x:v>Cash collection и settlement</x:v>
      </x:c>
      <x:c r="N164" s="207" t="str">
        <x:v>Финансы</x:v>
      </x:c>
      <x:c r="O164" s="208" t="str">
        <x:v>Высокий при текстовом/агрегатном join</x:v>
      </x:c>
    </x:row>
    <x:row r="165">
      <x:c r="A165" s="206" t="str">
        <x:v>PROD-EDGE-050</x:v>
      </x:c>
      <x:c r="B165" s="207" t="str">
        <x:v>Продукт/операции</x:v>
      </x:c>
      <x:c r="C165" s="207" t="str">
        <x:v>SALES 2024-2026.xlsx</x:v>
      </x:c>
      <x:c r="D165" s="207" t="str">
        <x:v>BANK_STATEMENTS</x:v>
      </x:c>
      <x:c r="E165" s="207" t="str">
        <x:v>Поступления ЦУМ → банк</x:v>
      </x:c>
      <x:c r="F165" s="207" t="str">
        <x:v>2025-07</x:v>
      </x:c>
      <x:c r="G165" s="207" t="str">
        <x:v>месяц поступления + назначение платежа</x:v>
      </x:c>
      <x:c r="H165" s="207" t="str">
        <x:v>Подтверждено</x:v>
      </x:c>
      <x:c r="I165" s="207" t="str">
        <x:v>Подтверждено</x:v>
      </x:c>
      <x:c r="J165" s="207" t="str">
        <x:v>2025-07: diff 0.00 руб.</x:v>
      </x:c>
      <x:c r="K165" s="207" t="str">
        <x:v>sales_line_id / settlement statement / commission and return detail</x:v>
      </x:c>
      <x:c r="L165" s="207" t="str">
        <x:v>settlement_id + sale_period + bank_payment_id</x:v>
      </x:c>
      <x:c r="M165" s="207" t="str">
        <x:v>Cash collection и settlement</x:v>
      </x:c>
      <x:c r="N165" s="207" t="str">
        <x:v>Финансы</x:v>
      </x:c>
      <x:c r="O165" s="208" t="str">
        <x:v>Высокий при текстовом/агрегатном join</x:v>
      </x:c>
    </x:row>
    <x:row r="166">
      <x:c r="A166" s="206" t="str">
        <x:v>PROD-EDGE-051</x:v>
      </x:c>
      <x:c r="B166" s="207" t="str">
        <x:v>Продукт/операции</x:v>
      </x:c>
      <x:c r="C166" s="207" t="str">
        <x:v>SALES 2024-2026.xlsx</x:v>
      </x:c>
      <x:c r="D166" s="207" t="str">
        <x:v>BANK_STATEMENTS</x:v>
      </x:c>
      <x:c r="E166" s="207" t="str">
        <x:v>Поступления ЦУМ → банк</x:v>
      </x:c>
      <x:c r="F166" s="207" t="str">
        <x:v>2025-08</x:v>
      </x:c>
      <x:c r="G166" s="207" t="str">
        <x:v>месяц поступления + назначение платежа</x:v>
      </x:c>
      <x:c r="H166" s="207" t="str">
        <x:v>Подтверждено</x:v>
      </x:c>
      <x:c r="I166" s="207" t="str">
        <x:v>Подтверждено</x:v>
      </x:c>
      <x:c r="J166" s="207" t="str">
        <x:v>2025-08: diff 0.00 руб.</x:v>
      </x:c>
      <x:c r="K166" s="207" t="str">
        <x:v>sales_line_id / settlement statement / commission and return detail</x:v>
      </x:c>
      <x:c r="L166" s="207" t="str">
        <x:v>settlement_id + sale_period + bank_payment_id</x:v>
      </x:c>
      <x:c r="M166" s="207" t="str">
        <x:v>Cash collection и settlement</x:v>
      </x:c>
      <x:c r="N166" s="207" t="str">
        <x:v>Финансы</x:v>
      </x:c>
      <x:c r="O166" s="208" t="str">
        <x:v>Высокий при текстовом/агрегатном join</x:v>
      </x:c>
    </x:row>
    <x:row r="167">
      <x:c r="A167" s="206" t="str">
        <x:v>PROD-EDGE-052</x:v>
      </x:c>
      <x:c r="B167" s="207" t="str">
        <x:v>Продукт/операции</x:v>
      </x:c>
      <x:c r="C167" s="207" t="str">
        <x:v>SALES 2024-2026.xlsx</x:v>
      </x:c>
      <x:c r="D167" s="207" t="str">
        <x:v>BANK_STATEMENTS</x:v>
      </x:c>
      <x:c r="E167" s="207" t="str">
        <x:v>Поступления ЦУМ → банк</x:v>
      </x:c>
      <x:c r="F167" s="207" t="str">
        <x:v>2025-09</x:v>
      </x:c>
      <x:c r="G167" s="207" t="str">
        <x:v>месяц поступления + назначение платежа</x:v>
      </x:c>
      <x:c r="H167" s="207" t="str">
        <x:v>Подтверждено</x:v>
      </x:c>
      <x:c r="I167" s="207" t="str">
        <x:v>Подтверждено</x:v>
      </x:c>
      <x:c r="J167" s="207" t="str">
        <x:v>2025-09: diff 0.00 руб.</x:v>
      </x:c>
      <x:c r="K167" s="207" t="str">
        <x:v>sales_line_id / settlement statement / commission and return detail</x:v>
      </x:c>
      <x:c r="L167" s="207" t="str">
        <x:v>settlement_id + sale_period + bank_payment_id</x:v>
      </x:c>
      <x:c r="M167" s="207" t="str">
        <x:v>Cash collection и settlement</x:v>
      </x:c>
      <x:c r="N167" s="207" t="str">
        <x:v>Финансы</x:v>
      </x:c>
      <x:c r="O167" s="208" t="str">
        <x:v>Высокий при текстовом/агрегатном join</x:v>
      </x:c>
    </x:row>
    <x:row r="168">
      <x:c r="A168" s="206" t="str">
        <x:v>PROD-EDGE-053</x:v>
      </x:c>
      <x:c r="B168" s="207" t="str">
        <x:v>Продукт/операции</x:v>
      </x:c>
      <x:c r="C168" s="207" t="str">
        <x:v>SALES 2024-2026.xlsx</x:v>
      </x:c>
      <x:c r="D168" s="207" t="str">
        <x:v>BANK_STATEMENTS</x:v>
      </x:c>
      <x:c r="E168" s="207" t="str">
        <x:v>Поступления ЦУМ → банк</x:v>
      </x:c>
      <x:c r="F168" s="207" t="str">
        <x:v>2025-10</x:v>
      </x:c>
      <x:c r="G168" s="207" t="str">
        <x:v>месяц поступления + назначение платежа</x:v>
      </x:c>
      <x:c r="H168" s="207" t="str">
        <x:v>Подтверждено</x:v>
      </x:c>
      <x:c r="I168" s="207" t="str">
        <x:v>Подтверждено</x:v>
      </x:c>
      <x:c r="J168" s="207" t="str">
        <x:v>2025-10: diff 0.00 руб.</x:v>
      </x:c>
      <x:c r="K168" s="207" t="str">
        <x:v>sales_line_id / settlement statement / commission and return detail</x:v>
      </x:c>
      <x:c r="L168" s="207" t="str">
        <x:v>settlement_id + sale_period + bank_payment_id</x:v>
      </x:c>
      <x:c r="M168" s="207" t="str">
        <x:v>Cash collection и settlement</x:v>
      </x:c>
      <x:c r="N168" s="207" t="str">
        <x:v>Финансы</x:v>
      </x:c>
      <x:c r="O168" s="208" t="str">
        <x:v>Высокий при текстовом/агрегатном join</x:v>
      </x:c>
    </x:row>
    <x:row r="169">
      <x:c r="A169" s="206" t="str">
        <x:v>PROD-EDGE-054</x:v>
      </x:c>
      <x:c r="B169" s="207" t="str">
        <x:v>Продукт/операции</x:v>
      </x:c>
      <x:c r="C169" s="207" t="str">
        <x:v>SALES 2024-2026.xlsx</x:v>
      </x:c>
      <x:c r="D169" s="207" t="str">
        <x:v>BANK_STATEMENTS</x:v>
      </x:c>
      <x:c r="E169" s="207" t="str">
        <x:v>Поступления ЦУМ → банк</x:v>
      </x:c>
      <x:c r="F169" s="207" t="str">
        <x:v>2025-11</x:v>
      </x:c>
      <x:c r="G169" s="207" t="str">
        <x:v>месяц поступления + назначение платежа</x:v>
      </x:c>
      <x:c r="H169" s="207" t="str">
        <x:v>Подтверждено</x:v>
      </x:c>
      <x:c r="I169" s="207" t="str">
        <x:v>Подтверждено</x:v>
      </x:c>
      <x:c r="J169" s="207" t="str">
        <x:v>2025-11: diff 0.00 руб.</x:v>
      </x:c>
      <x:c r="K169" s="207" t="str">
        <x:v>sales_line_id / settlement statement / commission and return detail</x:v>
      </x:c>
      <x:c r="L169" s="207" t="str">
        <x:v>settlement_id + sale_period + bank_payment_id</x:v>
      </x:c>
      <x:c r="M169" s="207" t="str">
        <x:v>Cash collection и settlement</x:v>
      </x:c>
      <x:c r="N169" s="207" t="str">
        <x:v>Финансы</x:v>
      </x:c>
      <x:c r="O169" s="208" t="str">
        <x:v>Высокий при текстовом/агрегатном join</x:v>
      </x:c>
    </x:row>
    <x:row r="170">
      <x:c r="A170" s="206" t="str">
        <x:v>PROD-EDGE-055</x:v>
      </x:c>
      <x:c r="B170" s="207" t="str">
        <x:v>Продукт/операции</x:v>
      </x:c>
      <x:c r="C170" s="207" t="str">
        <x:v>SALES 2024-2026.xlsx</x:v>
      </x:c>
      <x:c r="D170" s="207" t="str">
        <x:v>BANK_STATEMENTS</x:v>
      </x:c>
      <x:c r="E170" s="207" t="str">
        <x:v>Поступления ЦУМ → банк</x:v>
      </x:c>
      <x:c r="F170" s="207" t="str">
        <x:v>2025-12</x:v>
      </x:c>
      <x:c r="G170" s="207" t="str">
        <x:v>месяц поступления + назначение платежа</x:v>
      </x:c>
      <x:c r="H170" s="207" t="str">
        <x:v>Подтверждено</x:v>
      </x:c>
      <x:c r="I170" s="207" t="str">
        <x:v>Подтверждено</x:v>
      </x:c>
      <x:c r="J170" s="207" t="str">
        <x:v>2025-12: diff 0.00 руб.</x:v>
      </x:c>
      <x:c r="K170" s="207" t="str">
        <x:v>sales_line_id / settlement statement / commission and return detail</x:v>
      </x:c>
      <x:c r="L170" s="207" t="str">
        <x:v>settlement_id + sale_period + bank_payment_id</x:v>
      </x:c>
      <x:c r="M170" s="207" t="str">
        <x:v>Cash collection и settlement</x:v>
      </x:c>
      <x:c r="N170" s="207" t="str">
        <x:v>Финансы</x:v>
      </x:c>
      <x:c r="O170" s="208" t="str">
        <x:v>Высокий при текстовом/агрегатном join</x:v>
      </x:c>
    </x:row>
    <x:row r="171">
      <x:c r="A171" s="206" t="str">
        <x:v>PROD-EDGE-056</x:v>
      </x:c>
      <x:c r="B171" s="207" t="str">
        <x:v>Продукт/операции</x:v>
      </x:c>
      <x:c r="C171" s="207" t="str">
        <x:v>SALES 2024-2026.xlsx</x:v>
      </x:c>
      <x:c r="D171" s="207" t="str">
        <x:v>BANK_STATEMENTS</x:v>
      </x:c>
      <x:c r="E171" s="207" t="str">
        <x:v>Поступления ЦУМ → банк</x:v>
      </x:c>
      <x:c r="F171" s="207" t="str">
        <x:v>2026-01</x:v>
      </x:c>
      <x:c r="G171" s="207" t="str">
        <x:v>месяц поступления + назначение платежа</x:v>
      </x:c>
      <x:c r="H171" s="207" t="str">
        <x:v>Подтверждено</x:v>
      </x:c>
      <x:c r="I171" s="207" t="str">
        <x:v>Подтверждено</x:v>
      </x:c>
      <x:c r="J171" s="207" t="str">
        <x:v>2026-01: diff 0.00 руб.</x:v>
      </x:c>
      <x:c r="K171" s="207" t="str">
        <x:v>sales_line_id / settlement statement / commission and return detail</x:v>
      </x:c>
      <x:c r="L171" s="207" t="str">
        <x:v>settlement_id + sale_period + bank_payment_id</x:v>
      </x:c>
      <x:c r="M171" s="207" t="str">
        <x:v>Cash collection и settlement</x:v>
      </x:c>
      <x:c r="N171" s="207" t="str">
        <x:v>Финансы</x:v>
      </x:c>
      <x:c r="O171" s="208" t="str">
        <x:v>Высокий при текстовом/агрегатном join</x:v>
      </x:c>
    </x:row>
    <x:row r="172">
      <x:c r="A172" s="206" t="str">
        <x:v>PROD-EDGE-057</x:v>
      </x:c>
      <x:c r="B172" s="207" t="str">
        <x:v>Продукт/операции</x:v>
      </x:c>
      <x:c r="C172" s="207" t="str">
        <x:v>SALES 2024-2026.xlsx</x:v>
      </x:c>
      <x:c r="D172" s="207" t="str">
        <x:v>BANK_STATEMENTS</x:v>
      </x:c>
      <x:c r="E172" s="207" t="str">
        <x:v>Поступления ЦУМ → банк</x:v>
      </x:c>
      <x:c r="F172" s="207" t="str">
        <x:v>2026-02</x:v>
      </x:c>
      <x:c r="G172" s="207" t="str">
        <x:v>месяц поступления + назначение платежа</x:v>
      </x:c>
      <x:c r="H172" s="207" t="str">
        <x:v>Подтверждено</x:v>
      </x:c>
      <x:c r="I172" s="207" t="str">
        <x:v>Подтверждено</x:v>
      </x:c>
      <x:c r="J172" s="207" t="str">
        <x:v>2026-02: diff 0.00 руб.</x:v>
      </x:c>
      <x:c r="K172" s="207" t="str">
        <x:v>sales_line_id / settlement statement / commission and return detail</x:v>
      </x:c>
      <x:c r="L172" s="207" t="str">
        <x:v>settlement_id + sale_period + bank_payment_id</x:v>
      </x:c>
      <x:c r="M172" s="207" t="str">
        <x:v>Cash collection и settlement</x:v>
      </x:c>
      <x:c r="N172" s="207" t="str">
        <x:v>Финансы</x:v>
      </x:c>
      <x:c r="O172" s="208" t="str">
        <x:v>Высокий при текстовом/агрегатном join</x:v>
      </x:c>
    </x:row>
    <x:row r="173">
      <x:c r="A173" s="206" t="str">
        <x:v>PROD-EDGE-058</x:v>
      </x:c>
      <x:c r="B173" s="207" t="str">
        <x:v>Продукт/операции</x:v>
      </x:c>
      <x:c r="C173" s="207" t="str">
        <x:v>SALES 2024-2026.xlsx</x:v>
      </x:c>
      <x:c r="D173" s="207" t="str">
        <x:v>BANK_STATEMENTS</x:v>
      </x:c>
      <x:c r="E173" s="207" t="str">
        <x:v>Поступления ЦУМ → банк</x:v>
      </x:c>
      <x:c r="F173" s="207" t="str">
        <x:v>2026-03</x:v>
      </x:c>
      <x:c r="G173" s="207" t="str">
        <x:v>месяц поступления + назначение платежа</x:v>
      </x:c>
      <x:c r="H173" s="207" t="str">
        <x:v>Подтверждено</x:v>
      </x:c>
      <x:c r="I173" s="207" t="str">
        <x:v>Подтверждено</x:v>
      </x:c>
      <x:c r="J173" s="207" t="str">
        <x:v>2026-03: diff 0.00 руб.</x:v>
      </x:c>
      <x:c r="K173" s="207" t="str">
        <x:v>sales_line_id / settlement statement / commission and return detail</x:v>
      </x:c>
      <x:c r="L173" s="207" t="str">
        <x:v>settlement_id + sale_period + bank_payment_id</x:v>
      </x:c>
      <x:c r="M173" s="207" t="str">
        <x:v>Cash collection и settlement</x:v>
      </x:c>
      <x:c r="N173" s="207" t="str">
        <x:v>Финансы</x:v>
      </x:c>
      <x:c r="O173" s="208" t="str">
        <x:v>Высокий при текстовом/агрегатном join</x:v>
      </x:c>
    </x:row>
    <x:row r="174">
      <x:c r="A174" s="206" t="str">
        <x:v>PROD-EDGE-059</x:v>
      </x:c>
      <x:c r="B174" s="207" t="str">
        <x:v>Продукт/операции</x:v>
      </x:c>
      <x:c r="C174" s="207" t="str">
        <x:v>SALES 2024-2026.xlsx</x:v>
      </x:c>
      <x:c r="D174" s="207" t="str">
        <x:v>BANK_STATEMENTS</x:v>
      </x:c>
      <x:c r="E174" s="207" t="str">
        <x:v>Поступления ЦУМ → банк</x:v>
      </x:c>
      <x:c r="F174" s="207" t="str">
        <x:v>2026-04</x:v>
      </x:c>
      <x:c r="G174" s="207" t="str">
        <x:v>месяц поступления + назначение платежа</x:v>
      </x:c>
      <x:c r="H174" s="207" t="str">
        <x:v>Подтверждено</x:v>
      </x:c>
      <x:c r="I174" s="207" t="str">
        <x:v>Подтверждено</x:v>
      </x:c>
      <x:c r="J174" s="207" t="str">
        <x:v>2026-04: diff 0.00 руб.</x:v>
      </x:c>
      <x:c r="K174" s="207" t="str">
        <x:v>sales_line_id / settlement statement / commission and return detail</x:v>
      </x:c>
      <x:c r="L174" s="207" t="str">
        <x:v>settlement_id + sale_period + bank_payment_id</x:v>
      </x:c>
      <x:c r="M174" s="207" t="str">
        <x:v>Cash collection и settlement</x:v>
      </x:c>
      <x:c r="N174" s="207" t="str">
        <x:v>Финансы</x:v>
      </x:c>
      <x:c r="O174" s="208" t="str">
        <x:v>Высокий при текстовом/агрегатном join</x:v>
      </x:c>
    </x:row>
    <x:row r="175">
      <x:c r="A175" s="206" t="str">
        <x:v>PROD-EDGE-060</x:v>
      </x:c>
      <x:c r="B175" s="207" t="str">
        <x:v>Продукт/операции</x:v>
      </x:c>
      <x:c r="C175" s="207" t="str">
        <x:v>SALES 2024-2026.xlsx</x:v>
      </x:c>
      <x:c r="D175" s="207" t="str">
        <x:v>BANK_STATEMENTS</x:v>
      </x:c>
      <x:c r="E175" s="207" t="str">
        <x:v>Поступления ЦУМ → банк</x:v>
      </x:c>
      <x:c r="F175" s="207" t="str">
        <x:v>2026-05</x:v>
      </x:c>
      <x:c r="G175" s="207" t="str">
        <x:v>месяц поступления + назначение платежа</x:v>
      </x:c>
      <x:c r="H175" s="207" t="str">
        <x:v>Подтверждено</x:v>
      </x:c>
      <x:c r="I175" s="207" t="str">
        <x:v>Подтверждено</x:v>
      </x:c>
      <x:c r="J175" s="207" t="str">
        <x:v>2026-05: diff 0.00 руб.</x:v>
      </x:c>
      <x:c r="K175" s="207" t="str">
        <x:v>sales_line_id / settlement statement / commission and return detail</x:v>
      </x:c>
      <x:c r="L175" s="207" t="str">
        <x:v>settlement_id + sale_period + bank_payment_id</x:v>
      </x:c>
      <x:c r="M175" s="207" t="str">
        <x:v>Cash collection и settlement</x:v>
      </x:c>
      <x:c r="N175" s="207" t="str">
        <x:v>Финансы</x:v>
      </x:c>
      <x:c r="O175" s="208" t="str">
        <x:v>Высокий при текстовом/агрегатном join</x:v>
      </x:c>
    </x:row>
    <x:row r="176">
      <x:c r="A176" s="206" t="str">
        <x:v>FIN-DDS-2024</x:v>
      </x:c>
      <x:c r="B176" s="207" t="str">
        <x:v>Финансы/закрытие</x:v>
      </x:c>
      <x:c r="C176" s="207" t="str">
        <x:v>ДДС 2024.xlsx</x:v>
      </x:c>
      <x:c r="D176" s="207" t="str">
        <x:v>Расходы 2024.xlsx</x:v>
      </x:c>
      <x:c r="E176" s="207" t="str">
        <x:v>ДДС ↔ классификация расходов</x:v>
      </x:c>
      <x:c r="F176" s="207" t="str">
        <x:v>2024</x:v>
      </x:c>
      <x:c r="G176" s="207" t="str">
        <x:v>Период + категория + сумма</x:v>
      </x:c>
      <x:c r="H176" s="207" t="str">
        <x:v>Частично</x:v>
      </x:c>
      <x:c r="I176" s="207" t="str">
        <x:v>Частично</x:v>
      </x:c>
      <x:c r="J176" s="207" t="str">
        <x:v>Структура 2024 неоднородна; требуется построчная карта методики.</x:v>
      </x:c>
      <x:c r="K176" s="207" t="str">
        <x:v>Нет transaction_id/category_id и унифицированной методики</x:v>
      </x:c>
      <x:c r="L176" s="207" t="str">
        <x:v>cash_transaction_id + account_id + category_id</x:v>
      </x:c>
      <x:c r="M176" s="207" t="str">
        <x:v>Cash flow и план-факт</x:v>
      </x:c>
      <x:c r="N176" s="207" t="str">
        <x:v>Финансы</x:v>
      </x:c>
      <x:c r="O176" s="208" t="str">
        <x:v>Средний/высокий</x:v>
      </x:c>
    </x:row>
    <x:row r="177">
      <x:c r="A177" s="206" t="str">
        <x:v>FIN-DDS-2025</x:v>
      </x:c>
      <x:c r="B177" s="207" t="str">
        <x:v>Финансы/закрытие</x:v>
      </x:c>
      <x:c r="C177" s="207" t="str">
        <x:v>ДДС 2025.xlsx</x:v>
      </x:c>
      <x:c r="D177" s="207" t="str">
        <x:v>Расходы 2025.xlsx</x:v>
      </x:c>
      <x:c r="E177" s="207" t="str">
        <x:v>ДДС ↔ классификация расходов</x:v>
      </x:c>
      <x:c r="F177" s="207" t="str">
        <x:v>2025</x:v>
      </x:c>
      <x:c r="G177" s="207" t="str">
        <x:v>Период + категория + сумма</x:v>
      </x:c>
      <x:c r="H177" s="207" t="str">
        <x:v>Подтверждено в большинстве месяцев</x:v>
      </x:c>
      <x:c r="I177" s="207" t="str">
        <x:v>Подтверждено</x:v>
      </x:c>
      <x:c r="J177" s="207" t="str">
        <x:v>ДДС и Расходы в большинстве месяцев сходятся после учёта валютного/карточного блоков.</x:v>
      </x:c>
      <x:c r="K177" s="207" t="str">
        <x:v>Нет transaction_id/category_id и унифицированной методики</x:v>
      </x:c>
      <x:c r="L177" s="207" t="str">
        <x:v>cash_transaction_id + account_id + category_id</x:v>
      </x:c>
      <x:c r="M177" s="207" t="str">
        <x:v>Cash flow и план-факт</x:v>
      </x:c>
      <x:c r="N177" s="207" t="str">
        <x:v>Финансы</x:v>
      </x:c>
      <x:c r="O177" s="208" t="str">
        <x:v>Средний/высокий</x:v>
      </x:c>
    </x:row>
    <x:row r="178">
      <x:c r="A178" s="206" t="str">
        <x:v>FIN-DDS-2026-01..05</x:v>
      </x:c>
      <x:c r="B178" s="207" t="str">
        <x:v>Финансы/закрытие</x:v>
      </x:c>
      <x:c r="C178" s="207" t="str">
        <x:v>ДДС 2026.xlxs.xlsx</x:v>
      </x:c>
      <x:c r="D178" s="207" t="str">
        <x:v>Расходы 2026.xlsx</x:v>
      </x:c>
      <x:c r="E178" s="207" t="str">
        <x:v>ДДС ↔ классификация расходов</x:v>
      </x:c>
      <x:c r="F178" s="207" t="str">
        <x:v>2026-01..05</x:v>
      </x:c>
      <x:c r="G178" s="207" t="str">
        <x:v>Период + категория + сумма</x:v>
      </x:c>
      <x:c r="H178" s="207" t="str">
        <x:v>Частично</x:v>
      </x:c>
      <x:c r="I178" s="207" t="str">
        <x:v>Частично</x:v>
      </x:c>
      <x:c r="J178" s="207" t="str">
        <x:v>Январь–апрель в основном сходятся; май содержит 27 500,30 руб. без строки ДДС.</x:v>
      </x:c>
      <x:c r="K178" s="207" t="str">
        <x:v>Нет transaction_id/category_id и унифицированной методики</x:v>
      </x:c>
      <x:c r="L178" s="207" t="str">
        <x:v>cash_transaction_id + account_id + category_id</x:v>
      </x:c>
      <x:c r="M178" s="207" t="str">
        <x:v>Cash flow и план-факт</x:v>
      </x:c>
      <x:c r="N178" s="207" t="str">
        <x:v>Финансы</x:v>
      </x:c>
      <x:c r="O178" s="208" t="str">
        <x:v>Средний/высокий</x:v>
      </x:c>
    </x:row>
    <x:row r="179">
      <x:c r="A179" s="206" t="str">
        <x:v>FIN-BANK-1</x:v>
      </x:c>
      <x:c r="B179" s="207" t="str">
        <x:v>Финансы/закрытие</x:v>
      </x:c>
      <x:c r="C179" s="207" t="str">
        <x:v>VTB_BankStatement_40702810804000008482_01.01.2024-22.06.2026_376277.pdf</x:v>
      </x:c>
      <x:c r="D179" s="207" t="str">
        <x:v>Расходы 2024–2026.xlsx</x:v>
      </x:c>
      <x:c r="E179" s="207" t="str">
        <x:v>Банк ↔ месячные остатки</x:v>
      </x:c>
      <x:c r="F179" s="207" t="str">
        <x:v>2024–2026</x:v>
      </x:c>
      <x:c r="G179" s="207" t="str">
        <x:v>account + month-end balance</x:v>
      </x:c>
      <x:c r="H179" s="207" t="str">
        <x:v>Подтверждено с исключениями</x:v>
      </x:c>
      <x:c r="I179" s="207" t="str">
        <x:v>Подтверждено</x:v>
      </x:c>
      <x:c r="J179" s="207" t="str">
        <x:v>113 из 116 доступных месячных остатков совпали в пределах 1 рубля.</x:v>
      </x:c>
      <x:c r="K179" s="207" t="str">
        <x:v>Не весь банковский периметр; 3 исключения</x:v>
      </x:c>
      <x:c r="L179" s="207" t="str">
        <x:v>bank_account_id + statement_line_id + close_period_id</x:v>
      </x:c>
      <x:c r="M179" s="207" t="str">
        <x:v>Ликвидность и cash close</x:v>
      </x:c>
      <x:c r="N179" s="207" t="str">
        <x:v>Финансы</x:v>
      </x:c>
      <x:c r="O179" s="208" t="str">
        <x:v>Низкий на покрытых счетах; высокий вне периметра</x:v>
      </x:c>
    </x:row>
    <x:row r="180">
      <x:c r="A180" s="206" t="str">
        <x:v>FIN-BANK-2</x:v>
      </x:c>
      <x:c r="B180" s="207" t="str">
        <x:v>Финансы/закрытие</x:v>
      </x:c>
      <x:c r="C180" s="207" t="str">
        <x:v>VTB_BankStatement_40802810404000000049_01.01.2024-22.06.2026_417016.pdf</x:v>
      </x:c>
      <x:c r="D180" s="207" t="str">
        <x:v>Расходы 2024–2026.xlsx</x:v>
      </x:c>
      <x:c r="E180" s="207" t="str">
        <x:v>Банк ↔ месячные остатки</x:v>
      </x:c>
      <x:c r="F180" s="207" t="str">
        <x:v>2024–2026</x:v>
      </x:c>
      <x:c r="G180" s="207" t="str">
        <x:v>account + month-end balance</x:v>
      </x:c>
      <x:c r="H180" s="207" t="str">
        <x:v>Подтверждено с исключениями</x:v>
      </x:c>
      <x:c r="I180" s="207" t="str">
        <x:v>Подтверждено</x:v>
      </x:c>
      <x:c r="J180" s="207" t="str">
        <x:v>113 из 116 доступных месячных остатков совпали в пределах 1 рубля.</x:v>
      </x:c>
      <x:c r="K180" s="207" t="str">
        <x:v>Не весь банковский периметр; 3 исключения</x:v>
      </x:c>
      <x:c r="L180" s="207" t="str">
        <x:v>bank_account_id + statement_line_id + close_period_id</x:v>
      </x:c>
      <x:c r="M180" s="207" t="str">
        <x:v>Ликвидность и cash close</x:v>
      </x:c>
      <x:c r="N180" s="207" t="str">
        <x:v>Финансы</x:v>
      </x:c>
      <x:c r="O180" s="208" t="str">
        <x:v>Низкий на покрытых счетах; высокий вне периметра</x:v>
      </x:c>
    </x:row>
    <x:row r="181">
      <x:c r="A181" s="206" t="str">
        <x:v>FIN-BANK-3</x:v>
      </x:c>
      <x:c r="B181" s="207" t="str">
        <x:v>Финансы/закрытие</x:v>
      </x:c>
      <x:c r="C181" s="207" t="str">
        <x:v>VTB_BankStatement_40802810500000006196_01.01.2024-22.06.2026_417014.pdf</x:v>
      </x:c>
      <x:c r="D181" s="207" t="str">
        <x:v>Расходы 2024–2026.xlsx</x:v>
      </x:c>
      <x:c r="E181" s="207" t="str">
        <x:v>Банк ↔ месячные остатки</x:v>
      </x:c>
      <x:c r="F181" s="207" t="str">
        <x:v>2024–2026</x:v>
      </x:c>
      <x:c r="G181" s="207" t="str">
        <x:v>account + month-end balance</x:v>
      </x:c>
      <x:c r="H181" s="207" t="str">
        <x:v>Подтверждено с исключениями</x:v>
      </x:c>
      <x:c r="I181" s="207" t="str">
        <x:v>Подтверждено</x:v>
      </x:c>
      <x:c r="J181" s="207" t="str">
        <x:v>113 из 116 доступных месячных остатков совпали в пределах 1 рубля.</x:v>
      </x:c>
      <x:c r="K181" s="207" t="str">
        <x:v>Не весь банковский периметр; 3 исключения</x:v>
      </x:c>
      <x:c r="L181" s="207" t="str">
        <x:v>bank_account_id + statement_line_id + close_period_id</x:v>
      </x:c>
      <x:c r="M181" s="207" t="str">
        <x:v>Ликвидность и cash close</x:v>
      </x:c>
      <x:c r="N181" s="207" t="str">
        <x:v>Финансы</x:v>
      </x:c>
      <x:c r="O181" s="208" t="str">
        <x:v>Низкий на покрытых счетах; высокий вне периметра</x:v>
      </x:c>
    </x:row>
    <x:row r="182">
      <x:c r="A182" s="206" t="str">
        <x:v>FIN-BANK-4</x:v>
      </x:c>
      <x:c r="B182" s="207" t="str">
        <x:v>Финансы/закрытие</x:v>
      </x:c>
      <x:c r="C182" s="207" t="str">
        <x:v>Выписка_40802810202620002686_01.01.2024–31.12.2024.xlsx / 2025 / 2026</x:v>
      </x:c>
      <x:c r="D182" s="207" t="str">
        <x:v>Расходы 2024–2026.xlsx</x:v>
      </x:c>
      <x:c r="E182" s="207" t="str">
        <x:v>Банк ↔ месячные остатки</x:v>
      </x:c>
      <x:c r="F182" s="207" t="str">
        <x:v>2024–2026</x:v>
      </x:c>
      <x:c r="G182" s="207" t="str">
        <x:v>account + month-end balance</x:v>
      </x:c>
      <x:c r="H182" s="207" t="str">
        <x:v>Подтверждено с исключениями</x:v>
      </x:c>
      <x:c r="I182" s="207" t="str">
        <x:v>Подтверждено</x:v>
      </x:c>
      <x:c r="J182" s="207" t="str">
        <x:v>113 из 116 доступных месячных остатков совпали в пределах 1 рубля.</x:v>
      </x:c>
      <x:c r="K182" s="207" t="str">
        <x:v>Не весь банковский периметр; 3 исключения</x:v>
      </x:c>
      <x:c r="L182" s="207" t="str">
        <x:v>bank_account_id + statement_line_id + close_period_id</x:v>
      </x:c>
      <x:c r="M182" s="207" t="str">
        <x:v>Ликвидность и cash close</x:v>
      </x:c>
      <x:c r="N182" s="207" t="str">
        <x:v>Финансы</x:v>
      </x:c>
      <x:c r="O182" s="208" t="str">
        <x:v>Низкий на покрытых счетах; высокий вне периметра</x:v>
      </x:c>
    </x:row>
    <x:row r="183">
      <x:c r="A183" s="206" t="str">
        <x:v>FIN-PAY-01</x:v>
      </x:c>
      <x:c r="B183" s="207" t="str">
        <x:v>Финансы/закрытие</x:v>
      </x:c>
      <x:c r="C183" s="207" t="str">
        <x:v>ЗП за январь 2025.xlsx</x:v>
      </x:c>
      <x:c r="D183" s="207" t="str">
        <x:v>ДДС 2025.xlsx</x:v>
      </x:c>
      <x:c r="E183" s="207" t="str">
        <x:v>ФОТ ↔ банковская выплата/ДДС</x:v>
      </x:c>
      <x:c r="F183" s="207" t="str">
        <x:v>2025-январь</x:v>
      </x:c>
      <x:c r="G183" s="207" t="str">
        <x:v>Период выплаты + сумма + банковский пакет</x:v>
      </x:c>
      <x:c r="H183" s="207" t="str">
        <x:v>Подтверждено агрегатно</x:v>
      </x:c>
      <x:c r="I183" s="207" t="str">
        <x:v>Частично</x:v>
      </x:c>
      <x:c r="J183" s="207" t="str">
        <x:v>После Stage 13 агрегатная разница payroll↔банк↔ДДС объяснена; cash adjustment не требуется.</x:v>
      </x:c>
      <x:c r="K183" s="207" t="str">
        <x:v>Нет полного employee_id/registry_id/accrual period ledger</x:v>
      </x:c>
      <x:c r="L183" s="207" t="str">
        <x:v>employee_id + payroll_registry_id + bank_payment_id</x:v>
      </x:c>
      <x:c r="M183" s="207" t="str">
        <x:v>Payroll cash reconciliation</x:v>
      </x:c>
      <x:c r="N183" s="207" t="str">
        <x:v>HR + финансы</x:v>
      </x:c>
      <x:c r="O183" s="208" t="str">
        <x:v>Средний: агрегат сходится, employee-level неполон</x:v>
      </x:c>
    </x:row>
    <x:row r="184">
      <x:c r="A184" s="206" t="str">
        <x:v>FIN-PAY-02</x:v>
      </x:c>
      <x:c r="B184" s="207" t="str">
        <x:v>Финансы/закрытие</x:v>
      </x:c>
      <x:c r="C184" s="207" t="str">
        <x:v>ЗП за февраль 2025.xlsx</x:v>
      </x:c>
      <x:c r="D184" s="207" t="str">
        <x:v>ДДС 2025.xlsx</x:v>
      </x:c>
      <x:c r="E184" s="207" t="str">
        <x:v>ФОТ ↔ банковская выплата/ДДС</x:v>
      </x:c>
      <x:c r="F184" s="207" t="str">
        <x:v>2025-февраль</x:v>
      </x:c>
      <x:c r="G184" s="207" t="str">
        <x:v>Период выплаты + сумма + банковский пакет</x:v>
      </x:c>
      <x:c r="H184" s="207" t="str">
        <x:v>Подтверждено агрегатно</x:v>
      </x:c>
      <x:c r="I184" s="207" t="str">
        <x:v>Частично</x:v>
      </x:c>
      <x:c r="J184" s="207" t="str">
        <x:v>Безналичная выплата совпадает с контрольным значением в пределах 1 рубля.</x:v>
      </x:c>
      <x:c r="K184" s="207" t="str">
        <x:v>Нет полного employee_id/registry_id/accrual period ledger</x:v>
      </x:c>
      <x:c r="L184" s="207" t="str">
        <x:v>employee_id + payroll_registry_id + bank_payment_id</x:v>
      </x:c>
      <x:c r="M184" s="207" t="str">
        <x:v>Payroll cash reconciliation</x:v>
      </x:c>
      <x:c r="N184" s="207" t="str">
        <x:v>HR + финансы</x:v>
      </x:c>
      <x:c r="O184" s="208" t="str">
        <x:v>Средний: агрегат сходится, employee-level неполон</x:v>
      </x:c>
    </x:row>
    <x:row r="185">
      <x:c r="A185" s="206" t="str">
        <x:v>FIN-PAY-03</x:v>
      </x:c>
      <x:c r="B185" s="207" t="str">
        <x:v>Финансы/закрытие</x:v>
      </x:c>
      <x:c r="C185" s="207" t="str">
        <x:v>ЗП за март 2025.xlsx</x:v>
      </x:c>
      <x:c r="D185" s="207" t="str">
        <x:v>ДДС 2025.xlsx</x:v>
      </x:c>
      <x:c r="E185" s="207" t="str">
        <x:v>ФОТ ↔ банковская выплата/ДДС</x:v>
      </x:c>
      <x:c r="F185" s="207" t="str">
        <x:v>2025-март</x:v>
      </x:c>
      <x:c r="G185" s="207" t="str">
        <x:v>Период выплаты + сумма + банковский пакет</x:v>
      </x:c>
      <x:c r="H185" s="207" t="str">
        <x:v>Подтверждено агрегатно</x:v>
      </x:c>
      <x:c r="I185" s="207" t="str">
        <x:v>Частично</x:v>
      </x:c>
      <x:c r="J185" s="207" t="str">
        <x:v>После Stage 13 агрегатная разница payroll↔банк↔ДДС объяснена; cash adjustment не требуется.</x:v>
      </x:c>
      <x:c r="K185" s="207" t="str">
        <x:v>Нет полного employee_id/registry_id/accrual period ledger</x:v>
      </x:c>
      <x:c r="L185" s="207" t="str">
        <x:v>employee_id + payroll_registry_id + bank_payment_id</x:v>
      </x:c>
      <x:c r="M185" s="207" t="str">
        <x:v>Payroll cash reconciliation</x:v>
      </x:c>
      <x:c r="N185" s="207" t="str">
        <x:v>HR + финансы</x:v>
      </x:c>
      <x:c r="O185" s="208" t="str">
        <x:v>Средний: агрегат сходится, employee-level неполон</x:v>
      </x:c>
    </x:row>
    <x:row r="186">
      <x:c r="A186" s="206" t="str">
        <x:v>FIN-PAY-04</x:v>
      </x:c>
      <x:c r="B186" s="207" t="str">
        <x:v>Финансы/закрытие</x:v>
      </x:c>
      <x:c r="C186" s="207" t="str">
        <x:v>ЗП за апрель 2025.xlsx</x:v>
      </x:c>
      <x:c r="D186" s="207" t="str">
        <x:v>ДДС 2025.xlsx</x:v>
      </x:c>
      <x:c r="E186" s="207" t="str">
        <x:v>ФОТ ↔ банковская выплата/ДДС</x:v>
      </x:c>
      <x:c r="F186" s="207" t="str">
        <x:v>2025-апрель</x:v>
      </x:c>
      <x:c r="G186" s="207" t="str">
        <x:v>Период выплаты + сумма + банковский пакет</x:v>
      </x:c>
      <x:c r="H186" s="207" t="str">
        <x:v>Подтверждено агрегатно</x:v>
      </x:c>
      <x:c r="I186" s="207" t="str">
        <x:v>Частично</x:v>
      </x:c>
      <x:c r="J186" s="207" t="str">
        <x:v>После Stage 13 агрегатная разница payroll↔банк↔ДДС объяснена; cash adjustment не требуется.</x:v>
      </x:c>
      <x:c r="K186" s="207" t="str">
        <x:v>Нет полного employee_id/registry_id/accrual period ledger</x:v>
      </x:c>
      <x:c r="L186" s="207" t="str">
        <x:v>employee_id + payroll_registry_id + bank_payment_id</x:v>
      </x:c>
      <x:c r="M186" s="207" t="str">
        <x:v>Payroll cash reconciliation</x:v>
      </x:c>
      <x:c r="N186" s="207" t="str">
        <x:v>HR + финансы</x:v>
      </x:c>
      <x:c r="O186" s="208" t="str">
        <x:v>Средний: агрегат сходится, employee-level неполон</x:v>
      </x:c>
    </x:row>
    <x:row r="187">
      <x:c r="A187" s="206" t="str">
        <x:v>FIN-PAY-05</x:v>
      </x:c>
      <x:c r="B187" s="207" t="str">
        <x:v>Финансы/закрытие</x:v>
      </x:c>
      <x:c r="C187" s="207" t="str">
        <x:v>ЗП за май 2025.xlsx</x:v>
      </x:c>
      <x:c r="D187" s="207" t="str">
        <x:v>ДДС 2025.xlsx</x:v>
      </x:c>
      <x:c r="E187" s="207" t="str">
        <x:v>ФОТ ↔ банковская выплата/ДДС</x:v>
      </x:c>
      <x:c r="F187" s="207" t="str">
        <x:v>2025-май</x:v>
      </x:c>
      <x:c r="G187" s="207" t="str">
        <x:v>Период выплаты + сумма + банковский пакет</x:v>
      </x:c>
      <x:c r="H187" s="207" t="str">
        <x:v>Подтверждено агрегатно</x:v>
      </x:c>
      <x:c r="I187" s="207" t="str">
        <x:v>Частично</x:v>
      </x:c>
      <x:c r="J187" s="207" t="str">
        <x:v>Безналичная выплата совпадает с контрольным значением в пределах 1 рубля.</x:v>
      </x:c>
      <x:c r="K187" s="207" t="str">
        <x:v>Нет полного employee_id/registry_id/accrual period ledger</x:v>
      </x:c>
      <x:c r="L187" s="207" t="str">
        <x:v>employee_id + payroll_registry_id + bank_payment_id</x:v>
      </x:c>
      <x:c r="M187" s="207" t="str">
        <x:v>Payroll cash reconciliation</x:v>
      </x:c>
      <x:c r="N187" s="207" t="str">
        <x:v>HR + финансы</x:v>
      </x:c>
      <x:c r="O187" s="208" t="str">
        <x:v>Средний: агрегат сходится, employee-level неполон</x:v>
      </x:c>
    </x:row>
    <x:row r="188">
      <x:c r="A188" s="206" t="str">
        <x:v>FIN-PAY-06</x:v>
      </x:c>
      <x:c r="B188" s="207" t="str">
        <x:v>Финансы/закрытие</x:v>
      </x:c>
      <x:c r="C188" s="207" t="str">
        <x:v>ЗП за июнь 2025.xlsx</x:v>
      </x:c>
      <x:c r="D188" s="207" t="str">
        <x:v>ДДС 2025.xlsx</x:v>
      </x:c>
      <x:c r="E188" s="207" t="str">
        <x:v>ФОТ ↔ банковская выплата/ДДС</x:v>
      </x:c>
      <x:c r="F188" s="207" t="str">
        <x:v>2025-июнь</x:v>
      </x:c>
      <x:c r="G188" s="207" t="str">
        <x:v>Период выплаты + сумма + банковский пакет</x:v>
      </x:c>
      <x:c r="H188" s="207" t="str">
        <x:v>Подтверждено агрегатно</x:v>
      </x:c>
      <x:c r="I188" s="207" t="str">
        <x:v>Частично</x:v>
      </x:c>
      <x:c r="J188" s="207" t="str">
        <x:v>Безналичная выплата совпадает с контрольным значением в пределах 1 рубля.</x:v>
      </x:c>
      <x:c r="K188" s="207" t="str">
        <x:v>Нет полного employee_id/registry_id/accrual period ledger</x:v>
      </x:c>
      <x:c r="L188" s="207" t="str">
        <x:v>employee_id + payroll_registry_id + bank_payment_id</x:v>
      </x:c>
      <x:c r="M188" s="207" t="str">
        <x:v>Payroll cash reconciliation</x:v>
      </x:c>
      <x:c r="N188" s="207" t="str">
        <x:v>HR + финансы</x:v>
      </x:c>
      <x:c r="O188" s="208" t="str">
        <x:v>Средний: агрегат сходится, employee-level неполон</x:v>
      </x:c>
    </x:row>
    <x:row r="189">
      <x:c r="A189" s="206" t="str">
        <x:v>FIN-PAY-07</x:v>
      </x:c>
      <x:c r="B189" s="207" t="str">
        <x:v>Финансы/закрытие</x:v>
      </x:c>
      <x:c r="C189" s="207" t="str">
        <x:v>ЗП за январь 2026.xlsx</x:v>
      </x:c>
      <x:c r="D189" s="207" t="str">
        <x:v>ДДС 2026.xlsx</x:v>
      </x:c>
      <x:c r="E189" s="207" t="str">
        <x:v>ФОТ ↔ банковская выплата/ДДС</x:v>
      </x:c>
      <x:c r="F189" s="207" t="str">
        <x:v>2026-январь</x:v>
      </x:c>
      <x:c r="G189" s="207" t="str">
        <x:v>Период выплаты + сумма + банковский пакет</x:v>
      </x:c>
      <x:c r="H189" s="207" t="str">
        <x:v>Подтверждено агрегатно</x:v>
      </x:c>
      <x:c r="I189" s="207" t="str">
        <x:v>Частично</x:v>
      </x:c>
      <x:c r="J189" s="207" t="str">
        <x:v>Безналичная выплата совпадает с контрольным значением в пределах 1 рубля.</x:v>
      </x:c>
      <x:c r="K189" s="207" t="str">
        <x:v>Нет полного employee_id/registry_id/accrual period ledger</x:v>
      </x:c>
      <x:c r="L189" s="207" t="str">
        <x:v>employee_id + payroll_registry_id + bank_payment_id</x:v>
      </x:c>
      <x:c r="M189" s="207" t="str">
        <x:v>Payroll cash reconciliation</x:v>
      </x:c>
      <x:c r="N189" s="207" t="str">
        <x:v>HR + финансы</x:v>
      </x:c>
      <x:c r="O189" s="208" t="str">
        <x:v>Средний: агрегат сходится, employee-level неполон</x:v>
      </x:c>
    </x:row>
    <x:row r="190">
      <x:c r="A190" s="206" t="str">
        <x:v>FIN-PAY-08</x:v>
      </x:c>
      <x:c r="B190" s="207" t="str">
        <x:v>Финансы/закрытие</x:v>
      </x:c>
      <x:c r="C190" s="207" t="str">
        <x:v>ЗП за февраль 2026.xlsx</x:v>
      </x:c>
      <x:c r="D190" s="207" t="str">
        <x:v>ДДС 2026.xlsx</x:v>
      </x:c>
      <x:c r="E190" s="207" t="str">
        <x:v>ФОТ ↔ банковская выплата/ДДС</x:v>
      </x:c>
      <x:c r="F190" s="207" t="str">
        <x:v>2026-февраль</x:v>
      </x:c>
      <x:c r="G190" s="207" t="str">
        <x:v>Период выплаты + сумма + банковский пакет</x:v>
      </x:c>
      <x:c r="H190" s="207" t="str">
        <x:v>Подтверждено агрегатно</x:v>
      </x:c>
      <x:c r="I190" s="207" t="str">
        <x:v>Частично</x:v>
      </x:c>
      <x:c r="J190" s="207" t="str">
        <x:v>Безналичная выплата совпадает с контрольным значением в пределах 1 рубля.</x:v>
      </x:c>
      <x:c r="K190" s="207" t="str">
        <x:v>Нет полного employee_id/registry_id/accrual period ledger</x:v>
      </x:c>
      <x:c r="L190" s="207" t="str">
        <x:v>employee_id + payroll_registry_id + bank_payment_id</x:v>
      </x:c>
      <x:c r="M190" s="207" t="str">
        <x:v>Payroll cash reconciliation</x:v>
      </x:c>
      <x:c r="N190" s="207" t="str">
        <x:v>HR + финансы</x:v>
      </x:c>
      <x:c r="O190" s="208" t="str">
        <x:v>Средний: агрегат сходится, employee-level неполон</x:v>
      </x:c>
    </x:row>
    <x:row r="191">
      <x:c r="A191" s="206" t="str">
        <x:v>FIN-PAY-09</x:v>
      </x:c>
      <x:c r="B191" s="207" t="str">
        <x:v>Финансы/закрытие</x:v>
      </x:c>
      <x:c r="C191" s="207" t="str">
        <x:v>ЗП за март 2026.xlsx</x:v>
      </x:c>
      <x:c r="D191" s="207" t="str">
        <x:v>ДДС 2026.xlsx</x:v>
      </x:c>
      <x:c r="E191" s="207" t="str">
        <x:v>ФОТ ↔ банковская выплата/ДДС</x:v>
      </x:c>
      <x:c r="F191" s="207" t="str">
        <x:v>2026-март</x:v>
      </x:c>
      <x:c r="G191" s="207" t="str">
        <x:v>Период выплаты + сумма + банковский пакет</x:v>
      </x:c>
      <x:c r="H191" s="207" t="str">
        <x:v>Подтверждено агрегатно</x:v>
      </x:c>
      <x:c r="I191" s="207" t="str">
        <x:v>Частично</x:v>
      </x:c>
      <x:c r="J191" s="207" t="str">
        <x:v>Безналичная выплата совпадает с контрольным значением в пределах 1 рубля.</x:v>
      </x:c>
      <x:c r="K191" s="207" t="str">
        <x:v>Нет полного employee_id/registry_id/accrual period ledger</x:v>
      </x:c>
      <x:c r="L191" s="207" t="str">
        <x:v>employee_id + payroll_registry_id + bank_payment_id</x:v>
      </x:c>
      <x:c r="M191" s="207" t="str">
        <x:v>Payroll cash reconciliation</x:v>
      </x:c>
      <x:c r="N191" s="207" t="str">
        <x:v>HR + финансы</x:v>
      </x:c>
      <x:c r="O191" s="208" t="str">
        <x:v>Средний: агрегат сходится, employee-level неполон</x:v>
      </x:c>
    </x:row>
    <x:row r="192">
      <x:c r="A192" s="206" t="str">
        <x:v>FIN-PAY-10</x:v>
      </x:c>
      <x:c r="B192" s="207" t="str">
        <x:v>Финансы/закрытие</x:v>
      </x:c>
      <x:c r="C192" s="207" t="str">
        <x:v>ЗП за апрель 2026.xlsx</x:v>
      </x:c>
      <x:c r="D192" s="207" t="str">
        <x:v>ДДС 2026.xlsx</x:v>
      </x:c>
      <x:c r="E192" s="207" t="str">
        <x:v>ФОТ ↔ банковская выплата/ДДС</x:v>
      </x:c>
      <x:c r="F192" s="207" t="str">
        <x:v>2026-апрель</x:v>
      </x:c>
      <x:c r="G192" s="207" t="str">
        <x:v>Период выплаты + сумма + банковский пакет</x:v>
      </x:c>
      <x:c r="H192" s="207" t="str">
        <x:v>Подтверждено агрегатно</x:v>
      </x:c>
      <x:c r="I192" s="207" t="str">
        <x:v>Частично</x:v>
      </x:c>
      <x:c r="J192" s="207" t="str">
        <x:v>Безналичная выплата совпадает с контрольным значением в пределах 1 рубля.</x:v>
      </x:c>
      <x:c r="K192" s="207" t="str">
        <x:v>Нет полного employee_id/registry_id/accrual period ledger</x:v>
      </x:c>
      <x:c r="L192" s="207" t="str">
        <x:v>employee_id + payroll_registry_id + bank_payment_id</x:v>
      </x:c>
      <x:c r="M192" s="207" t="str">
        <x:v>Payroll cash reconciliation</x:v>
      </x:c>
      <x:c r="N192" s="207" t="str">
        <x:v>HR + финансы</x:v>
      </x:c>
      <x:c r="O192" s="208" t="str">
        <x:v>Средний: агрегат сходится, employee-level неполон</x:v>
      </x:c>
    </x:row>
    <x:row r="193">
      <x:c r="A193" s="206" t="str">
        <x:v>FIN-PAY-11</x:v>
      </x:c>
      <x:c r="B193" s="207" t="str">
        <x:v>Финансы/закрытие</x:v>
      </x:c>
      <x:c r="C193" s="207" t="str">
        <x:v>ЗП за май 2026.xlsx</x:v>
      </x:c>
      <x:c r="D193" s="207" t="str">
        <x:v>ДДС 2026.xlsx</x:v>
      </x:c>
      <x:c r="E193" s="207" t="str">
        <x:v>ФОТ ↔ банковская выплата/ДДС</x:v>
      </x:c>
      <x:c r="F193" s="207" t="str">
        <x:v>2026-май</x:v>
      </x:c>
      <x:c r="G193" s="207" t="str">
        <x:v>Период выплаты + сумма + банковский пакет</x:v>
      </x:c>
      <x:c r="H193" s="207" t="str">
        <x:v>Подтверждено агрегатно</x:v>
      </x:c>
      <x:c r="I193" s="207" t="str">
        <x:v>Частично</x:v>
      </x:c>
      <x:c r="J193" s="207" t="str">
        <x:v>Безналичная выплата совпадает с контрольным значением в пределах 1 рубля.</x:v>
      </x:c>
      <x:c r="K193" s="207" t="str">
        <x:v>Нет полного employee_id/registry_id/accrual period ledger</x:v>
      </x:c>
      <x:c r="L193" s="207" t="str">
        <x:v>employee_id + payroll_registry_id + bank_payment_id</x:v>
      </x:c>
      <x:c r="M193" s="207" t="str">
        <x:v>Payroll cash reconciliation</x:v>
      </x:c>
      <x:c r="N193" s="207" t="str">
        <x:v>HR + финансы</x:v>
      </x:c>
      <x:c r="O193" s="208" t="str">
        <x:v>Средний: агрегат сходится, employee-level неполон</x:v>
      </x:c>
    </x:row>
    <x:row r="194">
      <x:c r="A194" s="206" t="str">
        <x:v>FIN-TSUM-2024</x:v>
      </x:c>
      <x:c r="B194" s="207" t="str">
        <x:v>Финансы/закрытие</x:v>
      </x:c>
      <x:c r="C194" s="207" t="str">
        <x:v>Продажи ЦУМ 2024.xlsx</x:v>
      </x:c>
      <x:c r="D194" s="207" t="str">
        <x:v>Банковские выписки / Расходы</x:v>
      </x:c>
      <x:c r="E194" s="207" t="str">
        <x:v>Реализация ЦУМ ↔ поступление</x:v>
      </x:c>
      <x:c r="F194" s="207" t="str">
        <x:v>2024</x:v>
      </x:c>
      <x:c r="G194" s="207" t="str">
        <x:v>Месяц + контрагент + сумма</x:v>
      </x:c>
      <x:c r="H194" s="207" t="str">
        <x:v>Агрегатно подтверждено</x:v>
      </x:c>
      <x:c r="I194" s="207" t="str">
        <x:v>Частично</x:v>
      </x:c>
      <x:c r="J194" s="207" t="str">
        <x:v>27 из 29 месяцев совпали в пределах 1 рубля; две малые разницы.</x:v>
      </x:c>
      <x:c r="K194" s="207" t="str">
        <x:v>Нет sales_line_id/settlement_id/commission detail</x:v>
      </x:c>
      <x:c r="L194" s="207" t="str">
        <x:v>sales_line_id → settlement_id → bank_payment_id</x:v>
      </x:c>
      <x:c r="M194" s="207" t="str">
        <x:v>Sales-to-cash</x:v>
      </x:c>
      <x:c r="N194" s="207" t="str">
        <x:v>Коммерция + финансы</x:v>
      </x:c>
      <x:c r="O194" s="208" t="str">
        <x:v>Высокий на SKU/заказе</x:v>
      </x:c>
    </x:row>
    <x:row r="195">
      <x:c r="A195" s="206" t="str">
        <x:v>FIN-TSUM-2025</x:v>
      </x:c>
      <x:c r="B195" s="207" t="str">
        <x:v>Финансы/закрытие</x:v>
      </x:c>
      <x:c r="C195" s="207" t="str">
        <x:v>Продажи ЦУМ 2025.xlsx</x:v>
      </x:c>
      <x:c r="D195" s="207" t="str">
        <x:v>Банковские выписки / Расходы</x:v>
      </x:c>
      <x:c r="E195" s="207" t="str">
        <x:v>Реализация ЦУМ ↔ поступление</x:v>
      </x:c>
      <x:c r="F195" s="207" t="str">
        <x:v>2025</x:v>
      </x:c>
      <x:c r="G195" s="207" t="str">
        <x:v>Месяц + контрагент + сумма</x:v>
      </x:c>
      <x:c r="H195" s="207" t="str">
        <x:v>Агрегатно подтверждено</x:v>
      </x:c>
      <x:c r="I195" s="207" t="str">
        <x:v>Частично</x:v>
      </x:c>
      <x:c r="J195" s="207" t="str">
        <x:v>27 из 29 месяцев совпали в пределах 1 рубля; две малые разницы.</x:v>
      </x:c>
      <x:c r="K195" s="207" t="str">
        <x:v>Нет sales_line_id/settlement_id/commission detail</x:v>
      </x:c>
      <x:c r="L195" s="207" t="str">
        <x:v>sales_line_id → settlement_id → bank_payment_id</x:v>
      </x:c>
      <x:c r="M195" s="207" t="str">
        <x:v>Sales-to-cash</x:v>
      </x:c>
      <x:c r="N195" s="207" t="str">
        <x:v>Коммерция + финансы</x:v>
      </x:c>
      <x:c r="O195" s="208" t="str">
        <x:v>Высокий на SKU/заказе</x:v>
      </x:c>
    </x:row>
    <x:row r="196">
      <x:c r="A196" s="206" t="str">
        <x:v>FIN-TSUM-2026</x:v>
      </x:c>
      <x:c r="B196" s="207" t="str">
        <x:v>Финансы/закрытие</x:v>
      </x:c>
      <x:c r="C196" s="207" t="str">
        <x:v>Продажи ЦУМ 2026.xlsx</x:v>
      </x:c>
      <x:c r="D196" s="207" t="str">
        <x:v>Банковские выписки / Расходы</x:v>
      </x:c>
      <x:c r="E196" s="207" t="str">
        <x:v>Реализация ЦУМ ↔ поступление</x:v>
      </x:c>
      <x:c r="F196" s="207" t="str">
        <x:v>2026</x:v>
      </x:c>
      <x:c r="G196" s="207" t="str">
        <x:v>Месяц + контрагент + сумма</x:v>
      </x:c>
      <x:c r="H196" s="207" t="str">
        <x:v>Агрегатно подтверждено</x:v>
      </x:c>
      <x:c r="I196" s="207" t="str">
        <x:v>Частично</x:v>
      </x:c>
      <x:c r="J196" s="207" t="str">
        <x:v>27 из 29 месяцев совпали в пределах 1 рубля; две малые разницы.</x:v>
      </x:c>
      <x:c r="K196" s="207" t="str">
        <x:v>Нет sales_line_id/settlement_id/commission detail</x:v>
      </x:c>
      <x:c r="L196" s="207" t="str">
        <x:v>sales_line_id → settlement_id → bank_payment_id</x:v>
      </x:c>
      <x:c r="M196" s="207" t="str">
        <x:v>Sales-to-cash</x:v>
      </x:c>
      <x:c r="N196" s="207" t="str">
        <x:v>Коммерция + финансы</x:v>
      </x:c>
      <x:c r="O196" s="208" t="str">
        <x:v>Высокий на SKU/заказе</x:v>
      </x:c>
    </x:row>
    <x:row r="197">
      <x:c r="A197" s="206" t="str">
        <x:v>FIN-B2B-2025</x:v>
      </x:c>
      <x:c r="B197" s="207" t="str">
        <x:v>Финансы/закрытие</x:v>
      </x:c>
      <x:c r="C197" s="207" t="str">
        <x:v>Факт анализ продаж B2B 2025.xlsx</x:v>
      </x:c>
      <x:c r="D197" s="207" t="str">
        <x:v>Банковские выписки / Расходы</x:v>
      </x:c>
      <x:c r="E197" s="207" t="str">
        <x:v>B2B ↔ поступление</x:v>
      </x:c>
      <x:c r="F197" s="207" t="str">
        <x:v>2025</x:v>
      </x:c>
      <x:c r="G197" s="207" t="str">
        <x:v>Месяц + контрагент + сумма</x:v>
      </x:c>
      <x:c r="H197" s="207" t="str">
        <x:v>Подтверждено агрегатно</x:v>
      </x:c>
      <x:c r="I197" s="207" t="str">
        <x:v>Частично</x:v>
      </x:c>
      <x:c r="J197" s="207" t="str">
        <x:v>17 из 17 доступных месяцев сопоставлены с банком.</x:v>
      </x:c>
      <x:c r="K197" s="207" t="str">
        <x:v>Нет invoice/settlement/payment allocation</x:v>
      </x:c>
      <x:c r="L197" s="207" t="str">
        <x:v>invoice_id + settlement_id + bank_payment_id</x:v>
      </x:c>
      <x:c r="M197" s="207" t="str">
        <x:v>B2B cash collection</x:v>
      </x:c>
      <x:c r="N197" s="207" t="str">
        <x:v>Коммерция + финансы</x:v>
      </x:c>
      <x:c r="O197" s="208" t="str">
        <x:v>Средний/высокий</x:v>
      </x:c>
    </x:row>
    <x:row r="198">
      <x:c r="A198" s="206" t="str">
        <x:v>FIN-B2B-2026</x:v>
      </x:c>
      <x:c r="B198" s="207" t="str">
        <x:v>Финансы/закрытие</x:v>
      </x:c>
      <x:c r="C198" s="207" t="str">
        <x:v>Факт анализ продаж B2B 2026.xlsx</x:v>
      </x:c>
      <x:c r="D198" s="207" t="str">
        <x:v>Банковские выписки / Расходы</x:v>
      </x:c>
      <x:c r="E198" s="207" t="str">
        <x:v>B2B ↔ поступление</x:v>
      </x:c>
      <x:c r="F198" s="207" t="str">
        <x:v>2026</x:v>
      </x:c>
      <x:c r="G198" s="207" t="str">
        <x:v>Месяц + контрагент + сумма</x:v>
      </x:c>
      <x:c r="H198" s="207" t="str">
        <x:v>Подтверждено агрегатно</x:v>
      </x:c>
      <x:c r="I198" s="207" t="str">
        <x:v>Частично</x:v>
      </x:c>
      <x:c r="J198" s="207" t="str">
        <x:v>17 из 17 доступных месяцев сопоставлены с банком.</x:v>
      </x:c>
      <x:c r="K198" s="207" t="str">
        <x:v>Нет invoice/settlement/payment allocation</x:v>
      </x:c>
      <x:c r="L198" s="207" t="str">
        <x:v>invoice_id + settlement_id + bank_payment_id</x:v>
      </x:c>
      <x:c r="M198" s="207" t="str">
        <x:v>B2B cash collection</x:v>
      </x:c>
      <x:c r="N198" s="207" t="str">
        <x:v>Коммерция + финансы</x:v>
      </x:c>
      <x:c r="O198" s="208" t="str">
        <x:v>Средний/высокий</x:v>
      </x:c>
    </x:row>
    <x:row r="199">
      <x:c r="A199" s="206" t="str">
        <x:v>FIN-SALES-01</x:v>
      </x:c>
      <x:c r="B199" s="207" t="str">
        <x:v>Финансы/закрытие</x:v>
      </x:c>
      <x:c r="C199" s="207" t="str">
        <x:v>SALES 2024-2026.xlsx</x:v>
      </x:c>
      <x:c r="D199" s="207" t="str">
        <x:v>Расходы 2024–2026.xlsx / банк</x:v>
      </x:c>
      <x:c r="E199" s="207" t="str">
        <x:v>Каналы продаж ↔ cash receipts</x:v>
      </x:c>
      <x:c r="F199" s="207" t="str">
        <x:v>2024–2026</x:v>
      </x:c>
      <x:c r="G199" s="207" t="str">
        <x:v>Период + канал + пересчёт валюты</x:v>
      </x:c>
      <x:c r="H199" s="207" t="str">
        <x:v>Частично</x:v>
      </x:c>
      <x:c r="I199" s="207" t="str">
        <x:v>Частично</x:v>
      </x:c>
      <x:c r="J199" s="207" t="str">
        <x:v>Cash mix и каналы доступны, но Salon и Shop не разделены в источнике.</x:v>
      </x:c>
      <x:c r="K199" s="207" t="str">
        <x:v>Нет строки продажи, валюты признания, НДС/скидок/возвратов</x:v>
      </x:c>
      <x:c r="L199" s="207" t="str">
        <x:v>sales_line_id + channel_id + currency_id + payment_id</x:v>
      </x:c>
      <x:c r="M199" s="207" t="str">
        <x:v>Revenue/channel analysis</x:v>
      </x:c>
      <x:c r="N199" s="207" t="str">
        <x:v>Коммерция + финансы</x:v>
      </x:c>
      <x:c r="O199" s="208" t="str">
        <x:v>Высокий</x:v>
      </x:c>
    </x:row>
    <x:row r="200">
      <x:c r="A200" s="206" t="str">
        <x:v>FIN-BUD-01</x:v>
      </x:c>
      <x:c r="B200" s="207" t="str">
        <x:v>Финансы/закрытие</x:v>
      </x:c>
      <x:c r="C200" s="207" t="str">
        <x:v>Бюджет 2-е полугодие 2025(1).xlsx</x:v>
      </x:c>
      <x:c r="D200" s="207" t="str">
        <x:v>Расходы 2025.xlsx</x:v>
      </x:c>
      <x:c r="E200" s="207" t="str">
        <x:v>Бюджет ↔ факт</x:v>
      </x:c>
      <x:c r="F200" s="207" t="str">
        <x:v>H2 2025</x:v>
      </x:c>
      <x:c r="G200" s="207" t="str">
        <x:v>Статья + месяц</x:v>
      </x:c>
      <x:c r="H200" s="207" t="str">
        <x:v>Подтверждено с оговоркой</x:v>
      </x:c>
      <x:c r="I200" s="207" t="str">
        <x:v>Частично</x:v>
      </x:c>
      <x:c r="J200" s="207" t="str">
        <x:v>Факт 1 244 056 против плана 1 157 467,89; +7,5%.</x:v>
      </x:c>
      <x:c r="K200" s="207" t="str">
        <x:v>Нет plan_version_id и утверждённой классификации</x:v>
      </x:c>
      <x:c r="L200" s="207" t="str">
        <x:v>plan_version_id + account_id + period</x:v>
      </x:c>
      <x:c r="M200" s="207" t="str">
        <x:v>Plan-fact</x:v>
      </x:c>
      <x:c r="N200" s="207" t="str">
        <x:v>Финансы</x:v>
      </x:c>
      <x:c r="O200" s="208" t="str">
        <x:v>Средний</x:v>
      </x:c>
    </x:row>
    <x:row r="201">
      <x:c r="A201" s="206" t="str">
        <x:v>FIN-BUD-02</x:v>
      </x:c>
      <x:c r="B201" s="207" t="str">
        <x:v>Финансы/закрытие</x:v>
      </x:c>
      <x:c r="C201" s="207" t="str">
        <x:v>Бюджет 2026.xlsx</x:v>
      </x:c>
      <x:c r="D201" s="207" t="str">
        <x:v>Расходы 2026.xlsx / SALES</x:v>
      </x:c>
      <x:c r="E201" s="207" t="str">
        <x:v>Бюджет ↔ факт</x:v>
      </x:c>
      <x:c r="F201" s="207" t="str">
        <x:v>2026-01..05</x:v>
      </x:c>
      <x:c r="G201" s="207" t="str">
        <x:v>Статья + месяц</x:v>
      </x:c>
      <x:c r="H201" s="207" t="str">
        <x:v>Подтверждено с оговоркой</x:v>
      </x:c>
      <x:c r="I201" s="207" t="str">
        <x:v>Частично</x:v>
      </x:c>
      <x:c r="J201" s="207" t="str">
        <x:v>Поступления ниже плана на 22,3%; расходы ниже плана на 1,2%.</x:v>
      </x:c>
      <x:c r="K201" s="207" t="str">
        <x:v>Нет единого plan_version_id и связей с driver model</x:v>
      </x:c>
      <x:c r="L201" s="207" t="str">
        <x:v>plan_version_id + period + cost_center_id + channel_id</x:v>
      </x:c>
      <x:c r="M201" s="207" t="str">
        <x:v>Plan-fact and forecast</x:v>
      </x:c>
      <x:c r="N201" s="207" t="str">
        <x:v>Финансы</x:v>
      </x:c>
      <x:c r="O201" s="208" t="str">
        <x:v>Средний</x:v>
      </x:c>
    </x:row>
    <x:row r="202">
      <x:c r="A202" s="206" t="str">
        <x:v>FIN-SUP-01</x:v>
      </x:c>
      <x:c r="B202" s="207" t="str">
        <x:v>Финансы/закрытие</x:v>
      </x:c>
      <x:c r="C202" s="207" t="str">
        <x:v>Список контрагентов по закупке.xlsx</x:v>
      </x:c>
      <x:c r="D202" s="207" t="str">
        <x:v>Остатки ткани из 1С на 31.05.2026.xlsx</x:v>
      </x:c>
      <x:c r="E202" s="207" t="str">
        <x:v>Поставщик ↔ материалы</x:v>
      </x:c>
      <x:c r="F202" s="207" t="str">
        <x:v>На дату 31.05.2026</x:v>
      </x:c>
      <x:c r="G202" s="207" t="str">
        <x:v>Название/текст</x:v>
      </x:c>
      <x:c r="H202" s="207" t="str">
        <x:v>Частично</x:v>
      </x:c>
      <x:c r="I202" s="207" t="str">
        <x:v>Частично</x:v>
      </x:c>
      <x:c r="J202" s="207" t="str">
        <x:v>63 строки поставщиков; контакты и реквизиты неполны.</x:v>
      </x:c>
      <x:c r="K202" s="207" t="str">
        <x:v>Нет supplier_id/PO/GRN/lot</x:v>
      </x:c>
      <x:c r="L202" s="207" t="str">
        <x:v>supplier_id → purchase_order_id → material_lot_id</x:v>
      </x:c>
      <x:c r="M202" s="207" t="str">
        <x:v>Supplier/material analysis</x:v>
      </x:c>
      <x:c r="N202" s="207" t="str">
        <x:v>Закупки</x:v>
      </x:c>
      <x:c r="O202" s="208" t="str">
        <x:v>Высокий</x:v>
      </x:c>
    </x:row>
    <x:row r="203">
      <x:c r="A203" s="209" t="str">
        <x:v>FIN-MAT-01</x:v>
      </x:c>
      <x:c r="B203" s="210" t="str">
        <x:v>Финансы/закрытие</x:v>
      </x:c>
      <x:c r="C203" s="210" t="str">
        <x:v>Остатки ткани из 1С на 31.05.2026.xlsx</x:v>
      </x:c>
      <x:c r="D203" s="210" t="str">
        <x:v>Себестоимость/коллекционные файлы</x:v>
      </x:c>
      <x:c r="E203" s="210" t="str">
        <x:v>Материал ↔ калькуляция/коллекция</x:v>
      </x:c>
      <x:c r="F203" s="210" t="str">
        <x:v>31.05.2026</x:v>
      </x:c>
      <x:c r="G203" s="210" t="str">
        <x:v>Код из текста/наименование</x:v>
      </x:c>
      <x:c r="H203" s="210" t="str">
        <x:v>Частично</x:v>
      </x:c>
      <x:c r="I203" s="210" t="str">
        <x:v>Частично</x:v>
      </x:c>
      <x:c r="J203" s="210" t="str">
        <x:v>410 из 1 338 строк имеют прямую ссылку в проверенных источниках.</x:v>
      </x:c>
      <x:c r="K203" s="210" t="str">
        <x:v>Нет material_id/lot/BOM/movement</x:v>
      </x:c>
      <x:c r="L203" s="210" t="str">
        <x:v>material_id + lot_id + bom_line_id + production_order_id</x:v>
      </x:c>
      <x:c r="M203" s="210" t="str">
        <x:v>Material usage and valuation</x:v>
      </x:c>
      <x:c r="N203" s="210" t="str">
        <x:v>Закупки + склад</x:v>
      </x:c>
      <x:c r="O203" s="211" t="str">
        <x:v>Высокий</x:v>
      </x:c>
    </x:row>
  </x:sheetData>
  <x:mergeCells>
    <x:mergeCell ref="A1:O1"/>
    <x:mergeCell ref="A2:O2"/>
  </x:mergeCells>
  <x:conditionalFormatting sqref="H5:H203">
    <x:cfRule type="expression" dxfId="8" priority="1">
      <x:formula>ISNUMBER(SEARCH("Подтверж",H5))</x:formula>
    </x:cfRule>
    <x:cfRule type="expression" dxfId="9" priority="2">
      <x:formula>OR(ISNUMBER(SEARCH("Част",H5)),ISNUMBER(SEARCH("оговор",H5)),ISNUMBER(SEARCH("агрегат",H5)))</x:formula>
    </x:cfRule>
    <x:cfRule type="expression" dxfId="10" priority="3">
      <x:formula>OR(ISNUMBER(SEARCH("Отсутств",H5)),ISNUMBER(SEARCH("Невозмож",H5)),ISNUMBER(SEARCH("Заблок",H5)))</x:formula>
    </x:cfRule>
  </x:conditionalFormatting>
  <x:conditionalFormatting sqref="I5:I203">
    <x:cfRule type="expression" dxfId="11" priority="4">
      <x:formula>ISNUMBER(SEARCH("Подтверж",I5))</x:formula>
    </x:cfRule>
    <x:cfRule type="expression" dxfId="12" priority="5">
      <x:formula>OR(ISNUMBER(SEARCH("Част",I5)),ISNUMBER(SEARCH("оговор",I5)),ISNUMBER(SEARCH("агрегат",I5)))</x:formula>
    </x:cfRule>
    <x:cfRule type="expression" dxfId="13" priority="6">
      <x:formula>OR(ISNUMBER(SEARCH("Отсутств",I5)),ISNUMBER(SEARCH("Невозмож",I5)),ISNUMBER(SEARCH("Заблок",I5)))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4" hidden="0" customWidth="1"/>
    <x:col min="4" max="4" width="24" hidden="0" customWidth="1"/>
    <x:col min="5" max="5" width="28" hidden="0" customWidth="1"/>
    <x:col min="6" max="6" width="12" hidden="0" customWidth="1"/>
    <x:col min="7" max="7" width="12" hidden="0" customWidth="1"/>
    <x:col min="8" max="8" width="12" hidden="0" customWidth="1"/>
    <x:col min="9" max="9" width="24" hidden="0" customWidth="1"/>
    <x:col min="10" max="10" width="36" hidden="0" customWidth="1"/>
    <x:col min="11" max="11" width="38" hidden="0" customWidth="1"/>
    <x:col min="12" max="12" width="24" hidden="0" customWidth="1"/>
  </x:cols>
  <x:sheetData>
    <x:row r="1" ht="28" customHeight="1">
      <x:c r="A1" s="5" t="str">
        <x:v>ПОКРЫТИЕ КЛЮЧЕВЫХ СВЯЗЕЙ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2" customHeight="1">
      <x:c r="A2" s="14" t="str">
        <x:v>Числовое покрытие текущих joins. Высокое агрегатное покрытие не означает row-level доказательство.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4" ht="28" customHeight="1">
      <x:c r="A4" s="169" t="str">
        <x:v>domain</x:v>
      </x:c>
      <x:c r="B4" s="170" t="str">
        <x:v>link_id</x:v>
      </x:c>
      <x:c r="C4" s="170" t="str">
        <x:v>from_register</x:v>
      </x:c>
      <x:c r="D4" s="170" t="str">
        <x:v>to_register</x:v>
      </x:c>
      <x:c r="E4" s="170" t="str">
        <x:v>current_key</x:v>
      </x:c>
      <x:c r="F4" s="170" t="str">
        <x:v>records_from</x:v>
      </x:c>
      <x:c r="G4" s="170" t="str">
        <x:v>records_linked</x:v>
      </x:c>
      <x:c r="H4" s="170" t="str">
        <x:v>coverage_pct</x:v>
      </x:c>
      <x:c r="I4" s="170" t="str">
        <x:v>status</x:v>
      </x:c>
      <x:c r="J4" s="170" t="str">
        <x:v>target_key</x:v>
      </x:c>
      <x:c r="K4" s="170" t="str">
        <x:v>missing</x:v>
      </x:c>
      <x:c r="L4" s="171" t="str">
        <x:v>false_join_risk</x:v>
      </x:c>
    </x:row>
    <x:row r="5">
      <x:c r="A5" s="203" t="str">
        <x:v>Продукт/операции</x:v>
      </x:c>
      <x:c r="B5" s="204" t="str">
        <x:v>JC-01</x:v>
      </x:c>
      <x:c r="C5" s="204" t="str">
        <x:v>Продажи ЦУМ</x:v>
      </x:c>
      <x:c r="D5" s="204" t="str">
        <x:v>SKU master</x:v>
      </x:c>
      <x:c r="E5" s="204" t="str">
        <x:v>Нормализованный артикул</x:v>
      </x:c>
      <x:c r="F5" s="204" t="n">
        <x:v>234</x:v>
      </x:c>
      <x:c r="G5" s="204" t="n">
        <x:v>234</x:v>
      </x:c>
      <x:c r="H5" s="239" t="n">
        <x:v>1</x:v>
      </x:c>
      <x:c r="I5" s="204" t="str">
        <x:v>Подтверждено в текущем периметре</x:v>
      </x:c>
      <x:c r="J5" s="204" t="str">
        <x:v>sales_line.canonical_sku</x:v>
      </x:c>
      <x:c r="K5" s="204" t="str">
        <x:v>Официальный alias validity + sales_line_id</x:v>
      </x:c>
      <x:c r="L5" s="205" t="str">
        <x:v>Средний</x:v>
      </x:c>
    </x:row>
    <x:row r="6">
      <x:c r="A6" s="206" t="str">
        <x:v>Продукт/операции</x:v>
      </x:c>
      <x:c r="B6" s="207" t="str">
        <x:v>JC-02</x:v>
      </x:c>
      <x:c r="C6" s="207" t="str">
        <x:v>SKU master</x:v>
      </x:c>
      <x:c r="D6" s="207" t="str">
        <x:v>Коллекции</x:v>
      </x:c>
      <x:c r="E6" s="207" t="str">
        <x:v>Точный код/тело модели</x:v>
      </x:c>
      <x:c r="F6" s="207" t="n">
        <x:v>234</x:v>
      </x:c>
      <x:c r="G6" s="207" t="n">
        <x:v>6</x:v>
      </x:c>
      <x:c r="H6" s="240" t="n">
        <x:v>0.02564102564102564</x:v>
      </x:c>
      <x:c r="I6" s="207" t="str">
        <x:v>Низкое точное покрытие</x:v>
      </x:c>
      <x:c r="J6" s="207" t="str">
        <x:v>canonical_sku → model_id → collection_id</x:v>
      </x:c>
      <x:c r="K6" s="207" t="str">
        <x:v>model alias history/version_id</x:v>
      </x:c>
      <x:c r="L6" s="208" t="str">
        <x:v>Высокий</x:v>
      </x:c>
    </x:row>
    <x:row r="7">
      <x:c r="A7" s="206" t="str">
        <x:v>Продукт/операции</x:v>
      </x:c>
      <x:c r="B7" s="207" t="str">
        <x:v>JC-03</x:v>
      </x:c>
      <x:c r="C7" s="207" t="str">
        <x:v>SKU master</x:v>
      </x:c>
      <x:c r="D7" s="207" t="str">
        <x:v>Cost version</x:v>
      </x:c>
      <x:c r="E7" s="207" t="str">
        <x:v>Точный артикул</x:v>
      </x:c>
      <x:c r="F7" s="207" t="n">
        <x:v>234</x:v>
      </x:c>
      <x:c r="G7" s="207" t="n">
        <x:v>82</x:v>
      </x:c>
      <x:c r="H7" s="240" t="n">
        <x:v>0.3504273504273504</x:v>
      </x:c>
      <x:c r="I7" s="207" t="str">
        <x:v>Частично</x:v>
      </x:c>
      <x:c r="J7" s="207" t="str">
        <x:v>canonical_sku + effective date → cost_version_id</x:v>
      </x:c>
      <x:c r="K7" s="207" t="str">
        <x:v>approval/effective date/production order</x:v>
      </x:c>
      <x:c r="L7" s="208" t="str">
        <x:v>Высокий</x:v>
      </x:c>
    </x:row>
    <x:row r="8">
      <x:c r="A8" s="206" t="str">
        <x:v>Продукт/операции</x:v>
      </x:c>
      <x:c r="B8" s="207" t="str">
        <x:v>JC-04</x:v>
      </x:c>
      <x:c r="C8" s="207" t="str">
        <x:v>Production orders draft</x:v>
      </x:c>
      <x:c r="D8" s="207" t="str">
        <x:v>SKU master</x:v>
      </x:c>
      <x:c r="E8" s="207" t="str">
        <x:v>Код в колонке модели/описании</x:v>
      </x:c>
      <x:c r="F8" s="207" t="n">
        <x:v>163</x:v>
      </x:c>
      <x:c r="G8" s="207" t="n">
        <x:v>0</x:v>
      </x:c>
      <x:c r="H8" s="240" t="n">
        <x:v>0</x:v>
      </x:c>
      <x:c r="I8" s="207" t="str">
        <x:v>Черновая связь</x:v>
      </x:c>
      <x:c r="J8" s="207" t="str">
        <x:v>production_order.canonical_sku</x:v>
      </x:c>
      <x:c r="K8" s="207" t="str">
        <x:v>owner-approved mapping; qty/status</x:v>
      </x:c>
      <x:c r="L8" s="208" t="str">
        <x:v>Высокий</x:v>
      </x:c>
    </x:row>
    <x:row r="9">
      <x:c r="A9" s="206" t="str">
        <x:v>Продукт/операции</x:v>
      </x:c>
      <x:c r="B9" s="207" t="str">
        <x:v>JC-05</x:v>
      </x:c>
      <x:c r="C9" s="207" t="str">
        <x:v>Operations draft</x:v>
      </x:c>
      <x:c r="D9" s="207" t="str">
        <x:v>Production orders draft</x:v>
      </x:c>
      <x:c r="E9" s="207" t="str">
        <x:v>Совпадение model code</x:v>
      </x:c>
      <x:c r="F9" s="207" t="n">
        <x:v>475</x:v>
      </x:c>
      <x:c r="G9" s="207" t="n">
        <x:v>70</x:v>
      </x:c>
      <x:c r="H9" s="240" t="n">
        <x:v>0.14736842105263157</x:v>
      </x:c>
      <x:c r="I9" s="207" t="str">
        <x:v>Только кандидаты</x:v>
      </x:c>
      <x:c r="J9" s="207" t="str">
        <x:v>operation.production_order_id</x:v>
      </x:c>
      <x:c r="K9" s="207" t="str">
        <x:v>Официальное назначение операции заказу</x:v>
      </x:c>
      <x:c r="L9" s="208" t="str">
        <x:v>Критический</x:v>
      </x:c>
    </x:row>
    <x:row r="10">
      <x:c r="A10" s="206" t="str">
        <x:v>Продукт/операции</x:v>
      </x:c>
      <x:c r="B10" s="207" t="str">
        <x:v>JC-06</x:v>
      </x:c>
      <x:c r="C10" s="207" t="str">
        <x:v>Material balance</x:v>
      </x:c>
      <x:c r="D10" s="207" t="str">
        <x:v>Cost/collection references</x:v>
      </x:c>
      <x:c r="E10" s="207" t="str">
        <x:v>Код, извлечённый из наименования</x:v>
      </x:c>
      <x:c r="F10" s="207" t="n">
        <x:v>1338</x:v>
      </x:c>
      <x:c r="G10" s="207" t="n">
        <x:v>410</x:v>
      </x:c>
      <x:c r="H10" s="240" t="n">
        <x:v>0.3064275037369208</x:v>
      </x:c>
      <x:c r="I10" s="207" t="str">
        <x:v>Частично</x:v>
      </x:c>
      <x:c r="J10" s="207" t="str">
        <x:v>material_id → BOM line → material issue</x:v>
      </x:c>
      <x:c r="K10" s="207" t="str">
        <x:v>lot/movement/BOM/production order</x:v>
      </x:c>
      <x:c r="L10" s="208" t="str">
        <x:v>Высокий</x:v>
      </x:c>
    </x:row>
    <x:row r="11">
      <x:c r="A11" s="206" t="str">
        <x:v>Продукт/операции</x:v>
      </x:c>
      <x:c r="B11" s="207" t="str">
        <x:v>JC-07</x:v>
      </x:c>
      <x:c r="C11" s="207" t="str">
        <x:v>Production order</x:v>
      </x:c>
      <x:c r="D11" s="207" t="str">
        <x:v>FG movement</x:v>
      </x:c>
      <x:c r="E11" s="207" t="str">
        <x:v>Отсутствует</x:v>
      </x:c>
      <x:c r="F11" s="207" t="n">
        <x:v>163</x:v>
      </x:c>
      <x:c r="G11" s="207" t="n">
        <x:v>0</x:v>
      </x:c>
      <x:c r="H11" s="240" t="n">
        <x:v>0</x:v>
      </x:c>
      <x:c r="I11" s="207" t="str">
        <x:v>Отсутствует</x:v>
      </x:c>
      <x:c r="J11" s="207" t="str">
        <x:v>production_order_id → inventory_movement_id</x:v>
      </x:c>
      <x:c r="K11" s="207" t="str">
        <x:v>FG receipt/movement register</x:v>
      </x:c>
      <x:c r="L11" s="208" t="str">
        <x:v>Критический</x:v>
      </x:c>
    </x:row>
    <x:row r="12">
      <x:c r="A12" s="206" t="str">
        <x:v>Продукт/операции</x:v>
      </x:c>
      <x:c r="B12" s="207" t="str">
        <x:v>JC-08</x:v>
      </x:c>
      <x:c r="C12" s="207" t="str">
        <x:v>Sales line</x:v>
      </x:c>
      <x:c r="D12" s="207" t="str">
        <x:v>Settlement/bank</x:v>
      </x:c>
      <x:c r="E12" s="207" t="str">
        <x:v>Месяц + контрагент + сумма</x:v>
      </x:c>
      <x:c r="F12" s="207" t="n">
        <x:v>29</x:v>
      </x:c>
      <x:c r="G12" s="207" t="n">
        <x:v>27</x:v>
      </x:c>
      <x:c r="H12" s="240" t="n">
        <x:v>0.9310344827586207</x:v>
      </x:c>
      <x:c r="I12" s="207" t="str">
        <x:v>Агрегатно подтверждено</x:v>
      </x:c>
      <x:c r="J12" s="207" t="str">
        <x:v>sales_line_id → settlement_id → bank_payment_id</x:v>
      </x:c>
      <x:c r="K12" s="207" t="str">
        <x:v>Строковый settlement register</x:v>
      </x:c>
      <x:c r="L12" s="208" t="str">
        <x:v>Высокий на уровне SKU/заказа</x:v>
      </x:c>
    </x:row>
    <x:row r="13">
      <x:c r="A13" s="206" t="str">
        <x:v>Финансы</x:v>
      </x:c>
      <x:c r="B13" s="207" t="str">
        <x:v>FC-01</x:v>
      </x:c>
      <x:c r="C13" s="207" t="str">
        <x:v>Bank statements</x:v>
      </x:c>
      <x:c r="D13" s="207" t="str">
        <x:v>Monthly bank balances</x:v>
      </x:c>
      <x:c r="E13" s="207" t="str">
        <x:v>account + month</x:v>
      </x:c>
      <x:c r="F13" s="207" t="n">
        <x:v>116</x:v>
      </x:c>
      <x:c r="G13" s="207" t="n">
        <x:v>113</x:v>
      </x:c>
      <x:c r="H13" s="240" t="n">
        <x:v>0.9741379310344828</x:v>
      </x:c>
      <x:c r="I13" s="207" t="str">
        <x:v>Подтверждено с 3 исключениями</x:v>
      </x:c>
      <x:c r="J13" s="207" t="str">
        <x:v>bank_account_id + close_period_id</x:v>
      </x:c>
      <x:c r="K13" s="207" t="str">
        <x:v>Полный account perimeter</x:v>
      </x:c>
      <x:c r="L13" s="208" t="str">
        <x:v>Низкий на покрытых счетах</x:v>
      </x:c>
    </x:row>
    <x:row r="14">
      <x:c r="A14" s="206" t="str">
        <x:v>Финансы</x:v>
      </x:c>
      <x:c r="B14" s="207" t="str">
        <x:v>FC-02</x:v>
      </x:c>
      <x:c r="C14" s="207" t="str">
        <x:v>Monthly cash balances</x:v>
      </x:c>
      <x:c r="D14" s="207" t="str">
        <x:v>Next month opening</x:v>
      </x:c>
      <x:c r="E14" s="207" t="str">
        <x:v>month transition</x:v>
      </x:c>
      <x:c r="F14" s="207" t="n">
        <x:v>29</x:v>
      </x:c>
      <x:c r="G14" s="207" t="n">
        <x:v>17</x:v>
      </x:c>
      <x:c r="H14" s="240" t="n">
        <x:v>0.5862068965517241</x:v>
      </x:c>
      <x:c r="I14" s="207" t="str">
        <x:v>Частично</x:v>
      </x:c>
      <x:c r="J14" s="207" t="str">
        <x:v>account_id + close_period_id + signed balance</x:v>
      </x:c>
      <x:c r="K14" s="207" t="str">
        <x:v>Cash/card/accountable ledger + adjustment journal</x:v>
      </x:c>
      <x:c r="L14" s="208" t="str">
        <x:v>Высокий</x:v>
      </x:c>
    </x:row>
    <x:row r="15">
      <x:c r="A15" s="206" t="str">
        <x:v>Финансы</x:v>
      </x:c>
      <x:c r="B15" s="207" t="str">
        <x:v>FC-03</x:v>
      </x:c>
      <x:c r="C15" s="207" t="str">
        <x:v>TSUM/B2B sales</x:v>
      </x:c>
      <x:c r="D15" s="207" t="str">
        <x:v>Bank receipts</x:v>
      </x:c>
      <x:c r="E15" s="207" t="str">
        <x:v>month + counterparty + amount</x:v>
      </x:c>
      <x:c r="F15" s="207" t="n">
        <x:v>46</x:v>
      </x:c>
      <x:c r="G15" s="207" t="n">
        <x:v>44</x:v>
      </x:c>
      <x:c r="H15" s="240" t="n">
        <x:v>0.9565217391304348</x:v>
      </x:c>
      <x:c r="I15" s="207" t="str">
        <x:v>Агрегатно подтверждено</x:v>
      </x:c>
      <x:c r="J15" s="207" t="str">
        <x:v>sales_line_id → settlement_id → payment_id</x:v>
      </x:c>
      <x:c r="K15" s="207" t="str">
        <x:v>Line-level settlement</x:v>
      </x:c>
      <x:c r="L15" s="208" t="str">
        <x:v>Высокий на SKU/order</x:v>
      </x:c>
    </x:row>
    <x:row r="16">
      <x:c r="A16" s="209" t="str">
        <x:v>ФОТ</x:v>
      </x:c>
      <x:c r="B16" s="210" t="str">
        <x:v>FC-04</x:v>
      </x:c>
      <x:c r="C16" s="210" t="str">
        <x:v>Payroll files</x:v>
      </x:c>
      <x:c r="D16" s="210" t="str">
        <x:v>DDS/bank</x:v>
      </x:c>
      <x:c r="E16" s="210" t="str">
        <x:v>payment month + amount</x:v>
      </x:c>
      <x:c r="F16" s="210" t="n">
        <x:v>11</x:v>
      </x:c>
      <x:c r="G16" s="210" t="n">
        <x:v>11</x:v>
      </x:c>
      <x:c r="H16" s="241" t="n">
        <x:v>1</x:v>
      </x:c>
      <x:c r="I16" s="210" t="str">
        <x:v>Подтверждено агрегатно</x:v>
      </x:c>
      <x:c r="J16" s="210" t="str">
        <x:v>employee_id + registry_id + payment_id</x:v>
      </x:c>
      <x:c r="K16" s="210" t="str">
        <x:v>Full payroll ledger</x:v>
      </x:c>
      <x:c r="L16" s="211" t="str">
        <x:v>Средний</x:v>
      </x:c>
    </x:row>
  </x:sheetData>
  <x:mergeCells>
    <x:mergeCell ref="A1:L1"/>
    <x:mergeCell ref="A2:L2"/>
  </x:mergeCells>
  <x:conditionalFormatting sqref="I5:I16">
    <x:cfRule type="expression" dxfId="14" priority="1">
      <x:formula>ISNUMBER(SEARCH("Подтверж",I5))</x:formula>
    </x:cfRule>
    <x:cfRule type="expression" dxfId="15" priority="2">
      <x:formula>OR(ISNUMBER(SEARCH("Част",I5)),ISNUMBER(SEARCH("оговор",I5)),ISNUMBER(SEARCH("агрегат",I5)))</x:formula>
    </x:cfRule>
    <x:cfRule type="expression" dxfId="16" priority="3">
      <x:formula>OR(ISNUMBER(SEARCH("Отсутств",I5)),ISNUMBER(SEARCH("Невозмож",I5)),ISNUMBER(SEARCH("Заблок",I5)))</x:formula>
    </x:cfRule>
  </x:conditionalFormatting>
  <x:conditionalFormatting sqref="H5:H16">
    <x:cfRule type="dataBar" priority="4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{ED7C95B6-E77E-6373-340B-C0E565F76009}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ED7C95B6-E77E-6373-340B-C0E565F76009}">
            <x14:dataBar gradient="1">
              <x14:cfvo type="min"/>
              <x14:cfvo type="max"/>
              <x14:fillColor rgb="FF5B9BD5"/>
            </x14:dataBar>
          </x14:cfRule>
          <xm:sqref>H5:H16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38" hidden="0" customWidth="1"/>
    <x:col min="5" max="5" width="28" hidden="0" customWidth="1"/>
    <x:col min="6" max="6" width="42" hidden="0" customWidth="1"/>
  </x:cols>
  <x:sheetData>
    <x:row r="1" ht="28" customHeight="1">
      <x:c r="A1" s="5" t="str">
        <x:v>СКВОЗНАЯ ЦЕПОЧКА BUSINESS EVENT → FINANCIAL RESULT</x:v>
      </x:c>
      <x:c r="B1" s="5"/>
      <x:c r="C1" s="5"/>
      <x:c r="D1" s="5"/>
      <x:c r="E1" s="5"/>
      <x:c r="F1" s="5"/>
    </x:row>
    <x:row r="2" ht="22" customHeight="1">
      <x:c r="A2" s="14" t="str">
        <x:v>По каждому шагу показано текущее доказательство, обязательный ID и разрыв, который не позволяет связать следующий шаг.</x:v>
      </x:c>
      <x:c r="B2" s="14"/>
      <x:c r="C2" s="14"/>
      <x:c r="D2" s="14"/>
      <x:c r="E2" s="14"/>
      <x:c r="F2" s="14"/>
    </x:row>
    <x:row r="4" ht="28" customHeight="1">
      <x:c r="A4" s="169" t="str">
        <x:v>step</x:v>
      </x:c>
      <x:c r="B4" s="170" t="str">
        <x:v>business_object</x:v>
      </x:c>
      <x:c r="C4" s="170" t="str">
        <x:v>current_status</x:v>
      </x:c>
      <x:c r="D4" s="170" t="str">
        <x:v>current_evidence</x:v>
      </x:c>
      <x:c r="E4" s="170" t="str">
        <x:v>target_key</x:v>
      </x:c>
      <x:c r="F4" s="171" t="str">
        <x:v>main_gap</x:v>
      </x:c>
    </x:row>
    <x:row r="5">
      <x:c r="A5" s="203" t="str">
        <x:v>01</x:v>
      </x:c>
      <x:c r="B5" s="204" t="str">
        <x:v>Спрос/заказ клиента</x:v>
      </x:c>
      <x:c r="C5" s="204" t="str">
        <x:v>Частично</x:v>
      </x:c>
      <x:c r="D5" s="204" t="str">
        <x:v>SALES/B2B/ЦУМ; нет order register</x:v>
      </x:c>
      <x:c r="E5" s="204" t="str">
        <x:v>order_id/customer_id</x:v>
      </x:c>
      <x:c r="F5" s="205" t="str">
        <x:v>Продажа может не быть связана с производством</x:v>
      </x:c>
    </x:row>
    <x:row r="6">
      <x:c r="A6" s="206" t="str">
        <x:v>02</x:v>
      </x:c>
      <x:c r="B6" s="207" t="str">
        <x:v>Коллекция</x:v>
      </x:c>
      <x:c r="C6" s="207" t="str">
        <x:v>Частично</x:v>
      </x:c>
      <x:c r="D6" s="207" t="str">
        <x:v>12 коллекционных файлов</x:v>
      </x:c>
      <x:c r="E6" s="207" t="str">
        <x:v>collection_id</x:v>
      </x:c>
      <x:c r="F6" s="208" t="str">
        <x:v>Нет source of truth/version</x:v>
      </x:c>
    </x:row>
    <x:row r="7">
      <x:c r="A7" s="206" t="str">
        <x:v>03</x:v>
      </x:c>
      <x:c r="B7" s="207" t="str">
        <x:v>Модель/версия</x:v>
      </x:c>
      <x:c r="C7" s="207" t="str">
        <x:v>Частично</x:v>
      </x:c>
      <x:c r="D7" s="207" t="str">
        <x:v>Коды в нескольких файлах</x:v>
      </x:c>
      <x:c r="E7" s="207" t="str">
        <x:v>model_id/version_id</x:v>
      </x:c>
      <x:c r="F7" s="208" t="str">
        <x:v>Разные коды и aliases</x:v>
      </x:c>
    </x:row>
    <x:row r="8">
      <x:c r="A8" s="206" t="str">
        <x:v>04</x:v>
      </x:c>
      <x:c r="B8" s="207" t="str">
        <x:v>SKU</x:v>
      </x:c>
      <x:c r="C8" s="207" t="str">
        <x:v>Частично</x:v>
      </x:c>
      <x:c r="D8" s="207" t="str">
        <x:v>234 preliminary SKU</x:v>
      </x:c>
      <x:c r="E8" s="207" t="str">
        <x:v>canonical_sku</x:v>
      </x:c>
      <x:c r="F8" s="208" t="str">
        <x:v>124 decisions pending</x:v>
      </x:c>
    </x:row>
    <x:row r="9">
      <x:c r="A9" s="206" t="str">
        <x:v>05</x:v>
      </x:c>
      <x:c r="B9" s="207" t="str">
        <x:v>BOM</x:v>
      </x:c>
      <x:c r="C9" s="207" t="str">
        <x:v>Нет</x:v>
      </x:c>
      <x:c r="D9" s="207" t="str">
        <x:v>Разрозненные калькуляции</x:v>
      </x:c>
      <x:c r="E9" s="207" t="str">
        <x:v>bom_id/bom_line_id</x:v>
      </x:c>
      <x:c r="F9" s="208" t="str">
        <x:v>Нет норм/versions</x:v>
      </x:c>
    </x:row>
    <x:row r="10">
      <x:c r="A10" s="206" t="str">
        <x:v>06</x:v>
      </x:c>
      <x:c r="B10" s="207" t="str">
        <x:v>Потребность/закупка</x:v>
      </x:c>
      <x:c r="C10" s="207" t="str">
        <x:v>Нет</x:v>
      </x:c>
      <x:c r="D10" s="207" t="str">
        <x:v>Supplier list + stock snapshot</x:v>
      </x:c>
      <x:c r="E10" s="207" t="str">
        <x:v>request_id/PO/GRN</x:v>
      </x:c>
      <x:c r="F10" s="208" t="str">
        <x:v>Нет full procurement cycle</x:v>
      </x:c>
    </x:row>
    <x:row r="11">
      <x:c r="A11" s="206" t="str">
        <x:v>07</x:v>
      </x:c>
      <x:c r="B11" s="207" t="str">
        <x:v>Партия/движение материала</x:v>
      </x:c>
      <x:c r="C11" s="207" t="str">
        <x:v>Нет</x:v>
      </x:c>
      <x:c r="D11" s="207" t="str">
        <x:v>Balance snapshot only</x:v>
      </x:c>
      <x:c r="E11" s="207" t="str">
        <x:v>material_lot_id/movement_id</x:v>
      </x:c>
      <x:c r="F11" s="208" t="str">
        <x:v>Нет aging/issue</x:v>
      </x:c>
    </x:row>
    <x:row r="12">
      <x:c r="A12" s="206" t="str">
        <x:v>08</x:v>
      </x:c>
      <x:c r="B12" s="207" t="str">
        <x:v>Production order/WIP</x:v>
      </x:c>
      <x:c r="C12" s="207" t="str">
        <x:v>Частично</x:v>
      </x:c>
      <x:c r="D12" s="207" t="str">
        <x:v>163 draft orders</x:v>
      </x:c>
      <x:c r="E12" s="207" t="str">
        <x:v>production_order_id</x:v>
      </x:c>
      <x:c r="F12" s="208" t="str">
        <x:v>Нет qty/status/exact SKU link</x:v>
      </x:c>
    </x:row>
    <x:row r="13">
      <x:c r="A13" s="206" t="str">
        <x:v>09</x:v>
      </x:c>
      <x:c r="B13" s="207" t="str">
        <x:v>Операция/часы</x:v>
      </x:c>
      <x:c r="C13" s="207" t="str">
        <x:v>Частично</x:v>
      </x:c>
      <x:c r="D13" s="207" t="str">
        <x:v>475 text tasks</x:v>
      </x:c>
      <x:c r="E13" s="207" t="str">
        <x:v>operation_id</x:v>
      </x:c>
      <x:c r="F13" s="208" t="str">
        <x:v>Нет hours/output/defect</x:v>
      </x:c>
    </x:row>
    <x:row r="14">
      <x:c r="A14" s="206" t="str">
        <x:v>10</x:v>
      </x:c>
      <x:c r="B14" s="207" t="str">
        <x:v>Cost version</x:v>
      </x:c>
      <x:c r="C14" s="207" t="str">
        <x:v>Частично</x:v>
      </x:c>
      <x:c r="D14" s="207" t="str">
        <x:v>82 unique; 21 multiple; 131 missing</x:v>
      </x:c>
      <x:c r="E14" s="207" t="str">
        <x:v>cost_version_id</x:v>
      </x:c>
      <x:c r="F14" s="208" t="str">
        <x:v>Нет approved effective version</x:v>
      </x:c>
    </x:row>
    <x:row r="15">
      <x:c r="A15" s="206" t="str">
        <x:v>11</x:v>
      </x:c>
      <x:c r="B15" s="207" t="str">
        <x:v>FG receipt/stock</x:v>
      </x:c>
      <x:c r="C15" s="207" t="str">
        <x:v>Нет</x:v>
      </x:c>
      <x:c r="D15" s="207" t="str">
        <x:v>Current register absent</x:v>
      </x:c>
      <x:c r="E15" s="207" t="str">
        <x:v>inventory_movement_id</x:v>
      </x:c>
      <x:c r="F15" s="208" t="str">
        <x:v>Нет COGS/aging</x:v>
      </x:c>
    </x:row>
    <x:row r="16">
      <x:c r="A16" s="206" t="str">
        <x:v>12</x:v>
      </x:c>
      <x:c r="B16" s="207" t="str">
        <x:v>Sales line/return</x:v>
      </x:c>
      <x:c r="C16" s="207" t="str">
        <x:v>Частично</x:v>
      </x:c>
      <x:c r="D16" s="207" t="str">
        <x:v>TSUM/B2B aggregates</x:v>
      </x:c>
      <x:c r="E16" s="207" t="str">
        <x:v>sales_line_id/return_id</x:v>
      </x:c>
      <x:c r="F16" s="208" t="str">
        <x:v>Нет all-channel details</x:v>
      </x:c>
    </x:row>
    <x:row r="17">
      <x:c r="A17" s="206" t="str">
        <x:v>13</x:v>
      </x:c>
      <x:c r="B17" s="207" t="str">
        <x:v>Settlement/AR</x:v>
      </x:c>
      <x:c r="C17" s="207" t="str">
        <x:v>Нет</x:v>
      </x:c>
      <x:c r="D17" s="207" t="str">
        <x:v>Aggregate payments</x:v>
      </x:c>
      <x:c r="E17" s="207" t="str">
        <x:v>settlement_id/ar_ap_item_id</x:v>
      </x:c>
      <x:c r="F17" s="208" t="str">
        <x:v>Нет commission/open balance</x:v>
      </x:c>
    </x:row>
    <x:row r="18">
      <x:c r="A18" s="206" t="str">
        <x:v>14</x:v>
      </x:c>
      <x:c r="B18" s="207" t="str">
        <x:v>Bank payment</x:v>
      </x:c>
      <x:c r="C18" s="207" t="str">
        <x:v>Есть</x:v>
      </x:c>
      <x:c r="D18" s="207" t="str">
        <x:v>Statements</x:v>
      </x:c>
      <x:c r="E18" s="207" t="str">
        <x:v>bank_payment_id</x:v>
      </x:c>
      <x:c r="F18" s="208" t="str">
        <x:v>Не всегда allocated</x:v>
      </x:c>
    </x:row>
    <x:row r="19">
      <x:c r="A19" s="209" t="str">
        <x:v>15</x:v>
      </x:c>
      <x:c r="B19" s="210" t="str">
        <x:v>P&amp;L/Balance close</x:v>
      </x:c>
      <x:c r="C19" s="210" t="str">
        <x:v>Нет</x:v>
      </x:c>
      <x:c r="D19" s="210" t="str">
        <x:v>Cash model only</x:v>
      </x:c>
      <x:c r="E19" s="210" t="str">
        <x:v>close_period_id</x:v>
      </x:c>
      <x:c r="F19" s="211" t="str">
        <x:v>Нет accrual/inventory/AR/AP</x:v>
      </x:c>
    </x:row>
  </x:sheetData>
  <x:mergeCells>
    <x:mergeCell ref="A1:F1"/>
    <x:mergeCell ref="A2:F2"/>
  </x:mergeCells>
  <x:conditionalFormatting sqref="C5:C19">
    <x:cfRule type="expression" dxfId="17" priority="1">
      <x:formula>ISNUMBER(SEARCH("Подтверж",C5))</x:formula>
    </x:cfRule>
    <x:cfRule type="expression" dxfId="18" priority="2">
      <x:formula>OR(ISNUMBER(SEARCH("Част",C5)),ISNUMBER(SEARCH("оговор",C5)),ISNUMBER(SEARCH("агрегат",C5)))</x:formula>
    </x:cfRule>
    <x:cfRule type="expression" dxfId="19" priority="3">
      <x:formula>OR(ISNUMBER(SEARCH("Отсутств",C5)),ISNUMBER(SEARCH("Невозмож",C5)),ISNUMBER(SEARCH("Заблок",C5)))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6" hidden="0" customWidth="1"/>
    <x:col min="4" max="4" width="26" hidden="0" customWidth="1"/>
    <x:col min="5" max="5" width="34" hidden="0" customWidth="1"/>
    <x:col min="6" max="6" width="18" hidden="0" customWidth="1"/>
    <x:col min="7" max="7" width="40" hidden="0" customWidth="1"/>
    <x:col min="8" max="8" width="38" hidden="0" customWidth="1"/>
    <x:col min="9" max="9" width="42" hidden="0" customWidth="1"/>
  </x:cols>
  <x:sheetData>
    <x:row r="1" ht="28" customHeight="1">
      <x:c r="A1" s="5" t="str">
        <x:v>ПРАВИЛА СОЕДИНЕНИЯ ДАННЫХ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4" t="str">
        <x:v>Current join, target join, контроль и запрещённое сокращение. Эти правила должны быть встроены в загрузки и monthly close.</x:v>
      </x:c>
      <x:c r="B2" s="14"/>
      <x:c r="C2" s="14"/>
      <x:c r="D2" s="14"/>
      <x:c r="E2" s="14"/>
      <x:c r="F2" s="14"/>
      <x:c r="G2" s="14"/>
      <x:c r="H2" s="14"/>
      <x:c r="I2" s="14"/>
    </x:row>
    <x:row r="4" ht="28" customHeight="1">
      <x:c r="A4" s="169" t="str">
        <x:v>rule_id</x:v>
      </x:c>
      <x:c r="B4" s="170" t="str">
        <x:v>domain</x:v>
      </x:c>
      <x:c r="C4" s="170" t="str">
        <x:v>from_object</x:v>
      </x:c>
      <x:c r="D4" s="170" t="str">
        <x:v>to_object</x:v>
      </x:c>
      <x:c r="E4" s="170" t="str">
        <x:v>current_join</x:v>
      </x:c>
      <x:c r="F4" s="170" t="str">
        <x:v>status</x:v>
      </x:c>
      <x:c r="G4" s="170" t="str">
        <x:v>target_join</x:v>
      </x:c>
      <x:c r="H4" s="170" t="str">
        <x:v>validation</x:v>
      </x:c>
      <x:c r="I4" s="171" t="str">
        <x:v>forbidden_shortcut</x:v>
      </x:c>
    </x:row>
    <x:row r="5">
      <x:c r="A5" s="203" t="str">
        <x:v>JOIN-001</x:v>
      </x:c>
      <x:c r="B5" s="204" t="str">
        <x:v>Продукт/операции</x:v>
      </x:c>
      <x:c r="C5" s="204" t="str">
        <x:v>TSUM sales line</x:v>
      </x:c>
      <x:c r="D5" s="204" t="str">
        <x:v>SKU master</x:v>
      </x:c>
      <x:c r="E5" s="204" t="str">
        <x:v>Нормализованный артикул</x:v>
      </x:c>
      <x:c r="F5" s="204" t="str">
        <x:v>Работает частично</x:v>
      </x:c>
      <x:c r="G5" s="204" t="str">
        <x:v>sales_line.canonical_sku → sku_master.canonical_sku</x:v>
      </x:c>
      <x:c r="H5" s="204" t="str">
        <x:v>Alias уникален в периоде; размер/цвет отдельны</x:v>
      </x:c>
      <x:c r="I5" s="205" t="str">
        <x:v>Не объединять только по номеру без подтверждения префикса/варианта</x:v>
      </x:c>
    </x:row>
    <x:row r="6">
      <x:c r="A6" s="206" t="str">
        <x:v>JOIN-002</x:v>
      </x:c>
      <x:c r="B6" s="207" t="str">
        <x:v>Продукт/операции</x:v>
      </x:c>
      <x:c r="C6" s="207" t="str">
        <x:v>Collection model</x:v>
      </x:c>
      <x:c r="D6" s="207" t="str">
        <x:v>SKU master</x:v>
      </x:c>
      <x:c r="E6" s="207" t="str">
        <x:v>Точный код или body+variant</x:v>
      </x:c>
      <x:c r="F6" s="207" t="str">
        <x:v>Частично</x:v>
      </x:c>
      <x:c r="G6" s="207" t="str">
        <x:v>model_alias → model_id → canonical_sku</x:v>
      </x:c>
      <x:c r="H6" s="207" t="str">
        <x:v>valid_from/valid_to; один активный owner record</x:v>
      </x:c>
      <x:c r="I6" s="208" t="str">
        <x:v>Не считать одинаковый номер моделью без варианта/версии</x:v>
      </x:c>
    </x:row>
    <x:row r="7">
      <x:c r="A7" s="206" t="str">
        <x:v>JOIN-003</x:v>
      </x:c>
      <x:c r="B7" s="207" t="str">
        <x:v>Продукт/операции</x:v>
      </x:c>
      <x:c r="C7" s="207" t="str">
        <x:v>Cost row</x:v>
      </x:c>
      <x:c r="D7" s="207" t="str">
        <x:v>SKU/production order</x:v>
      </x:c>
      <x:c r="E7" s="207" t="str">
        <x:v>Точный артикул</x:v>
      </x:c>
      <x:c r="F7" s="207" t="str">
        <x:v>Частично</x:v>
      </x:c>
      <x:c r="G7" s="207" t="str">
        <x:v>canonical_sku + production_order_id + cost_version_id</x:v>
      </x:c>
      <x:c r="H7" s="207" t="str">
        <x:v>Одна утверждённая версия на effective date</x:v>
      </x:c>
      <x:c r="I7" s="208" t="str">
        <x:v>Не брать MIN/MAX/последнюю cost без утверждённого правила</x:v>
      </x:c>
    </x:row>
    <x:row r="8">
      <x:c r="A8" s="206" t="str">
        <x:v>JOIN-004</x:v>
      </x:c>
      <x:c r="B8" s="207" t="str">
        <x:v>Продукт/операции</x:v>
      </x:c>
      <x:c r="C8" s="207" t="str">
        <x:v>Material balance</x:v>
      </x:c>
      <x:c r="D8" s="207" t="str">
        <x:v>Material master</x:v>
      </x:c>
      <x:c r="E8" s="207" t="str">
        <x:v>Код из текста</x:v>
      </x:c>
      <x:c r="F8" s="207" t="str">
        <x:v>Частично</x:v>
      </x:c>
      <x:c r="G8" s="207" t="str">
        <x:v>material_id + material_lot_id</x:v>
      </x:c>
      <x:c r="H8" s="207" t="str">
        <x:v>Код, UOM, цвет, состав, поставщик</x:v>
      </x:c>
      <x:c r="I8" s="208" t="str">
        <x:v>Не объединять по одному нормализованному наименованию</x:v>
      </x:c>
    </x:row>
    <x:row r="9">
      <x:c r="A9" s="206" t="str">
        <x:v>JOIN-005</x:v>
      </x:c>
      <x:c r="B9" s="207" t="str">
        <x:v>Продукт/операции</x:v>
      </x:c>
      <x:c r="C9" s="207" t="str">
        <x:v>BOM line</x:v>
      </x:c>
      <x:c r="D9" s="207" t="str">
        <x:v>Material issue</x:v>
      </x:c>
      <x:c r="E9" s="207" t="str">
        <x:v>Совпадение кода</x:v>
      </x:c>
      <x:c r="F9" s="207" t="str">
        <x:v>Отсутствует</x:v>
      </x:c>
      <x:c r="G9" s="207" t="str">
        <x:v>bom_line_id + production_order_id → material_issue_id</x:v>
      </x:c>
      <x:c r="H9" s="207" t="str">
        <x:v>Норма, фактический расход и отклонение</x:v>
      </x:c>
      <x:c r="I9" s="208" t="str">
        <x:v>Не считать наличие кода доказательством фактического расхода</x:v>
      </x:c>
    </x:row>
    <x:row r="10">
      <x:c r="A10" s="206" t="str">
        <x:v>JOIN-006</x:v>
      </x:c>
      <x:c r="B10" s="207" t="str">
        <x:v>Продукт/операции</x:v>
      </x:c>
      <x:c r="C10" s="207" t="str">
        <x:v>Production plan task</x:v>
      </x:c>
      <x:c r="D10" s="207" t="str">
        <x:v>Production order</x:v>
      </x:c>
      <x:c r="E10" s="207" t="str">
        <x:v>Свободный текст заказа/модели</x:v>
      </x:c>
      <x:c r="F10" s="207" t="str">
        <x:v>Частично</x:v>
      </x:c>
      <x:c r="G10" s="207" t="str">
        <x:v>operation_id + production_order_id + model_id</x:v>
      </x:c>
      <x:c r="H10" s="207" t="str">
        <x:v>Одна задача — один ID и статус</x:v>
      </x:c>
      <x:c r="I10" s="208" t="str">
        <x:v>Не хранить несколько заказов в одной ячейке</x:v>
      </x:c>
    </x:row>
    <x:row r="11">
      <x:c r="A11" s="206" t="str">
        <x:v>JOIN-007</x:v>
      </x:c>
      <x:c r="B11" s="207" t="str">
        <x:v>Продукт/операции</x:v>
      </x:c>
      <x:c r="C11" s="207" t="str">
        <x:v>FG receipt</x:v>
      </x:c>
      <x:c r="D11" s="207" t="str">
        <x:v>Production order</x:v>
      </x:c>
      <x:c r="E11" s="207" t="str">
        <x:v>Нет</x:v>
      </x:c>
      <x:c r="F11" s="207" t="str">
        <x:v>Отсутствует</x:v>
      </x:c>
      <x:c r="G11" s="207" t="str">
        <x:v>production_order_id → inventory_movement_id</x:v>
      </x:c>
      <x:c r="H11" s="207" t="str">
        <x:v>Выпуск qty = приход qty ± утверждённые отклонения</x:v>
      </x:c>
      <x:c r="I11" s="208" t="str">
        <x:v>Не считать план выпуска фактическим приходом</x:v>
      </x:c>
    </x:row>
    <x:row r="12">
      <x:c r="A12" s="206" t="str">
        <x:v>JOIN-008</x:v>
      </x:c>
      <x:c r="B12" s="207" t="str">
        <x:v>Продукт/операции</x:v>
      </x:c>
      <x:c r="C12" s="207" t="str">
        <x:v>Sales line</x:v>
      </x:c>
      <x:c r="D12" s="207" t="str">
        <x:v>Inventory movement</x:v>
      </x:c>
      <x:c r="E12" s="207" t="str">
        <x:v>Нет</x:v>
      </x:c>
      <x:c r="F12" s="207" t="str">
        <x:v>Отсутствует</x:v>
      </x:c>
      <x:c r="G12" s="207" t="str">
        <x:v>sales_line_id → inventory_issue_movement_id</x:v>
      </x:c>
      <x:c r="H12" s="207" t="str">
        <x:v>Количество и SKU совпадают; возврат связан с исходной продажей</x:v>
      </x:c>
      <x:c r="I12" s="208" t="str">
        <x:v>Не использовать годовой агрегат для списания склада</x:v>
      </x:c>
    </x:row>
    <x:row r="13">
      <x:c r="A13" s="206" t="str">
        <x:v>JOIN-009</x:v>
      </x:c>
      <x:c r="B13" s="207" t="str">
        <x:v>Продукт/операции</x:v>
      </x:c>
      <x:c r="C13" s="207" t="str">
        <x:v>Settlement</x:v>
      </x:c>
      <x:c r="D13" s="207" t="str">
        <x:v>Bank payment</x:v>
      </x:c>
      <x:c r="E13" s="207" t="str">
        <x:v>Месяц/назначение/сумма</x:v>
      </x:c>
      <x:c r="F13" s="207" t="str">
        <x:v>Частично</x:v>
      </x:c>
      <x:c r="G13" s="207" t="str">
        <x:v>settlement_id → bank_payment_id</x:v>
      </x:c>
      <x:c r="H13" s="207" t="str">
        <x:v>gross-returns-commission=net_due; суммы платежей закрывают settlement</x:v>
      </x:c>
      <x:c r="I13" s="208" t="str">
        <x:v>Не связывать SKU с банком напрямую</x:v>
      </x:c>
    </x:row>
    <x:row r="14">
      <x:c r="A14" s="206" t="str">
        <x:v>JOIN-010</x:v>
      </x:c>
      <x:c r="B14" s="207" t="str">
        <x:v>Продукт/операции</x:v>
      </x:c>
      <x:c r="C14" s="207" t="str">
        <x:v>Budget demand</x:v>
      </x:c>
      <x:c r="D14" s="207" t="str">
        <x:v>Production/procurement plan</x:v>
      </x:c>
      <x:c r="E14" s="207" t="str">
        <x:v>Нет общего ключа</x:v>
      </x:c>
      <x:c r="F14" s="207" t="str">
        <x:v>Отсутствует</x:v>
      </x:c>
      <x:c r="G14" s="207" t="str">
        <x:v>plan_version_id + canonical_sku + period + scenario_id</x:v>
      </x:c>
      <x:c r="H14" s="207" t="str">
        <x:v>Изменение спроса пересчитывает производство/закупки/cash</x:v>
      </x:c>
      <x:c r="I14" s="208" t="str">
        <x:v>Не вести независимые планы без version_id</x:v>
      </x:c>
    </x:row>
    <x:row r="15">
      <x:c r="A15" s="206" t="str">
        <x:v>JOIN-011</x:v>
      </x:c>
      <x:c r="B15" s="207" t="str">
        <x:v>Налоги/ФОТ</x:v>
      </x:c>
      <x:c r="C15" s="207" t="str">
        <x:v>Payroll accrual</x:v>
      </x:c>
      <x:c r="D15" s="207" t="str">
        <x:v>6-НДФЛ</x:v>
      </x:c>
      <x:c r="E15" s="207" t="str">
        <x:v>entity + year aggregate</x:v>
      </x:c>
      <x:c r="F15" s="207" t="str">
        <x:v>Частично</x:v>
      </x:c>
      <x:c r="G15" s="207" t="str">
        <x:v>employer_id + employee_id + income_date + income_type_code</x:v>
      </x:c>
      <x:c r="H15" s="207" t="str">
        <x:v>Σ income/deductions/NDFL = form totals</x:v>
      </x:c>
      <x:c r="I15" s="208" t="str">
        <x:v>Не связывать только по ФИО</x:v>
      </x:c>
    </x:row>
    <x:row r="16">
      <x:c r="A16" s="206" t="str">
        <x:v>JOIN-012</x:v>
      </x:c>
      <x:c r="B16" s="207" t="str">
        <x:v>Налоги/ФОТ</x:v>
      </x:c>
      <x:c r="C16" s="207" t="str">
        <x:v>Payroll accrual</x:v>
      </x:c>
      <x:c r="D16" s="207" t="str">
        <x:v>РСВ</x:v>
      </x:c>
      <x:c r="E16" s="207" t="str">
        <x:v>entity + year aggregate</x:v>
      </x:c>
      <x:c r="F16" s="207" t="str">
        <x:v>Частично</x:v>
      </x:c>
      <x:c r="G16" s="207" t="str">
        <x:v>employer_id + employee_id + accrual_period + tariff_code</x:v>
      </x:c>
      <x:c r="H16" s="207" t="str">
        <x:v>Σ remuneration/non-taxable/base/contribution = РСВ</x:v>
      </x:c>
      <x:c r="I16" s="208" t="str">
        <x:v>Не распределять тариф пропорционально без регистра</x:v>
      </x:c>
    </x:row>
    <x:row r="17">
      <x:c r="A17" s="206" t="str">
        <x:v>JOIN-013</x:v>
      </x:c>
      <x:c r="B17" s="207" t="str">
        <x:v>Налоги/ФОТ</x:v>
      </x:c>
      <x:c r="C17" s="207" t="str">
        <x:v>Tax form</x:v>
      </x:c>
      <x:c r="D17" s="207" t="str">
        <x:v>Tax obligation</x:v>
      </x:c>
      <x:c r="E17" s="207" t="str">
        <x:v>Нет отдельного регистра</x:v>
      </x:c>
      <x:c r="F17" s="207" t="str">
        <x:v>Отсутствует</x:v>
      </x:c>
      <x:c r="G17" s="207" t="str">
        <x:v>declaration_id + tax_type + reporting_period + due_bucket → obligation_id</x:v>
      </x:c>
      <x:c r="H17" s="207" t="str">
        <x:v>Обязательства = раздел 1 формы/уведомления</x:v>
      </x:c>
      <x:c r="I17" s="208" t="str">
        <x:v>Не считать строку 020 месячным обязательством</x:v>
      </x:c>
    </x:row>
    <x:row r="18">
      <x:c r="A18" s="206" t="str">
        <x:v>JOIN-014</x:v>
      </x:c>
      <x:c r="B18" s="207" t="str">
        <x:v>Налоги/ФОТ</x:v>
      </x:c>
      <x:c r="C18" s="207" t="str">
        <x:v>Tax obligation</x:v>
      </x:c>
      <x:c r="D18" s="207" t="str">
        <x:v>ENS allocation</x:v>
      </x:c>
      <x:c r="E18" s="207" t="str">
        <x:v>Нет</x:v>
      </x:c>
      <x:c r="F18" s="207" t="str">
        <x:v>Отсутствует</x:v>
      </x:c>
      <x:c r="G18" s="207" t="str">
        <x:v>obligation_id → ens_allocation_id</x:v>
      </x:c>
      <x:c r="H18" s="207" t="str">
        <x:v>Allocated amount ≤ obligation amount; open amount controlled</x:v>
      </x:c>
      <x:c r="I18" s="208" t="str">
        <x:v>Не связывать ЕНП напрямую по сумме</x:v>
      </x:c>
    </x:row>
    <x:row r="19">
      <x:c r="A19" s="206" t="str">
        <x:v>JOIN-015</x:v>
      </x:c>
      <x:c r="B19" s="207" t="str">
        <x:v>Налоги/ФОТ</x:v>
      </x:c>
      <x:c r="C19" s="207" t="str">
        <x:v>ENS allocation</x:v>
      </x:c>
      <x:c r="D19" s="207" t="str">
        <x:v>Bank payment</x:v>
      </x:c>
      <x:c r="E19" s="207" t="str">
        <x:v>Нет</x:v>
      </x:c>
      <x:c r="F19" s="207" t="str">
        <x:v>Отсутствует</x:v>
      </x:c>
      <x:c r="G19" s="207" t="str">
        <x:v>ens_allocation_id → bank_payment_id</x:v>
      </x:c>
      <x:c r="H19" s="207" t="str">
        <x:v>Σ allocations = bank payment or documented account balance movement</x:v>
      </x:c>
      <x:c r="I19" s="208" t="str">
        <x:v>Назначение платежа не заменяет allocation</x:v>
      </x:c>
    </x:row>
    <x:row r="20">
      <x:c r="A20" s="206" t="str">
        <x:v>JOIN-016</x:v>
      </x:c>
      <x:c r="B20" s="207" t="str">
        <x:v>Налоги/ФОТ</x:v>
      </x:c>
      <x:c r="C20" s="207" t="str">
        <x:v>Bank payment</x:v>
      </x:c>
      <x:c r="D20" s="207" t="str">
        <x:v>ДДС</x:v>
      </x:c>
      <x:c r="E20" s="207" t="str">
        <x:v>date + amount + manual article</x:v>
      </x:c>
      <x:c r="F20" s="207" t="str">
        <x:v>Частично</x:v>
      </x:c>
      <x:c r="G20" s="207" t="str">
        <x:v>bank_payment_id + account_id</x:v>
      </x:c>
      <x:c r="H20" s="207" t="str">
        <x:v>100% bank operations loaded once</x:v>
      </x:c>
      <x:c r="I20" s="208" t="str">
        <x:v>Не агрегировать без первичного ID</x:v>
      </x:c>
    </x:row>
    <x:row r="21">
      <x:c r="A21" s="206" t="str">
        <x:v>JOIN-017</x:v>
      </x:c>
      <x:c r="B21" s="207" t="str">
        <x:v>Налоги/ФОТ</x:v>
      </x:c>
      <x:c r="C21" s="207" t="str">
        <x:v>Payroll batch</x:v>
      </x:c>
      <x:c r="D21" s="207" t="str">
        <x:v>Bank payment</x:v>
      </x:c>
      <x:c r="E21" s="207" t="str">
        <x:v>date + amount; 3 months reconstructed</x:v>
      </x:c>
      <x:c r="F21" s="207" t="str">
        <x:v>Частично</x:v>
      </x:c>
      <x:c r="G21" s="207" t="str">
        <x:v>payroll_batch_id + bank_payment_id + employee_id</x:v>
      </x:c>
      <x:c r="H21" s="207" t="str">
        <x:v>Σ employee payments = batch = bank debit</x:v>
      </x:c>
      <x:c r="I21" s="208" t="str">
        <x:v>Не использовать display total с ФСС/вычетами</x:v>
      </x:c>
    </x:row>
    <x:row r="22">
      <x:c r="A22" s="206" t="str">
        <x:v>JOIN-018</x:v>
      </x:c>
      <x:c r="B22" s="207" t="str">
        <x:v>Налоги/ФОТ</x:v>
      </x:c>
      <x:c r="C22" s="207" t="str">
        <x:v>Source file</x:v>
      </x:c>
      <x:c r="D22" s="207" t="str">
        <x:v>Canonical ledger</x:v>
      </x:c>
      <x:c r="E22" s="207" t="str">
        <x:v>File name/manual copy</x:v>
      </x:c>
      <x:c r="F22" s="207" t="str">
        <x:v>Частично</x:v>
      </x:c>
      <x:c r="G22" s="207" t="str">
        <x:v>source_file_id + source_sheet + source_row_id + version_id</x:v>
      </x:c>
      <x:c r="H22" s="207" t="str">
        <x:v>Lineage preserved; no duplicates</x:v>
      </x:c>
      <x:c r="I22" s="208" t="str">
        <x:v>Не перезаписывать закрытый период</x:v>
      </x:c>
    </x:row>
    <x:row r="23">
      <x:c r="A23" s="206" t="str">
        <x:v>JOIN-019</x:v>
      </x:c>
      <x:c r="B23" s="207" t="str">
        <x:v>Финансы/закрытие</x:v>
      </x:c>
      <x:c r="C23" s="207" t="str">
        <x:v>Bank statement line</x:v>
      </x:c>
      <x:c r="D23" s="207" t="str">
        <x:v>Cash transaction</x:v>
      </x:c>
      <x:c r="E23" s="207" t="str">
        <x:v>Account + date + amount</x:v>
      </x:c>
      <x:c r="F23" s="207" t="str">
        <x:v>Частично</x:v>
      </x:c>
      <x:c r="G23" s="207" t="str">
        <x:v>bank_payment_id → cash_transaction_id</x:v>
      </x:c>
      <x:c r="H23" s="207" t="str">
        <x:v>Unique document/account/date/amount; duplicate control</x:v>
      </x:c>
      <x:c r="I23" s="208" t="str">
        <x:v>Не связывать только по сумме</x:v>
      </x:c>
    </x:row>
    <x:row r="24">
      <x:c r="A24" s="206" t="str">
        <x:v>JOIN-020</x:v>
      </x:c>
      <x:c r="B24" s="207" t="str">
        <x:v>Финансы/закрытие</x:v>
      </x:c>
      <x:c r="C24" s="207" t="str">
        <x:v>Cash transaction</x:v>
      </x:c>
      <x:c r="D24" s="207" t="str">
        <x:v>DDS classification</x:v>
      </x:c>
      <x:c r="E24" s="207" t="str">
        <x:v>Month + category + amount</x:v>
      </x:c>
      <x:c r="F24" s="207" t="str">
        <x:v>Частично</x:v>
      </x:c>
      <x:c r="G24" s="207" t="str">
        <x:v>cash_transaction_id → dds_category_id</x:v>
      </x:c>
      <x:c r="H24" s="207" t="str">
        <x:v>Every bank/cash line classified once</x:v>
      </x:c>
      <x:c r="I24" s="208" t="str">
        <x:v>Не использовать месячный total как transaction-level proof</x:v>
      </x:c>
    </x:row>
    <x:row r="25">
      <x:c r="A25" s="206" t="str">
        <x:v>JOIN-021</x:v>
      </x:c>
      <x:c r="B25" s="207" t="str">
        <x:v>Финансы/закрытие</x:v>
      </x:c>
      <x:c r="C25" s="207" t="str">
        <x:v>Budget line</x:v>
      </x:c>
      <x:c r="D25" s="207" t="str">
        <x:v>Actual line</x:v>
      </x:c>
      <x:c r="E25" s="207" t="str">
        <x:v>Article + month</x:v>
      </x:c>
      <x:c r="F25" s="207" t="str">
        <x:v>Частично</x:v>
      </x:c>
      <x:c r="G25" s="207" t="str">
        <x:v>plan_version_id + account_id + cost_center + period</x:v>
      </x:c>
      <x:c r="H25" s="207" t="str">
        <x:v>One mapping table and version</x:v>
      </x:c>
      <x:c r="I25" s="208" t="str">
        <x:v>Не сравнивать разные definitions/currencies</x:v>
      </x:c>
    </x:row>
    <x:row r="26">
      <x:c r="A26" s="206" t="str">
        <x:v>JOIN-022</x:v>
      </x:c>
      <x:c r="B26" s="207" t="str">
        <x:v>Финансы/закрытие</x:v>
      </x:c>
      <x:c r="C26" s="207" t="str">
        <x:v>AR/AP item</x:v>
      </x:c>
      <x:c r="D26" s="207" t="str">
        <x:v>Bank payment</x:v>
      </x:c>
      <x:c r="E26" s="207" t="str">
        <x:v>Counterparty + amount + date</x:v>
      </x:c>
      <x:c r="F26" s="207" t="str">
        <x:v>Отсутствует</x:v>
      </x:c>
      <x:c r="G26" s="207" t="str">
        <x:v>ar_ap_item_id ↔ payment_allocation_id ↔ bank_payment_id</x:v>
      </x:c>
      <x:c r="H26" s="207" t="str">
        <x:v>Allocation sums equal payment and open item</x:v>
      </x:c>
      <x:c r="I26" s="208" t="str">
        <x:v>Не закрывать invoice совпадением суммы без allocation</x:v>
      </x:c>
    </x:row>
    <x:row r="27">
      <x:c r="A27" s="209" t="str">
        <x:v>JOIN-023</x:v>
      </x:c>
      <x:c r="B27" s="210" t="str">
        <x:v>Финансы/закрытие</x:v>
      </x:c>
      <x:c r="C27" s="210" t="str">
        <x:v>Close period</x:v>
      </x:c>
      <x:c r="D27" s="210" t="str">
        <x:v>Statements</x:v>
      </x:c>
      <x:c r="E27" s="210" t="str">
        <x:v>Manual process</x:v>
      </x:c>
      <x:c r="F27" s="210" t="str">
        <x:v>Отсутствует</x:v>
      </x:c>
      <x:c r="G27" s="210" t="str">
        <x:v>close_period_id → reconciliations → approvals</x:v>
      </x:c>
      <x:c r="H27" s="210" t="str">
        <x:v>All stop-gates passed</x:v>
      </x:c>
      <x:c r="I27" s="211" t="str">
        <x:v>Не перезаписывать закрытый период без adjustment</x:v>
      </x:c>
    </x:row>
  </x:sheetData>
  <x:mergeCells>
    <x:mergeCell ref="A1:I1"/>
    <x:mergeCell ref="A2:I2"/>
  </x:mergeCells>
  <x:conditionalFormatting sqref="F5:F27">
    <x:cfRule type="expression" dxfId="20" priority="1">
      <x:formula>ISNUMBER(SEARCH("Подтверж",F5))</x:formula>
    </x:cfRule>
    <x:cfRule type="expression" dxfId="21" priority="2">
      <x:formula>OR(ISNUMBER(SEARCH("Част",F5)),ISNUMBER(SEARCH("оговор",F5)),ISNUMBER(SEARCH("агрегат",F5)))</x:formula>
    </x:cfRule>
    <x:cfRule type="expression" dxfId="22" priority="3">
      <x:formula>OR(ISNUMBER(SEARCH("Отсутств",F5)),ISNUMBER(SEARCH("Невозмож",F5)),ISNUMBER(SEARCH("Заблок",F5)))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4" hidden="0" customWidth="1"/>
    <x:col min="4" max="4" width="28" hidden="0" customWidth="1"/>
    <x:col min="5" max="5" width="44" hidden="0" customWidth="1"/>
    <x:col min="6" max="6" width="44" hidden="0" customWidth="1"/>
    <x:col min="7" max="7" width="22" hidden="0" customWidth="1"/>
    <x:col min="8" max="8" width="24" hidden="0" customWidth="1"/>
    <x:col min="9" max="9" width="38" hidden="0" customWidth="1"/>
    <x:col min="10" max="10" width="18" hidden="0" customWidth="1"/>
    <x:col min="11" max="11" width="38" hidden="0" customWidth="1"/>
    <x:col min="12" max="12" width="44" hidden="0" customWidth="1"/>
  </x:cols>
  <x:sheetData>
    <x:row r="1" ht="28" customHeight="1">
      <x:c r="A1" s="5" t="str">
        <x:v>ЧЕГО НЕ ХВАТАЕТ И ГДЕ ЭТО ДОЛЖНО БЫТЬ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2" customHeight="1">
      <x:c r="A2" s="14" t="str">
        <x:v>Каждый пробел связан с конкретным анализом, неопределённостью, владельцем, требуемой выгрузкой и критериями приёмки.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4" ht="28" customHeight="1">
      <x:c r="A4" s="169" t="str">
        <x:v>gap_id</x:v>
      </x:c>
      <x:c r="B4" s="170" t="str">
        <x:v>priority</x:v>
      </x:c>
      <x:c r="C4" s="170" t="str">
        <x:v>missing</x:v>
      </x:c>
      <x:c r="D4" s="170" t="str">
        <x:v>where_should_be</x:v>
      </x:c>
      <x:c r="E4" s="170" t="str">
        <x:v>required_fields</x:v>
      </x:c>
      <x:c r="F4" s="170" t="str">
        <x:v>analysis_blocked</x:v>
      </x:c>
      <x:c r="G4" s="170" t="str">
        <x:v>uncertainty</x:v>
      </x:c>
      <x:c r="H4" s="170" t="str">
        <x:v>owner</x:v>
      </x:c>
      <x:c r="I4" s="170" t="str">
        <x:v>available_workaround</x:v>
      </x:c>
      <x:c r="J4" s="170" t="str">
        <x:v>status</x:v>
      </x:c>
      <x:c r="K4" s="170" t="str">
        <x:v>requested_file_or_export</x:v>
      </x:c>
      <x:c r="L4" s="171" t="str">
        <x:v>acceptance_criteria</x:v>
      </x:c>
    </x:row>
    <x:row r="5">
      <x:c r="A5" s="203" t="str">
        <x:v>IG-01</x:v>
      </x:c>
      <x:c r="B5" s="204" t="str">
        <x:v>Критический</x:v>
      </x:c>
      <x:c r="C5" s="204" t="str">
        <x:v>Официальный canonical SKU и alias history</x:v>
      </x:c>
      <x:c r="D5" s="204" t="str">
        <x:v>MDM/1С + продуктовый блок</x:v>
      </x:c>
      <x:c r="E5" s="204" t="str">
        <x:v>canonical_sku, model_id, version_id, alias, valid_from/to</x:v>
      </x:c>
      <x:c r="F5" s="204" t="str">
        <x:v>SKU/collection/order margin; production and inventory joins</x:v>
      </x:c>
      <x:c r="G5" s="204" t="str">
        <x:v>Критическая</x:v>
      </x:c>
      <x:c r="H5" s="204" t="str">
        <x:v>Продукт/коммерция</x:v>
      </x:c>
      <x:c r="I5" s="204" t="str">
        <x:v>124 mapping-кандидата только для ручного review</x:v>
      </x:c>
      <x:c r="J5" s="204" t="str">
        <x:v>Не закрыто</x:v>
      </x:c>
      <x:c r="K5" s="204" t="str">
        <x:v>Выгрузка/регистр: Официальный canonical SKU и alias history</x:v>
      </x:c>
      <x:c r="L5" s="205" t="str">
        <x:v>Полный период, первичные ID, контрольные итоги, владелец и дата формирования</x:v>
      </x:c>
    </x:row>
    <x:row r="6">
      <x:c r="A6" s="206" t="str">
        <x:v>IG-02</x:v>
      </x:c>
      <x:c r="B6" s="207" t="str">
        <x:v>Критический</x:v>
      </x:c>
      <x:c r="C6" s="207" t="str">
        <x:v>Остатки и движение готовой продукции</x:v>
      </x:c>
      <x:c r="D6" s="207" t="str">
        <x:v>WMS/1С/склад</x:v>
      </x:c>
      <x:c r="E6" s="207" t="str">
        <x:v>inventory_movement_id, date, warehouse, SKU, qty, cost, document</x:v>
      </x:c>
      <x:c r="F6" s="207" t="str">
        <x:v>COGS, turnover, aging, obsolete stock, Balance</x:v>
      </x:c>
      <x:c r="G6" s="207" t="str">
        <x:v>Расчёт невозможен</x:v>
      </x:c>
      <x:c r="H6" s="207" t="str">
        <x:v>Склад + финансы</x:v>
      </x:c>
      <x:c r="I6" s="207" t="str">
        <x:v>Исторический список не заменяет текущий регистр</x:v>
      </x:c>
      <x:c r="J6" s="207" t="str">
        <x:v>Не закрыто</x:v>
      </x:c>
      <x:c r="K6" s="207" t="str">
        <x:v>Выгрузка/регистр: Остатки и движение готовой продукции</x:v>
      </x:c>
      <x:c r="L6" s="208" t="str">
        <x:v>Полный период, первичные ID, контрольные итоги, владелец и дата формирования</x:v>
      </x:c>
    </x:row>
    <x:row r="7">
      <x:c r="A7" s="206" t="str">
        <x:v>IG-03</x:v>
      </x:c>
      <x:c r="B7" s="207" t="str">
        <x:v>Критический</x:v>
      </x:c>
      <x:c r="C7" s="207" t="str">
        <x:v>Production order register и WIP</x:v>
      </x:c>
      <x:c r="D7" s="207" t="str">
        <x:v>ERP/MES/производство</x:v>
      </x:c>
      <x:c r="E7" s="207" t="str">
        <x:v>production_order_id, SKU, qty, dates, status, WIP stage</x:v>
      </x:c>
      <x:c r="F7" s="207" t="str">
        <x:v>Lead time, WIP, productivity, order profitability</x:v>
      </x:c>
      <x:c r="G7" s="207" t="str">
        <x:v>Расчёт невозможен</x:v>
      </x:c>
      <x:c r="H7" s="207" t="str">
        <x:v>Производство</x:v>
      </x:c>
      <x:c r="I7" s="207" t="str">
        <x:v>163 draft rows позволяют только диагностику</x:v>
      </x:c>
      <x:c r="J7" s="207" t="str">
        <x:v>Не закрыто</x:v>
      </x:c>
      <x:c r="K7" s="207" t="str">
        <x:v>Выгрузка/регистр: Production order register и WIP</x:v>
      </x:c>
      <x:c r="L7" s="208" t="str">
        <x:v>Полный период, первичные ID, контрольные итоги, владелец и дата формирования</x:v>
      </x:c>
    </x:row>
    <x:row r="8">
      <x:c r="A8" s="206" t="str">
        <x:v>IG-04</x:v>
      </x:c>
      <x:c r="B8" s="207" t="str">
        <x:v>Критический</x:v>
      </x:c>
      <x:c r="C8" s="207" t="str">
        <x:v>Утверждённые версии фактической себестоимости</x:v>
      </x:c>
      <x:c r="D8" s="207" t="str">
        <x:v>ERP/Cost ledger</x:v>
      </x:c>
      <x:c r="E8" s="207" t="str">
        <x:v>cost_version_id, SKU, effective_date, PO, materials, labor, overhead</x:v>
      </x:c>
      <x:c r="F8" s="207" t="str">
        <x:v>SKU/collection/order margin, COGS</x:v>
      </x:c>
      <x:c r="G8" s="207" t="str">
        <x:v>Высокая</x:v>
      </x:c>
      <x:c r="H8" s="207" t="str">
        <x:v>Финансы + производство</x:v>
      </x:c>
      <x:c r="I8" s="207" t="str">
        <x:v>82 SKU однозначно; 21 multiple; 131 missing</x:v>
      </x:c>
      <x:c r="J8" s="207" t="str">
        <x:v>Не закрыто</x:v>
      </x:c>
      <x:c r="K8" s="207" t="str">
        <x:v>Выгрузка/регистр: Утверждённые версии фактической себестоимости</x:v>
      </x:c>
      <x:c r="L8" s="208" t="str">
        <x:v>Полный период, первичные ID, контрольные итоги, владелец и дата формирования</x:v>
      </x:c>
    </x:row>
    <x:row r="9">
      <x:c r="A9" s="206" t="str">
        <x:v>IG-05</x:v>
      </x:c>
      <x:c r="B9" s="207" t="str">
        <x:v>Критический</x:v>
      </x:c>
      <x:c r="C9" s="207" t="str">
        <x:v>История движения материалов и партии</x:v>
      </x:c>
      <x:c r="D9" s="207" t="str">
        <x:v>WMS/1С</x:v>
      </x:c>
      <x:c r="E9" s="207" t="str">
        <x:v>material_movement_id, material_id, lot_id, date, qty, value, PO, production_order</x:v>
      </x:c>
      <x:c r="F9" s="207" t="str">
        <x:v>Material aging, variance, obsolete stock, working capital</x:v>
      </x:c>
      <x:c r="G9" s="207" t="str">
        <x:v>Расчёт невозможен</x:v>
      </x:c>
      <x:c r="H9" s="207" t="str">
        <x:v>Склад + закупки</x:v>
      </x:c>
      <x:c r="I9" s="207" t="str">
        <x:v>Срез на одну дату только показывает масштаб</x:v>
      </x:c>
      <x:c r="J9" s="207" t="str">
        <x:v>Не закрыто</x:v>
      </x:c>
      <x:c r="K9" s="207" t="str">
        <x:v>Выгрузка/регистр: История движения материалов и партии</x:v>
      </x:c>
      <x:c r="L9" s="208" t="str">
        <x:v>Полный период, первичные ID, контрольные итоги, владелец и дата формирования</x:v>
      </x:c>
    </x:row>
    <x:row r="10">
      <x:c r="A10" s="206" t="str">
        <x:v>IG-06</x:v>
      </x:c>
      <x:c r="B10" s="207" t="str">
        <x:v>Критический</x:v>
      </x:c>
      <x:c r="C10" s="207" t="str">
        <x:v>Версионный BOM и нормы</x:v>
      </x:c>
      <x:c r="D10" s="207" t="str">
        <x:v>PLM/технолог</x:v>
      </x:c>
      <x:c r="E10" s="207" t="str">
        <x:v>bom_id, bom_line_id, version_id, SKU, material_id, norm, waste</x:v>
      </x:c>
      <x:c r="F10" s="207" t="str">
        <x:v>Material requirement, purchase plan, cost and variance</x:v>
      </x:c>
      <x:c r="G10" s="207" t="str">
        <x:v>Высокая</x:v>
      </x:c>
      <x:c r="H10" s="207" t="str">
        <x:v>Технолог + производство</x:v>
      </x:c>
      <x:c r="I10" s="207" t="str">
        <x:v>Калькуляции не образуют единый BOM</x:v>
      </x:c>
      <x:c r="J10" s="207" t="str">
        <x:v>Не закрыто</x:v>
      </x:c>
      <x:c r="K10" s="207" t="str">
        <x:v>Выгрузка/регистр: Версионный BOM и нормы</x:v>
      </x:c>
      <x:c r="L10" s="208" t="str">
        <x:v>Полный период, первичные ID, контрольные итоги, владелец и дата формирования</x:v>
      </x:c>
    </x:row>
    <x:row r="11">
      <x:c r="A11" s="206" t="str">
        <x:v>IG-07</x:v>
      </x:c>
      <x:c r="B11" s="207" t="str">
        <x:v>Высокий</x:v>
      </x:c>
      <x:c r="C11" s="207" t="str">
        <x:v>Детальные продажи всех каналов</x:v>
      </x:c>
      <x:c r="D11" s="207" t="str">
        <x:v>POS/CRM/CMS/1С</x:v>
      </x:c>
      <x:c r="E11" s="207" t="str">
        <x:v>sales_line_id, date, order_id, SKU, qty, price, discount, return, channel</x:v>
      </x:c>
      <x:c r="F11" s="207" t="str">
        <x:v>Channel/SKU margin, cohorts, seasonality, inventory issue</x:v>
      </x:c>
      <x:c r="G11" s="207" t="str">
        <x:v>Высокая</x:v>
      </x:c>
      <x:c r="H11" s="207" t="str">
        <x:v>Коммерция</x:v>
      </x:c>
      <x:c r="I11" s="207" t="str">
        <x:v>ЦУМ/B2B агрегаты и cash channels недостаточны</x:v>
      </x:c>
      <x:c r="J11" s="207" t="str">
        <x:v>Не закрыто</x:v>
      </x:c>
      <x:c r="K11" s="207" t="str">
        <x:v>Выгрузка/регистр: Детальные продажи всех каналов</x:v>
      </x:c>
      <x:c r="L11" s="208" t="str">
        <x:v>Полный период, первичные ID, контрольные итоги, владелец и дата формирования</x:v>
      </x:c>
    </x:row>
    <x:row r="12">
      <x:c r="A12" s="206" t="str">
        <x:v>IG-08</x:v>
      </x:c>
      <x:c r="B12" s="207" t="str">
        <x:v>Высокий</x:v>
      </x:c>
      <x:c r="C12" s="207" t="str">
        <x:v>Полный procurement cycle</x:v>
      </x:c>
      <x:c r="D12" s="207" t="str">
        <x:v>ERP/закупки/DMS</x:v>
      </x:c>
      <x:c r="E12" s="207" t="str">
        <x:v>request_id, PO, supplier, material, qty, price, approval, GRN, invoice, payment</x:v>
      </x:c>
      <x:c r="F12" s="207" t="str">
        <x:v>Supplier performance, PPV, lead time, 3-way match</x:v>
      </x:c>
      <x:c r="G12" s="207" t="str">
        <x:v>Расчёт невозможен</x:v>
      </x:c>
      <x:c r="H12" s="207" t="str">
        <x:v>Закупки</x:v>
      </x:c>
      <x:c r="I12" s="207" t="str">
        <x:v>Есть supplier list и stock snapshot</x:v>
      </x:c>
      <x:c r="J12" s="207" t="str">
        <x:v>Не закрыто</x:v>
      </x:c>
      <x:c r="K12" s="207" t="str">
        <x:v>Выгрузка/регистр: Полный procurement cycle</x:v>
      </x:c>
      <x:c r="L12" s="208" t="str">
        <x:v>Полный период, первичные ID, контрольные итоги, владелец и дата формирования</x:v>
      </x:c>
    </x:row>
    <x:row r="13">
      <x:c r="A13" s="206" t="str">
        <x:v>IG-09</x:v>
      </x:c>
      <x:c r="B13" s="207" t="str">
        <x:v>Высокий</x:v>
      </x:c>
      <x:c r="C13" s="207" t="str">
        <x:v>Settlement и взаиморасчёты на уровне строк</x:v>
      </x:c>
      <x:c r="D13" s="207" t="str">
        <x:v>ERP/AR/коммерция</x:v>
      </x:c>
      <x:c r="E13" s="207" t="str">
        <x:v>settlement_id, invoice, sales_line, returns, commission, net_due, payment</x:v>
      </x:c>
      <x:c r="F13" s="207" t="str">
        <x:v>Sales-to-cash, AR aging, channel deductions</x:v>
      </x:c>
      <x:c r="G13" s="207" t="str">
        <x:v>Высокая</x:v>
      </x:c>
      <x:c r="H13" s="207" t="str">
        <x:v>Финансы + коммерция</x:v>
      </x:c>
      <x:c r="I13" s="207" t="str">
        <x:v>27/29 ЦУМ и 17/17 B2B подтверждены агрегатно</x:v>
      </x:c>
      <x:c r="J13" s="207" t="str">
        <x:v>Не закрыто</x:v>
      </x:c>
      <x:c r="K13" s="207" t="str">
        <x:v>Выгрузка/регистр: Settlement и взаиморасчёты на уровне строк</x:v>
      </x:c>
      <x:c r="L13" s="208" t="str">
        <x:v>Полный период, первичные ID, контрольные итоги, владелец и дата формирования</x:v>
      </x:c>
    </x:row>
    <x:row r="14">
      <x:c r="A14" s="206" t="str">
        <x:v>IG-10</x:v>
      </x:c>
      <x:c r="B14" s="207" t="str">
        <x:v>Высокий</x:v>
      </x:c>
      <x:c r="C14" s="207" t="str">
        <x:v>Операции, фактические часы, брак и переделка</x:v>
      </x:c>
      <x:c r="D14" s="207" t="str">
        <x:v>MES/production register</x:v>
      </x:c>
      <x:c r="E14" s="207" t="str">
        <x:v>operation_id, production_order_id, resource, start/end, hours, output, defect, rework</x:v>
      </x:c>
      <x:c r="F14" s="207" t="str">
        <x:v>Capacity, productivity, bottleneck, labor cost</x:v>
      </x:c>
      <x:c r="G14" s="207" t="str">
        <x:v>Высокая</x:v>
      </x:c>
      <x:c r="H14" s="207" t="str">
        <x:v>Производство</x:v>
      </x:c>
      <x:c r="I14" s="207" t="str">
        <x:v>475 текстовых задач</x:v>
      </x:c>
      <x:c r="J14" s="207" t="str">
        <x:v>Не закрыто</x:v>
      </x:c>
      <x:c r="K14" s="207" t="str">
        <x:v>Выгрузка/регистр: Операции, фактические часы, брак и переделка</x:v>
      </x:c>
      <x:c r="L14" s="208" t="str">
        <x:v>Полный период, первичные ID, контрольные итоги, владелец и дата формирования</x:v>
      </x:c>
    </x:row>
    <x:row r="15">
      <x:c r="A15" s="206" t="str">
        <x:v>IG-11</x:v>
      </x:c>
      <x:c r="B15" s="207" t="str">
        <x:v>Критический</x:v>
      </x:c>
      <x:c r="C15" s="207" t="str">
        <x:v>Полный банковский периметр</x:v>
      </x:c>
      <x:c r="D15" s="207" t="str">
        <x:v>Банки/финансы</x:v>
      </x:c>
      <x:c r="E15" s="207" t="str">
        <x:v>bank_account_id, legal_entity_id, currency, statements, opening/closing</x:v>
      </x:c>
      <x:c r="F15" s="207" t="str">
        <x:v>Cash, liquidity, owner transfers, balance proof</x:v>
      </x:c>
      <x:c r="G15" s="207" t="str">
        <x:v>Высокая</x:v>
      </x:c>
      <x:c r="H15" s="207" t="str">
        <x:v>Финансы</x:v>
      </x:c>
      <x:c r="I15" s="207" t="str">
        <x:v>Салон, Райффайзен и валютный блок не подтверждены</x:v>
      </x:c>
      <x:c r="J15" s="207" t="str">
        <x:v>Не закрыто</x:v>
      </x:c>
      <x:c r="K15" s="207" t="str">
        <x:v>Выгрузка/регистр: Полный банковский периметр</x:v>
      </x:c>
      <x:c r="L15" s="208" t="str">
        <x:v>Полный период, первичные ID, контрольные итоги, владелец и дата формирования</x:v>
      </x:c>
    </x:row>
    <x:row r="16">
      <x:c r="A16" s="206" t="str">
        <x:v>IG-12</x:v>
      </x:c>
      <x:c r="B16" s="207" t="str">
        <x:v>Критический</x:v>
      </x:c>
      <x:c r="C16" s="207" t="str">
        <x:v>Касса, карты и подотчёт с движениями</x:v>
      </x:c>
      <x:c r="D16" s="207" t="str">
        <x:v>ERP/Cash ledger</x:v>
      </x:c>
      <x:c r="E16" s="207" t="str">
        <x:v>cash_transaction_id, account_id, date, document, owner, amount, category</x:v>
      </x:c>
      <x:c r="F16" s="207" t="str">
        <x:v>Cash roll-forward and fraud/error control</x:v>
      </x:c>
      <x:c r="G16" s="207" t="str">
        <x:v>Расчёт невозможен</x:v>
      </x:c>
      <x:c r="H16" s="207" t="str">
        <x:v>Финансы</x:v>
      </x:c>
      <x:c r="I16" s="207" t="str">
        <x:v>Ручные остатки не являются независимым подтверждением</x:v>
      </x:c>
      <x:c r="J16" s="207" t="str">
        <x:v>Не закрыто</x:v>
      </x:c>
      <x:c r="K16" s="207" t="str">
        <x:v>Выгрузка/регистр: Касса, карты и подотчёт с движениями</x:v>
      </x:c>
      <x:c r="L16" s="208" t="str">
        <x:v>Полный период, первичные ID, контрольные итоги, владелец и дата формирования</x:v>
      </x:c>
    </x:row>
    <x:row r="17">
      <x:c r="A17" s="206" t="str">
        <x:v>IG-13</x:v>
      </x:c>
      <x:c r="B17" s="207" t="str">
        <x:v>Высокий</x:v>
      </x:c>
      <x:c r="C17" s="207" t="str">
        <x:v>Журнал корректировок и подтверждённые opening balances</x:v>
      </x:c>
      <x:c r="D17" s="207" t="str">
        <x:v>ERP/close register</x:v>
      </x:c>
      <x:c r="E17" s="207" t="str">
        <x:v>adjustment_id, period, account, amount, reason, document, approver</x:v>
      </x:c>
      <x:c r="F17" s="207" t="str">
        <x:v>Historical cash reconstruction and audit trail</x:v>
      </x:c>
      <x:c r="G17" s="207" t="str">
        <x:v>Высокая</x:v>
      </x:c>
      <x:c r="H17" s="207" t="str">
        <x:v>Финансы</x:v>
      </x:c>
      <x:c r="I17" s="207" t="str">
        <x:v>12 roll-forward разрывов; часть opening формульно восстановлена</x:v>
      </x:c>
      <x:c r="J17" s="207" t="str">
        <x:v>Не закрыто</x:v>
      </x:c>
      <x:c r="K17" s="207" t="str">
        <x:v>Выгрузка/регистр: Журнал корректировок и подтверждённые opening balances</x:v>
      </x:c>
      <x:c r="L17" s="208" t="str">
        <x:v>Полный период, первичные ID, контрольные итоги, владелец и дата формирования</x:v>
      </x:c>
    </x:row>
    <x:row r="18">
      <x:c r="A18" s="206" t="str">
        <x:v>IG-14</x:v>
      </x:c>
      <x:c r="B18" s="207" t="str">
        <x:v>Критический</x:v>
      </x:c>
      <x:c r="C18" s="207" t="str">
        <x:v>Дебиторская и кредиторская задолженность</x:v>
      </x:c>
      <x:c r="D18" s="207" t="str">
        <x:v>ERP/GL</x:v>
      </x:c>
      <x:c r="E18" s="207" t="str">
        <x:v>ar_ap_item_id, counterparty, invoice, due_date, amount, payment, open_balance</x:v>
      </x:c>
      <x:c r="F18" s="207" t="str">
        <x:v>Balance, liquidity, CCC, overdue, net debt</x:v>
      </x:c>
      <x:c r="G18" s="207" t="str">
        <x:v>Расчёт невозможен</x:v>
      </x:c>
      <x:c r="H18" s="207" t="str">
        <x:v>Финансы</x:v>
      </x:c>
      <x:c r="I18" s="207" t="str">
        <x:v>Не предоставлено на контрольные даты</x:v>
      </x:c>
      <x:c r="J18" s="207" t="str">
        <x:v>Не закрыто</x:v>
      </x:c>
      <x:c r="K18" s="207" t="str">
        <x:v>Выгрузка/регистр: Дебиторская и кредиторская задолженность</x:v>
      </x:c>
      <x:c r="L18" s="208" t="str">
        <x:v>Полный период, первичные ID, контрольные итоги, владелец и дата формирования</x:v>
      </x:c>
    </x:row>
    <x:row r="19">
      <x:c r="A19" s="206" t="str">
        <x:v>IG-15</x:v>
      </x:c>
      <x:c r="B19" s="207" t="str">
        <x:v>Критический</x:v>
      </x:c>
      <x:c r="C19" s="207" t="str">
        <x:v>Управленческий P&amp;L и Balance с методикой close</x:v>
      </x:c>
      <x:c r="D19" s="207" t="str">
        <x:v>ERP/GL/EPM</x:v>
      </x:c>
      <x:c r="E19" s="207" t="str">
        <x:v>account, cost_center, period, accrual, inventory, AR/AP, close_status</x:v>
      </x:c>
      <x:c r="F19" s="207" t="str">
        <x:v>Profit, equity, full liquidity, ROIC</x:v>
      </x:c>
      <x:c r="G19" s="207" t="str">
        <x:v>Расчёт невозможен</x:v>
      </x:c>
      <x:c r="H19" s="207" t="str">
        <x:v>Финансы</x:v>
      </x:c>
      <x:c r="I19" s="207" t="str">
        <x:v>Cash result не является бухгалтерской/управленческой прибылью</x:v>
      </x:c>
      <x:c r="J19" s="207" t="str">
        <x:v>Не закрыто</x:v>
      </x:c>
      <x:c r="K19" s="207" t="str">
        <x:v>Выгрузка/регистр: Управленческий P&amp;L и Balance с методикой close</x:v>
      </x:c>
      <x:c r="L19" s="208" t="str">
        <x:v>Полный период, первичные ID, контрольные итоги, владелец и дата формирования</x:v>
      </x:c>
    </x:row>
    <x:row r="20">
      <x:c r="A20" s="206" t="str">
        <x:v>IG-16</x:v>
      </x:c>
      <x:c r="B20" s="207" t="str">
        <x:v>Критический</x:v>
      </x:c>
      <x:c r="C20" s="207" t="str">
        <x:v>Полный payroll accrual ledger</x:v>
      </x:c>
      <x:c r="D20" s="207" t="str">
        <x:v>HRIS/ЗУП</x:v>
      </x:c>
      <x:c r="E20" s="207" t="str">
        <x:v>employee_id, accrual_period, type, gross, deductions, tax base, registry_id</x:v>
      </x:c>
      <x:c r="F20" s="207" t="str">
        <x:v>Full labor cost, employee tax reconciliation, accrual/payment lag</x:v>
      </x:c>
      <x:c r="G20" s="207" t="str">
        <x:v>Высокая</x:v>
      </x:c>
      <x:c r="H20" s="207" t="str">
        <x:v>HR + финансы</x:v>
      </x:c>
      <x:c r="I20" s="207" t="str">
        <x:v>2024 отсутствует; 2025/2026 покрыты частично</x:v>
      </x:c>
      <x:c r="J20" s="207" t="str">
        <x:v>Не закрыто</x:v>
      </x:c>
      <x:c r="K20" s="207" t="str">
        <x:v>Выгрузка/регистр: Полный payroll accrual ledger</x:v>
      </x:c>
      <x:c r="L20" s="208" t="str">
        <x:v>Полный период, первичные ID, контрольные итоги, владелец и дата формирования</x:v>
      </x:c>
    </x:row>
    <x:row r="21">
      <x:c r="A21" s="206" t="str">
        <x:v>IG-17</x:v>
      </x:c>
      <x:c r="B21" s="207" t="str">
        <x:v>Критический</x:v>
      </x:c>
      <x:c r="C21" s="207" t="str">
        <x:v>Исторические операции ЕНС и распределение ЕНП</x:v>
      </x:c>
      <x:c r="D21" s="207" t="str">
        <x:v>ENS/ФНС</x:v>
      </x:c>
      <x:c r="E21" s="207" t="str">
        <x:v>obligation_id, allocation_id, tax_type, period, amount, payment_id, date</x:v>
      </x:c>
      <x:c r="F21" s="207" t="str">
        <x:v>Exact tax payment, arrears, overpayment, penalty</x:v>
      </x:c>
      <x:c r="G21" s="207" t="str">
        <x:v>Расчёт невозможен</x:v>
      </x:c>
      <x:c r="H21" s="207" t="str">
        <x:v>Налоги</x:v>
      </x:c>
      <x:c r="I21" s="207" t="str">
        <x:v>Банк подтверждает cash, но не allocation</x:v>
      </x:c>
      <x:c r="J21" s="207" t="str">
        <x:v>Не закрыто</x:v>
      </x:c>
      <x:c r="K21" s="207" t="str">
        <x:v>Выгрузка/регистр: Исторические операции ЕНС и распределение ЕНП</x:v>
      </x:c>
      <x:c r="L21" s="208" t="str">
        <x:v>Полный период, первичные ID, контрольные итоги, владелец и дата формирования</x:v>
      </x:c>
    </x:row>
    <x:row r="22">
      <x:c r="A22" s="206" t="str">
        <x:v>IG-18</x:v>
      </x:c>
      <x:c r="B22" s="207" t="str">
        <x:v>Критический</x:v>
      </x:c>
      <x:c r="C22" s="207" t="str">
        <x:v>Регистр налоговых обязательств и уведомлений</x:v>
      </x:c>
      <x:c r="D22" s="207" t="str">
        <x:v>Tax ledger</x:v>
      </x:c>
      <x:c r="E22" s="207" t="str">
        <x:v>notification_id, obligation_id, tax_type, period, due_date, amount, status</x:v>
      </x:c>
      <x:c r="F22" s="207" t="str">
        <x:v>Monthly tax calendar and due-date control</x:v>
      </x:c>
      <x:c r="G22" s="207" t="str">
        <x:v>Расчёт невозможен</x:v>
      </x:c>
      <x:c r="H22" s="207" t="str">
        <x:v>Налоги</x:v>
      </x:c>
      <x:c r="I22" s="207" t="str">
        <x:v>Формы дают не все месячные обязательства</x:v>
      </x:c>
      <x:c r="J22" s="207" t="str">
        <x:v>Не закрыто</x:v>
      </x:c>
      <x:c r="K22" s="207" t="str">
        <x:v>Выгрузка/регистр: Регистр налоговых обязательств и уведомлений</x:v>
      </x:c>
      <x:c r="L22" s="208" t="str">
        <x:v>Полный период, первичные ID, контрольные итоги, владелец и дата формирования</x:v>
      </x:c>
    </x:row>
    <x:row r="23">
      <x:c r="A23" s="206" t="str">
        <x:v>IG-19</x:v>
      </x:c>
      <x:c r="B23" s="207" t="str">
        <x:v>Высокий</x:v>
      </x:c>
      <x:c r="C23" s="207" t="str">
        <x:v>Помесячный НДФЛ/РСВ и employee-level tax linkage</x:v>
      </x:c>
      <x:c r="D23" s="207" t="str">
        <x:v>Payroll/Tax ledger</x:v>
      </x:c>
      <x:c r="E23" s="207" t="str">
        <x:v>employee_id, accrual_period, tax_type, base, amount, declaration_line</x:v>
      </x:c>
      <x:c r="F23" s="207" t="str">
        <x:v>Employee-level and monthly tax reconciliation</x:v>
      </x:c>
      <x:c r="G23" s="207" t="str">
        <x:v>Высокая</x:v>
      </x:c>
      <x:c r="H23" s="207" t="str">
        <x:v>HR + налоги</x:v>
      </x:c>
      <x:c r="I23" s="207" t="str">
        <x:v>Годовые формы сходятся, но детализации нет</x:v>
      </x:c>
      <x:c r="J23" s="207" t="str">
        <x:v>Не закрыто</x:v>
      </x:c>
      <x:c r="K23" s="207" t="str">
        <x:v>Выгрузка/регистр: Помесячный НДФЛ/РСВ и employee-level tax linkage</x:v>
      </x:c>
      <x:c r="L23" s="208" t="str">
        <x:v>Полный период, первичные ID, контрольные итоги, владелец и дата формирования</x:v>
      </x:c>
    </x:row>
    <x:row r="24">
      <x:c r="A24" s="206" t="str">
        <x:v>IG-20</x:v>
      </x:c>
      <x:c r="B24" s="207" t="str">
        <x:v>Высокий</x:v>
      </x:c>
      <x:c r="C24" s="207" t="str">
        <x:v>Актуальные справки ЕНС и история по ООО ДЕКОР</x:v>
      </x:c>
      <x:c r="D24" s="207" t="str">
        <x:v>ФНС/налоги</x:v>
      </x:c>
      <x:c r="E24" s="207" t="str">
        <x:v>date, balance, obligation, overpayment, enforcement</x:v>
      </x:c>
      <x:c r="F24" s="207" t="str">
        <x:v>Current tax exposure for all entities</x:v>
      </x:c>
      <x:c r="G24" s="207" t="str">
        <x:v>Высокая</x:v>
      </x:c>
      <x:c r="H24" s="207" t="str">
        <x:v>Налоги</x:v>
      </x:c>
      <x:c r="I24" s="207" t="str">
        <x:v>Текущие справки представлены только по ИП</x:v>
      </x:c>
      <x:c r="J24" s="207" t="str">
        <x:v>Не закрыто</x:v>
      </x:c>
      <x:c r="K24" s="207" t="str">
        <x:v>Выгрузка/регистр: Актуальные справки ЕНС и история по ООО ДЕКОР</x:v>
      </x:c>
      <x:c r="L24" s="208" t="str">
        <x:v>Полный период, первичные ID, контрольные итоги, владелец и дата формирования</x:v>
      </x:c>
    </x:row>
    <x:row r="25">
      <x:c r="A25" s="206" t="str">
        <x:v>IG-21</x:v>
      </x:c>
      <x:c r="B25" s="207" t="str">
        <x:v>Высокий</x:v>
      </x:c>
      <x:c r="C25" s="207" t="str">
        <x:v>Полный договорный реестр и ключевые условия</x:v>
      </x:c>
      <x:c r="D25" s="207" t="str">
        <x:v>DMS/юристы</x:v>
      </x:c>
      <x:c r="E25" s="207" t="str">
        <x:v>contract_id, counterparty, object, dates, limits, SLA, payment terms</x:v>
      </x:c>
      <x:c r="F25" s="207" t="str">
        <x:v>Contract risk, supplier/channel terms, liability</x:v>
      </x:c>
      <x:c r="G25" s="207" t="str">
        <x:v>Высокая</x:v>
      </x:c>
      <x:c r="H25" s="207" t="str">
        <x:v>Юристы</x:v>
      </x:c>
      <x:c r="I25" s="207" t="str">
        <x:v>Переданы отдельные документы, но нет реестра</x:v>
      </x:c>
      <x:c r="J25" s="207" t="str">
        <x:v>Не закрыто</x:v>
      </x:c>
      <x:c r="K25" s="207" t="str">
        <x:v>Выгрузка/регистр: Полный договорный реестр и ключевые условия</x:v>
      </x:c>
      <x:c r="L25" s="208" t="str">
        <x:v>Полный период, первичные ID, контрольные итоги, владелец и дата формирования</x:v>
      </x:c>
    </x:row>
    <x:row r="26">
      <x:c r="A26" s="206" t="str">
        <x:v>IG-22</x:v>
      </x:c>
      <x:c r="B26" s="207" t="str">
        <x:v>Критический</x:v>
      </x:c>
      <x:c r="C26" s="207" t="str">
        <x:v>RACI, лимиты и владельцы источников истины</x:v>
      </x:c>
      <x:c r="D26" s="207" t="str">
        <x:v>GRC/DMS</x:v>
      </x:c>
      <x:c r="E26" s="207" t="str">
        <x:v>object, owner, steward, approver, limit, escalation</x:v>
      </x:c>
      <x:c r="F26" s="207" t="str">
        <x:v>Sustainable close, change control and accountability</x:v>
      </x:c>
      <x:c r="G26" s="207" t="str">
        <x:v>Высокая</x:v>
      </x:c>
      <x:c r="H26" s="207" t="str">
        <x:v>Руководство</x:v>
      </x:c>
      <x:c r="I26" s="207" t="str">
        <x:v>Проектная матрица не утверждена</x:v>
      </x:c>
      <x:c r="J26" s="207" t="str">
        <x:v>Не закрыто</x:v>
      </x:c>
      <x:c r="K26" s="207" t="str">
        <x:v>Выгрузка/регистр: RACI, лимиты и владельцы источников истины</x:v>
      </x:c>
      <x:c r="L26" s="208" t="str">
        <x:v>Полный период, первичные ID, контрольные итоги, владелец и дата формирования</x:v>
      </x:c>
    </x:row>
    <x:row r="27">
      <x:c r="A27" s="206" t="str">
        <x:v>IG-23</x:v>
      </x:c>
      <x:c r="B27" s="207" t="str">
        <x:v>Высокий</x:v>
      </x:c>
      <x:c r="C27" s="207" t="str">
        <x:v>Версионный реестр документов и master data</x:v>
      </x:c>
      <x:c r="D27" s="207" t="str">
        <x:v>Data catalog/DMS</x:v>
      </x:c>
      <x:c r="E27" s="207" t="str">
        <x:v>source_file_id, version_id, valid_from/to, status, approver</x:v>
      </x:c>
      <x:c r="F27" s="207" t="str">
        <x:v>Reproducibility, rollback, audit trail</x:v>
      </x:c>
      <x:c r="G27" s="207" t="str">
        <x:v>Высокая</x:v>
      </x:c>
      <x:c r="H27" s="207" t="str">
        <x:v>Data steward</x:v>
      </x:c>
      <x:c r="I27" s="207" t="str">
        <x:v>Технический реестр создан, но не встроен в процесс</x:v>
      </x:c>
      <x:c r="J27" s="207" t="str">
        <x:v>Не закрыто</x:v>
      </x:c>
      <x:c r="K27" s="207" t="str">
        <x:v>Выгрузка/регистр: Версионный реестр документов и master data</x:v>
      </x:c>
      <x:c r="L27" s="208" t="str">
        <x:v>Полный период, первичные ID, контрольные итоги, владелец и дата формирования</x:v>
      </x:c>
    </x:row>
    <x:row r="28">
      <x:c r="A28" s="209" t="str">
        <x:v>IG-24</x:v>
      </x:c>
      <x:c r="B28" s="210" t="str">
        <x:v>Высокий</x:v>
      </x:c>
      <x:c r="C28" s="210" t="str">
        <x:v>Корпоративный словарь данных и data contracts</x:v>
      </x:c>
      <x:c r="D28" s="210" t="str">
        <x:v>Data catalog</x:v>
      </x:c>
      <x:c r="E28" s="210" t="str">
        <x:v>field, definition, format, owner, validation, refresh, sensitivity</x:v>
      </x:c>
      <x:c r="F28" s="210" t="str">
        <x:v>Stable joins and automated validation</x:v>
      </x:c>
      <x:c r="G28" s="210" t="str">
        <x:v>Высокая</x:v>
      </x:c>
      <x:c r="H28" s="210" t="str">
        <x:v>Data steward + owners</x:v>
      </x:c>
      <x:c r="I28" s="210" t="str">
        <x:v>Предварительные contracts созданы, но не утверждены</x:v>
      </x:c>
      <x:c r="J28" s="210" t="str">
        <x:v>Не закрыто</x:v>
      </x:c>
      <x:c r="K28" s="210" t="str">
        <x:v>Выгрузка/регистр: Корпоративный словарь данных и data contracts</x:v>
      </x:c>
      <x:c r="L28" s="211" t="str">
        <x:v>Полный период, первичные ID, контрольные итоги, владелец и дата формирования</x:v>
      </x:c>
    </x:row>
  </x:sheetData>
  <x:mergeCells>
    <x:mergeCell ref="A1:L1"/>
    <x:mergeCell ref="A2:L2"/>
  </x:mergeCells>
  <x:conditionalFormatting sqref="J5:J28">
    <x:cfRule type="expression" dxfId="23" priority="1">
      <x:formula>ISNUMBER(SEARCH("Подтверж",J5))</x:formula>
    </x:cfRule>
    <x:cfRule type="expression" dxfId="24" priority="2">
      <x:formula>OR(ISNUMBER(SEARCH("Част",J5)),ISNUMBER(SEARCH("оговор",J5)),ISNUMBER(SEARCH("агрегат",J5)))</x:formula>
    </x:cfRule>
    <x:cfRule type="expression" dxfId="25" priority="3">
      <x:formula>OR(ISNUMBER(SEARCH("Отсутств",J5)),ISNUMBER(SEARCH("Невозмож",J5)),ISNUMBER(SEARCH("Заблок",J5)))</x:formula>
    </x:cfRule>
  </x:conditionalFormatting>
  <x:conditionalFormatting sqref="B5:B28">
    <x:cfRule type="expression" dxfId="26" priority="4">
      <x:formula>ISNUMBER(SEARCH("Крит",B5))</x:formula>
    </x:cfRule>
    <x:cfRule type="expression" dxfId="27" priority="5">
      <x:formula>ISNUMBER(SEARCH("Выс",B5))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</x:cols>
  <x:sheetData>
    <x:row r="1" ht="28" customHeight="1">
      <x:c r="A1" s="5" t="str">
        <x:v>МАТРИЦА: ОТСУТСТВУЮЩИЕ ДАННЫЕ × ЗАЯВЛЕННЫЕ АНАЛИЗЫ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</x:row>
    <x:row r="2" ht="22" customHeight="1">
      <x:c r="A2" s="14" t="str">
        <x:v>1 означает, что отсутствие источника блокирует или существенно искажает анализ. Ноль не означает, что источник не полезен.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</x:row>
    <x:row r="4" ht="28" customHeight="1">
      <x:c r="A4" s="169" t="str">
        <x:v>gap_id</x:v>
      </x:c>
      <x:c r="B4" s="170" t="str">
        <x:v>missing</x:v>
      </x:c>
      <x:c r="C4" s="170" t="str">
        <x:v>priority</x:v>
      </x:c>
      <x:c r="D4" s="170" t="str">
        <x:v>AN-01</x:v>
      </x:c>
      <x:c r="E4" s="170" t="str">
        <x:v>AN-02</x:v>
      </x:c>
      <x:c r="F4" s="170" t="str">
        <x:v>AN-03</x:v>
      </x:c>
      <x:c r="G4" s="170" t="str">
        <x:v>AN-04</x:v>
      </x:c>
      <x:c r="H4" s="170" t="str">
        <x:v>AN-05</x:v>
      </x:c>
      <x:c r="I4" s="170" t="str">
        <x:v>AN-06</x:v>
      </x:c>
      <x:c r="J4" s="170" t="str">
        <x:v>AN-07</x:v>
      </x:c>
      <x:c r="K4" s="170" t="str">
        <x:v>AN-08</x:v>
      </x:c>
      <x:c r="L4" s="170" t="str">
        <x:v>AN-09</x:v>
      </x:c>
      <x:c r="M4" s="170" t="str">
        <x:v>AN-10</x:v>
      </x:c>
      <x:c r="N4" s="170" t="str">
        <x:v>AN-11</x:v>
      </x:c>
      <x:c r="O4" s="170" t="str">
        <x:v>AN-12</x:v>
      </x:c>
      <x:c r="P4" s="170" t="str">
        <x:v>AN-13</x:v>
      </x:c>
      <x:c r="Q4" s="170" t="str">
        <x:v>AN-14</x:v>
      </x:c>
      <x:c r="R4" s="170" t="str">
        <x:v>AN-15</x:v>
      </x:c>
      <x:c r="S4" s="170" t="str">
        <x:v>AN-16</x:v>
      </x:c>
      <x:c r="T4" s="170" t="str">
        <x:v>AN-17</x:v>
      </x:c>
      <x:c r="U4" s="170" t="str">
        <x:v>AN-18</x:v>
      </x:c>
      <x:c r="V4" s="170" t="str">
        <x:v>AN-19</x:v>
      </x:c>
      <x:c r="W4" s="170" t="str">
        <x:v>AN-20</x:v>
      </x:c>
      <x:c r="X4" s="170" t="str">
        <x:v>AN-21</x:v>
      </x:c>
      <x:c r="Y4" s="170" t="str">
        <x:v>AN-22</x:v>
      </x:c>
      <x:c r="Z4" s="170" t="str">
        <x:v>AN-23</x:v>
      </x:c>
      <x:c r="AA4" s="170" t="str">
        <x:v>AN-24</x:v>
      </x:c>
      <x:c r="AB4" s="170" t="str">
        <x:v>AN-25</x:v>
      </x:c>
      <x:c r="AC4" s="170" t="str">
        <x:v>AN-26</x:v>
      </x:c>
      <x:c r="AD4" s="170" t="str">
        <x:v>AN-27</x:v>
      </x:c>
      <x:c r="AE4" s="170" t="str">
        <x:v>AN-28</x:v>
      </x:c>
      <x:c r="AF4" s="170" t="str">
        <x:v>AN-29</x:v>
      </x:c>
      <x:c r="AG4" s="171" t="str">
        <x:v>AN-30</x:v>
      </x:c>
    </x:row>
    <x:row r="5">
      <x:c r="A5" s="203" t="str">
        <x:v>IG-01</x:v>
      </x:c>
      <x:c r="B5" s="204" t="str">
        <x:v>Официальный canonical SKU и alias history</x:v>
      </x:c>
      <x:c r="C5" s="204" t="str">
        <x:v>Критический</x:v>
      </x:c>
      <x:c r="D5" s="204" t="n">
        <x:v>0</x:v>
      </x:c>
      <x:c r="E5" s="204" t="n">
        <x:v>0</x:v>
      </x:c>
      <x:c r="F5" s="204" t="n">
        <x:v>0</x:v>
      </x:c>
      <x:c r="G5" s="204" t="n">
        <x:v>0</x:v>
      </x:c>
      <x:c r="H5" s="204" t="n">
        <x:v>0</x:v>
      </x:c>
      <x:c r="I5" s="204" t="n">
        <x:v>0</x:v>
      </x:c>
      <x:c r="J5" s="204" t="n">
        <x:v>0</x:v>
      </x:c>
      <x:c r="K5" s="204" t="n">
        <x:v>0</x:v>
      </x:c>
      <x:c r="L5" s="204" t="n">
        <x:v>0</x:v>
      </x:c>
      <x:c r="M5" s="204" t="n">
        <x:v>0</x:v>
      </x:c>
      <x:c r="N5" s="204" t="n">
        <x:v>0</x:v>
      </x:c>
      <x:c r="O5" s="204" t="n">
        <x:v>0</x:v>
      </x:c>
      <x:c r="P5" s="204" t="n">
        <x:v>0</x:v>
      </x:c>
      <x:c r="Q5" s="204" t="n">
        <x:v>0</x:v>
      </x:c>
      <x:c r="R5" s="204" t="n">
        <x:v>1</x:v>
      </x:c>
      <x:c r="S5" s="204" t="n">
        <x:v>1</x:v>
      </x:c>
      <x:c r="T5" s="204" t="n">
        <x:v>1</x:v>
      </x:c>
      <x:c r="U5" s="204" t="n">
        <x:v>0</x:v>
      </x:c>
      <x:c r="V5" s="204" t="n">
        <x:v>0</x:v>
      </x:c>
      <x:c r="W5" s="204" t="n">
        <x:v>0</x:v>
      </x:c>
      <x:c r="X5" s="204" t="n">
        <x:v>0</x:v>
      </x:c>
      <x:c r="Y5" s="204" t="n">
        <x:v>0</x:v>
      </x:c>
      <x:c r="Z5" s="204" t="n">
        <x:v>0</x:v>
      </x:c>
      <x:c r="AA5" s="204" t="n">
        <x:v>0</x:v>
      </x:c>
      <x:c r="AB5" s="204" t="n">
        <x:v>0</x:v>
      </x:c>
      <x:c r="AC5" s="204" t="n">
        <x:v>0</x:v>
      </x:c>
      <x:c r="AD5" s="204" t="n">
        <x:v>0</x:v>
      </x:c>
      <x:c r="AE5" s="204" t="n">
        <x:v>0</x:v>
      </x:c>
      <x:c r="AF5" s="204" t="n">
        <x:v>0</x:v>
      </x:c>
      <x:c r="AG5" s="205" t="n">
        <x:v>0</x:v>
      </x:c>
    </x:row>
    <x:row r="6">
      <x:c r="A6" s="206" t="str">
        <x:v>IG-02</x:v>
      </x:c>
      <x:c r="B6" s="207" t="str">
        <x:v>Остатки и движение готовой продукции</x:v>
      </x:c>
      <x:c r="C6" s="207" t="str">
        <x:v>Критический</x:v>
      </x:c>
      <x:c r="D6" s="207" t="n">
        <x:v>0</x:v>
      </x:c>
      <x:c r="E6" s="207" t="n">
        <x:v>0</x:v>
      </x:c>
      <x:c r="F6" s="207" t="n">
        <x:v>0</x:v>
      </x:c>
      <x:c r="G6" s="207" t="n">
        <x:v>0</x:v>
      </x:c>
      <x:c r="H6" s="207" t="n">
        <x:v>0</x:v>
      </x:c>
      <x:c r="I6" s="207" t="n">
        <x:v>0</x:v>
      </x:c>
      <x:c r="J6" s="207" t="n">
        <x:v>1</x:v>
      </x:c>
      <x:c r="K6" s="207" t="n">
        <x:v>1</x:v>
      </x:c>
      <x:c r="L6" s="207" t="n">
        <x:v>0</x:v>
      </x:c>
      <x:c r="M6" s="207" t="n">
        <x:v>0</x:v>
      </x:c>
      <x:c r="N6" s="207" t="n">
        <x:v>0</x:v>
      </x:c>
      <x:c r="O6" s="207" t="n">
        <x:v>0</x:v>
      </x:c>
      <x:c r="P6" s="207" t="n">
        <x:v>0</x:v>
      </x:c>
      <x:c r="Q6" s="207" t="n">
        <x:v>0</x:v>
      </x:c>
      <x:c r="R6" s="207" t="n">
        <x:v>0</x:v>
      </x:c>
      <x:c r="S6" s="207" t="n">
        <x:v>1</x:v>
      </x:c>
      <x:c r="T6" s="207" t="n">
        <x:v>0</x:v>
      </x:c>
      <x:c r="U6" s="207" t="n">
        <x:v>0</x:v>
      </x:c>
      <x:c r="V6" s="207" t="n">
        <x:v>1</x:v>
      </x:c>
      <x:c r="W6" s="207" t="n">
        <x:v>0</x:v>
      </x:c>
      <x:c r="X6" s="207" t="n">
        <x:v>0</x:v>
      </x:c>
      <x:c r="Y6" s="207" t="n">
        <x:v>0</x:v>
      </x:c>
      <x:c r="Z6" s="207" t="n">
        <x:v>0</x:v>
      </x:c>
      <x:c r="AA6" s="207" t="n">
        <x:v>0</x:v>
      </x:c>
      <x:c r="AB6" s="207" t="n">
        <x:v>0</x:v>
      </x:c>
      <x:c r="AC6" s="207" t="n">
        <x:v>0</x:v>
      </x:c>
      <x:c r="AD6" s="207" t="n">
        <x:v>0</x:v>
      </x:c>
      <x:c r="AE6" s="207" t="n">
        <x:v>1</x:v>
      </x:c>
      <x:c r="AF6" s="207" t="n">
        <x:v>0</x:v>
      </x:c>
      <x:c r="AG6" s="208" t="n">
        <x:v>0</x:v>
      </x:c>
    </x:row>
    <x:row r="7">
      <x:c r="A7" s="206" t="str">
        <x:v>IG-03</x:v>
      </x:c>
      <x:c r="B7" s="207" t="str">
        <x:v>Production order register и WIP</x:v>
      </x:c>
      <x:c r="C7" s="207" t="str">
        <x:v>Критический</x:v>
      </x:c>
      <x:c r="D7" s="207" t="n">
        <x:v>0</x:v>
      </x:c>
      <x:c r="E7" s="207" t="n">
        <x:v>0</x:v>
      </x:c>
      <x:c r="F7" s="207" t="n">
        <x:v>0</x:v>
      </x:c>
      <x:c r="G7" s="207" t="n">
        <x:v>0</x:v>
      </x:c>
      <x:c r="H7" s="207" t="n">
        <x:v>0</x:v>
      </x:c>
      <x:c r="I7" s="207" t="n">
        <x:v>0</x:v>
      </x:c>
      <x:c r="J7" s="207" t="n">
        <x:v>1</x:v>
      </x:c>
      <x:c r="K7" s="207" t="n">
        <x:v>1</x:v>
      </x:c>
      <x:c r="L7" s="207" t="n">
        <x:v>0</x:v>
      </x:c>
      <x:c r="M7" s="207" t="n">
        <x:v>0</x:v>
      </x:c>
      <x:c r="N7" s="207" t="n">
        <x:v>0</x:v>
      </x:c>
      <x:c r="O7" s="207" t="n">
        <x:v>0</x:v>
      </x:c>
      <x:c r="P7" s="207" t="n">
        <x:v>0</x:v>
      </x:c>
      <x:c r="Q7" s="207" t="n">
        <x:v>0</x:v>
      </x:c>
      <x:c r="R7" s="207" t="n">
        <x:v>0</x:v>
      </x:c>
      <x:c r="S7" s="207" t="n">
        <x:v>0</x:v>
      </x:c>
      <x:c r="T7" s="207" t="n">
        <x:v>0</x:v>
      </x:c>
      <x:c r="U7" s="207" t="n">
        <x:v>0</x:v>
      </x:c>
      <x:c r="V7" s="207" t="n">
        <x:v>0</x:v>
      </x:c>
      <x:c r="W7" s="207" t="n">
        <x:v>0</x:v>
      </x:c>
      <x:c r="X7" s="207" t="n">
        <x:v>0</x:v>
      </x:c>
      <x:c r="Y7" s="207" t="n">
        <x:v>1</x:v>
      </x:c>
      <x:c r="Z7" s="207" t="n">
        <x:v>1</x:v>
      </x:c>
      <x:c r="AA7" s="207" t="n">
        <x:v>0</x:v>
      </x:c>
      <x:c r="AB7" s="207" t="n">
        <x:v>0</x:v>
      </x:c>
      <x:c r="AC7" s="207" t="n">
        <x:v>0</x:v>
      </x:c>
      <x:c r="AD7" s="207" t="n">
        <x:v>0</x:v>
      </x:c>
      <x:c r="AE7" s="207" t="n">
        <x:v>0</x:v>
      </x:c>
      <x:c r="AF7" s="207" t="n">
        <x:v>0</x:v>
      </x:c>
      <x:c r="AG7" s="208" t="n">
        <x:v>0</x:v>
      </x:c>
    </x:row>
    <x:row r="8">
      <x:c r="A8" s="206" t="str">
        <x:v>IG-04</x:v>
      </x:c>
      <x:c r="B8" s="207" t="str">
        <x:v>Утверждённые версии фактической себестоимости</x:v>
      </x:c>
      <x:c r="C8" s="207" t="str">
        <x:v>Критический</x:v>
      </x:c>
      <x:c r="D8" s="207" t="n">
        <x:v>0</x:v>
      </x:c>
      <x:c r="E8" s="207" t="n">
        <x:v>0</x:v>
      </x:c>
      <x:c r="F8" s="207" t="n">
        <x:v>0</x:v>
      </x:c>
      <x:c r="G8" s="207" t="n">
        <x:v>0</x:v>
      </x:c>
      <x:c r="H8" s="207" t="n">
        <x:v>0</x:v>
      </x:c>
      <x:c r="I8" s="207" t="n">
        <x:v>0</x:v>
      </x:c>
      <x:c r="J8" s="207" t="n">
        <x:v>0</x:v>
      </x:c>
      <x:c r="K8" s="207" t="n">
        <x:v>0</x:v>
      </x:c>
      <x:c r="L8" s="207" t="n">
        <x:v>0</x:v>
      </x:c>
      <x:c r="M8" s="207" t="n">
        <x:v>0</x:v>
      </x:c>
      <x:c r="N8" s="207" t="n">
        <x:v>0</x:v>
      </x:c>
      <x:c r="O8" s="207" t="n">
        <x:v>0</x:v>
      </x:c>
      <x:c r="P8" s="207" t="n">
        <x:v>0</x:v>
      </x:c>
      <x:c r="Q8" s="207" t="n">
        <x:v>0</x:v>
      </x:c>
      <x:c r="R8" s="207" t="n">
        <x:v>0</x:v>
      </x:c>
      <x:c r="S8" s="207" t="n">
        <x:v>1</x:v>
      </x:c>
      <x:c r="T8" s="207" t="n">
        <x:v>1</x:v>
      </x:c>
      <x:c r="U8" s="207" t="n">
        <x:v>0</x:v>
      </x:c>
      <x:c r="V8" s="207" t="n">
        <x:v>1</x:v>
      </x:c>
      <x:c r="W8" s="207" t="n">
        <x:v>0</x:v>
      </x:c>
      <x:c r="X8" s="207" t="n">
        <x:v>0</x:v>
      </x:c>
      <x:c r="Y8" s="207" t="n">
        <x:v>0</x:v>
      </x:c>
      <x:c r="Z8" s="207" t="n">
        <x:v>0</x:v>
      </x:c>
      <x:c r="AA8" s="207" t="n">
        <x:v>0</x:v>
      </x:c>
      <x:c r="AB8" s="207" t="n">
        <x:v>0</x:v>
      </x:c>
      <x:c r="AC8" s="207" t="n">
        <x:v>0</x:v>
      </x:c>
      <x:c r="AD8" s="207" t="n">
        <x:v>0</x:v>
      </x:c>
      <x:c r="AE8" s="207" t="n">
        <x:v>0</x:v>
      </x:c>
      <x:c r="AF8" s="207" t="n">
        <x:v>0</x:v>
      </x:c>
      <x:c r="AG8" s="208" t="n">
        <x:v>0</x:v>
      </x:c>
    </x:row>
    <x:row r="9">
      <x:c r="A9" s="206" t="str">
        <x:v>IG-05</x:v>
      </x:c>
      <x:c r="B9" s="207" t="str">
        <x:v>История движения материалов и партии</x:v>
      </x:c>
      <x:c r="C9" s="207" t="str">
        <x:v>Критический</x:v>
      </x:c>
      <x:c r="D9" s="207" t="n">
        <x:v>0</x:v>
      </x:c>
      <x:c r="E9" s="207" t="n">
        <x:v>0</x:v>
      </x:c>
      <x:c r="F9" s="207" t="n">
        <x:v>0</x:v>
      </x:c>
      <x:c r="G9" s="207" t="n">
        <x:v>0</x:v>
      </x:c>
      <x:c r="H9" s="207" t="n">
        <x:v>0</x:v>
      </x:c>
      <x:c r="I9" s="207" t="n">
        <x:v>0</x:v>
      </x:c>
      <x:c r="J9" s="207" t="n">
        <x:v>0</x:v>
      </x:c>
      <x:c r="K9" s="207" t="n">
        <x:v>0</x:v>
      </x:c>
      <x:c r="L9" s="207" t="n">
        <x:v>0</x:v>
      </x:c>
      <x:c r="M9" s="207" t="n">
        <x:v>0</x:v>
      </x:c>
      <x:c r="N9" s="207" t="n">
        <x:v>0</x:v>
      </x:c>
      <x:c r="O9" s="207" t="n">
        <x:v>0</x:v>
      </x:c>
      <x:c r="P9" s="207" t="n">
        <x:v>0</x:v>
      </x:c>
      <x:c r="Q9" s="207" t="n">
        <x:v>0</x:v>
      </x:c>
      <x:c r="R9" s="207" t="n">
        <x:v>0</x:v>
      </x:c>
      <x:c r="S9" s="207" t="n">
        <x:v>0</x:v>
      </x:c>
      <x:c r="T9" s="207" t="n">
        <x:v>0</x:v>
      </x:c>
      <x:c r="U9" s="207" t="n">
        <x:v>0</x:v>
      </x:c>
      <x:c r="V9" s="207" t="n">
        <x:v>0</x:v>
      </x:c>
      <x:c r="W9" s="207" t="n">
        <x:v>1</x:v>
      </x:c>
      <x:c r="X9" s="207" t="n">
        <x:v>1</x:v>
      </x:c>
      <x:c r="Y9" s="207" t="n">
        <x:v>1</x:v>
      </x:c>
      <x:c r="Z9" s="207" t="n">
        <x:v>0</x:v>
      </x:c>
      <x:c r="AA9" s="207" t="n">
        <x:v>0</x:v>
      </x:c>
      <x:c r="AB9" s="207" t="n">
        <x:v>0</x:v>
      </x:c>
      <x:c r="AC9" s="207" t="n">
        <x:v>0</x:v>
      </x:c>
      <x:c r="AD9" s="207" t="n">
        <x:v>0</x:v>
      </x:c>
      <x:c r="AE9" s="207" t="n">
        <x:v>1</x:v>
      </x:c>
      <x:c r="AF9" s="207" t="n">
        <x:v>0</x:v>
      </x:c>
      <x:c r="AG9" s="208" t="n">
        <x:v>0</x:v>
      </x:c>
    </x:row>
    <x:row r="10">
      <x:c r="A10" s="206" t="str">
        <x:v>IG-06</x:v>
      </x:c>
      <x:c r="B10" s="207" t="str">
        <x:v>Версионный BOM и нормы</x:v>
      </x:c>
      <x:c r="C10" s="207" t="str">
        <x:v>Критический</x:v>
      </x:c>
      <x:c r="D10" s="207" t="n">
        <x:v>0</x:v>
      </x:c>
      <x:c r="E10" s="207" t="n">
        <x:v>0</x:v>
      </x:c>
      <x:c r="F10" s="207" t="n">
        <x:v>0</x:v>
      </x:c>
      <x:c r="G10" s="207" t="n">
        <x:v>0</x:v>
      </x:c>
      <x:c r="H10" s="207" t="n">
        <x:v>0</x:v>
      </x:c>
      <x:c r="I10" s="207" t="n">
        <x:v>0</x:v>
      </x:c>
      <x:c r="J10" s="207" t="n">
        <x:v>0</x:v>
      </x:c>
      <x:c r="K10" s="207" t="n">
        <x:v>0</x:v>
      </x:c>
      <x:c r="L10" s="207" t="n">
        <x:v>0</x:v>
      </x:c>
      <x:c r="M10" s="207" t="n">
        <x:v>0</x:v>
      </x:c>
      <x:c r="N10" s="207" t="n">
        <x:v>0</x:v>
      </x:c>
      <x:c r="O10" s="207" t="n">
        <x:v>0</x:v>
      </x:c>
      <x:c r="P10" s="207" t="n">
        <x:v>0</x:v>
      </x:c>
      <x:c r="Q10" s="207" t="n">
        <x:v>0</x:v>
      </x:c>
      <x:c r="R10" s="207" t="n">
        <x:v>0</x:v>
      </x:c>
      <x:c r="S10" s="207" t="n">
        <x:v>0</x:v>
      </x:c>
      <x:c r="T10" s="207" t="n">
        <x:v>0</x:v>
      </x:c>
      <x:c r="U10" s="207" t="n">
        <x:v>0</x:v>
      </x:c>
      <x:c r="V10" s="207" t="n">
        <x:v>0</x:v>
      </x:c>
      <x:c r="W10" s="207" t="n">
        <x:v>0</x:v>
      </x:c>
      <x:c r="X10" s="207" t="n">
        <x:v>1</x:v>
      </x:c>
      <x:c r="Y10" s="207" t="n">
        <x:v>0</x:v>
      </x:c>
      <x:c r="Z10" s="207" t="n">
        <x:v>0</x:v>
      </x:c>
      <x:c r="AA10" s="207" t="n">
        <x:v>0</x:v>
      </x:c>
      <x:c r="AB10" s="207" t="n">
        <x:v>0</x:v>
      </x:c>
      <x:c r="AC10" s="207" t="n">
        <x:v>0</x:v>
      </x:c>
      <x:c r="AD10" s="207" t="n">
        <x:v>0</x:v>
      </x:c>
      <x:c r="AE10" s="207" t="n">
        <x:v>0</x:v>
      </x:c>
      <x:c r="AF10" s="207" t="n">
        <x:v>0</x:v>
      </x:c>
      <x:c r="AG10" s="208" t="n">
        <x:v>0</x:v>
      </x:c>
    </x:row>
    <x:row r="11">
      <x:c r="A11" s="206" t="str">
        <x:v>IG-07</x:v>
      </x:c>
      <x:c r="B11" s="207" t="str">
        <x:v>Детальные продажи всех каналов</x:v>
      </x:c>
      <x:c r="C11" s="207" t="str">
        <x:v>Высокий</x:v>
      </x:c>
      <x:c r="D11" s="207" t="n">
        <x:v>0</x:v>
      </x:c>
      <x:c r="E11" s="207" t="n">
        <x:v>0</x:v>
      </x:c>
      <x:c r="F11" s="207" t="n">
        <x:v>0</x:v>
      </x:c>
      <x:c r="G11" s="207" t="n">
        <x:v>0</x:v>
      </x:c>
      <x:c r="H11" s="207" t="n">
        <x:v>0</x:v>
      </x:c>
      <x:c r="I11" s="207" t="n">
        <x:v>0</x:v>
      </x:c>
      <x:c r="J11" s="207" t="n">
        <x:v>0</x:v>
      </x:c>
      <x:c r="K11" s="207" t="n">
        <x:v>0</x:v>
      </x:c>
      <x:c r="L11" s="207" t="n">
        <x:v>0</x:v>
      </x:c>
      <x:c r="M11" s="207" t="n">
        <x:v>0</x:v>
      </x:c>
      <x:c r="N11" s="207" t="n">
        <x:v>0</x:v>
      </x:c>
      <x:c r="O11" s="207" t="n">
        <x:v>0</x:v>
      </x:c>
      <x:c r="P11" s="207" t="n">
        <x:v>0</x:v>
      </x:c>
      <x:c r="Q11" s="207" t="n">
        <x:v>0</x:v>
      </x:c>
      <x:c r="R11" s="207" t="n">
        <x:v>0</x:v>
      </x:c>
      <x:c r="S11" s="207" t="n">
        <x:v>0</x:v>
      </x:c>
      <x:c r="T11" s="207" t="n">
        <x:v>1</x:v>
      </x:c>
      <x:c r="U11" s="207" t="n">
        <x:v>1</x:v>
      </x:c>
      <x:c r="V11" s="207" t="n">
        <x:v>0</x:v>
      </x:c>
      <x:c r="W11" s="207" t="n">
        <x:v>0</x:v>
      </x:c>
      <x:c r="X11" s="207" t="n">
        <x:v>0</x:v>
      </x:c>
      <x:c r="Y11" s="207" t="n">
        <x:v>0</x:v>
      </x:c>
      <x:c r="Z11" s="207" t="n">
        <x:v>0</x:v>
      </x:c>
      <x:c r="AA11" s="207" t="n">
        <x:v>0</x:v>
      </x:c>
      <x:c r="AB11" s="207" t="n">
        <x:v>0</x:v>
      </x:c>
      <x:c r="AC11" s="207" t="n">
        <x:v>0</x:v>
      </x:c>
      <x:c r="AD11" s="207" t="n">
        <x:v>1</x:v>
      </x:c>
      <x:c r="AE11" s="207" t="n">
        <x:v>0</x:v>
      </x:c>
      <x:c r="AF11" s="207" t="n">
        <x:v>0</x:v>
      </x:c>
      <x:c r="AG11" s="208" t="n">
        <x:v>0</x:v>
      </x:c>
    </x:row>
    <x:row r="12">
      <x:c r="A12" s="206" t="str">
        <x:v>IG-08</x:v>
      </x:c>
      <x:c r="B12" s="207" t="str">
        <x:v>Полный procurement cycle</x:v>
      </x:c>
      <x:c r="C12" s="207" t="str">
        <x:v>Высокий</x:v>
      </x:c>
      <x:c r="D12" s="207" t="n">
        <x:v>0</x:v>
      </x:c>
      <x:c r="E12" s="207" t="n">
        <x:v>0</x:v>
      </x:c>
      <x:c r="F12" s="207" t="n">
        <x:v>0</x:v>
      </x:c>
      <x:c r="G12" s="207" t="n">
        <x:v>0</x:v>
      </x:c>
      <x:c r="H12" s="207" t="n">
        <x:v>0</x:v>
      </x:c>
      <x:c r="I12" s="207" t="n">
        <x:v>0</x:v>
      </x:c>
      <x:c r="J12" s="207" t="n">
        <x:v>0</x:v>
      </x:c>
      <x:c r="K12" s="207" t="n">
        <x:v>0</x:v>
      </x:c>
      <x:c r="L12" s="207" t="n">
        <x:v>0</x:v>
      </x:c>
      <x:c r="M12" s="207" t="n">
        <x:v>0</x:v>
      </x:c>
      <x:c r="N12" s="207" t="n">
        <x:v>0</x:v>
      </x:c>
      <x:c r="O12" s="207" t="n">
        <x:v>0</x:v>
      </x:c>
      <x:c r="P12" s="207" t="n">
        <x:v>0</x:v>
      </x:c>
      <x:c r="Q12" s="207" t="n">
        <x:v>0</x:v>
      </x:c>
      <x:c r="R12" s="207" t="n">
        <x:v>0</x:v>
      </x:c>
      <x:c r="S12" s="207" t="n">
        <x:v>0</x:v>
      </x:c>
      <x:c r="T12" s="207" t="n">
        <x:v>0</x:v>
      </x:c>
      <x:c r="U12" s="207" t="n">
        <x:v>0</x:v>
      </x:c>
      <x:c r="V12" s="207" t="n">
        <x:v>0</x:v>
      </x:c>
      <x:c r="W12" s="207" t="n">
        <x:v>0</x:v>
      </x:c>
      <x:c r="X12" s="207" t="n">
        <x:v>0</x:v>
      </x:c>
      <x:c r="Y12" s="207" t="n">
        <x:v>0</x:v>
      </x:c>
      <x:c r="Z12" s="207" t="n">
        <x:v>0</x:v>
      </x:c>
      <x:c r="AA12" s="207" t="n">
        <x:v>0</x:v>
      </x:c>
      <x:c r="AB12" s="207" t="n">
        <x:v>1</x:v>
      </x:c>
      <x:c r="AC12" s="207" t="n">
        <x:v>1</x:v>
      </x:c>
      <x:c r="AD12" s="207" t="n">
        <x:v>0</x:v>
      </x:c>
      <x:c r="AE12" s="207" t="n">
        <x:v>1</x:v>
      </x:c>
      <x:c r="AF12" s="207" t="n">
        <x:v>0</x:v>
      </x:c>
      <x:c r="AG12" s="208" t="n">
        <x:v>0</x:v>
      </x:c>
    </x:row>
    <x:row r="13">
      <x:c r="A13" s="206" t="str">
        <x:v>IG-09</x:v>
      </x:c>
      <x:c r="B13" s="207" t="str">
        <x:v>Settlement и взаиморасчёты на уровне строк</x:v>
      </x:c>
      <x:c r="C13" s="207" t="str">
        <x:v>Высокий</x:v>
      </x:c>
      <x:c r="D13" s="207" t="n">
        <x:v>0</x:v>
      </x:c>
      <x:c r="E13" s="207" t="n">
        <x:v>0</x:v>
      </x:c>
      <x:c r="F13" s="207" t="n">
        <x:v>0</x:v>
      </x:c>
      <x:c r="G13" s="207" t="n">
        <x:v>0</x:v>
      </x:c>
      <x:c r="H13" s="207" t="n">
        <x:v>0</x:v>
      </x:c>
      <x:c r="I13" s="207" t="n">
        <x:v>0</x:v>
      </x:c>
      <x:c r="J13" s="207" t="n">
        <x:v>0</x:v>
      </x:c>
      <x:c r="K13" s="207" t="n">
        <x:v>0</x:v>
      </x:c>
      <x:c r="L13" s="207" t="n">
        <x:v>0</x:v>
      </x:c>
      <x:c r="M13" s="207" t="n">
        <x:v>0</x:v>
      </x:c>
      <x:c r="N13" s="207" t="n">
        <x:v>0</x:v>
      </x:c>
      <x:c r="O13" s="207" t="n">
        <x:v>0</x:v>
      </x:c>
      <x:c r="P13" s="207" t="n">
        <x:v>0</x:v>
      </x:c>
      <x:c r="Q13" s="207" t="n">
        <x:v>0</x:v>
      </x:c>
      <x:c r="R13" s="207" t="n">
        <x:v>0</x:v>
      </x:c>
      <x:c r="S13" s="207" t="n">
        <x:v>0</x:v>
      </x:c>
      <x:c r="T13" s="207" t="n">
        <x:v>0</x:v>
      </x:c>
      <x:c r="U13" s="207" t="n">
        <x:v>1</x:v>
      </x:c>
      <x:c r="V13" s="207" t="n">
        <x:v>0</x:v>
      </x:c>
      <x:c r="W13" s="207" t="n">
        <x:v>0</x:v>
      </x:c>
      <x:c r="X13" s="207" t="n">
        <x:v>0</x:v>
      </x:c>
      <x:c r="Y13" s="207" t="n">
        <x:v>0</x:v>
      </x:c>
      <x:c r="Z13" s="207" t="n">
        <x:v>0</x:v>
      </x:c>
      <x:c r="AA13" s="207" t="n">
        <x:v>0</x:v>
      </x:c>
      <x:c r="AB13" s="207" t="n">
        <x:v>0</x:v>
      </x:c>
      <x:c r="AC13" s="207" t="n">
        <x:v>1</x:v>
      </x:c>
      <x:c r="AD13" s="207" t="n">
        <x:v>1</x:v>
      </x:c>
      <x:c r="AE13" s="207" t="n">
        <x:v>0</x:v>
      </x:c>
      <x:c r="AF13" s="207" t="n">
        <x:v>0</x:v>
      </x:c>
      <x:c r="AG13" s="208" t="n">
        <x:v>0</x:v>
      </x:c>
    </x:row>
    <x:row r="14">
      <x:c r="A14" s="206" t="str">
        <x:v>IG-10</x:v>
      </x:c>
      <x:c r="B14" s="207" t="str">
        <x:v>Операции, фактические часы, брак и переделка</x:v>
      </x:c>
      <x:c r="C14" s="207" t="str">
        <x:v>Высокий</x:v>
      </x:c>
      <x:c r="D14" s="207" t="n">
        <x:v>0</x:v>
      </x:c>
      <x:c r="E14" s="207" t="n">
        <x:v>0</x:v>
      </x:c>
      <x:c r="F14" s="207" t="n">
        <x:v>0</x:v>
      </x:c>
      <x:c r="G14" s="207" t="n">
        <x:v>0</x:v>
      </x:c>
      <x:c r="H14" s="207" t="n">
        <x:v>0</x:v>
      </x:c>
      <x:c r="I14" s="207" t="n">
        <x:v>0</x:v>
      </x:c>
      <x:c r="J14" s="207" t="n">
        <x:v>0</x:v>
      </x:c>
      <x:c r="K14" s="207" t="n">
        <x:v>0</x:v>
      </x:c>
      <x:c r="L14" s="207" t="n">
        <x:v>0</x:v>
      </x:c>
      <x:c r="M14" s="207" t="n">
        <x:v>0</x:v>
      </x:c>
      <x:c r="N14" s="207" t="n">
        <x:v>0</x:v>
      </x:c>
      <x:c r="O14" s="207" t="n">
        <x:v>0</x:v>
      </x:c>
      <x:c r="P14" s="207" t="n">
        <x:v>0</x:v>
      </x:c>
      <x:c r="Q14" s="207" t="n">
        <x:v>0</x:v>
      </x:c>
      <x:c r="R14" s="207" t="n">
        <x:v>0</x:v>
      </x:c>
      <x:c r="S14" s="207" t="n">
        <x:v>0</x:v>
      </x:c>
      <x:c r="T14" s="207" t="n">
        <x:v>0</x:v>
      </x:c>
      <x:c r="U14" s="207" t="n">
        <x:v>0</x:v>
      </x:c>
      <x:c r="V14" s="207" t="n">
        <x:v>0</x:v>
      </x:c>
      <x:c r="W14" s="207" t="n">
        <x:v>0</x:v>
      </x:c>
      <x:c r="X14" s="207" t="n">
        <x:v>0</x:v>
      </x:c>
      <x:c r="Y14" s="207" t="n">
        <x:v>1</x:v>
      </x:c>
      <x:c r="Z14" s="207" t="n">
        <x:v>1</x:v>
      </x:c>
      <x:c r="AA14" s="207" t="n">
        <x:v>1</x:v>
      </x:c>
      <x:c r="AB14" s="207" t="n">
        <x:v>0</x:v>
      </x:c>
      <x:c r="AC14" s="207" t="n">
        <x:v>0</x:v>
      </x:c>
      <x:c r="AD14" s="207" t="n">
        <x:v>0</x:v>
      </x:c>
      <x:c r="AE14" s="207" t="n">
        <x:v>0</x:v>
      </x:c>
      <x:c r="AF14" s="207" t="n">
        <x:v>0</x:v>
      </x:c>
      <x:c r="AG14" s="208" t="n">
        <x:v>0</x:v>
      </x:c>
    </x:row>
    <x:row r="15">
      <x:c r="A15" s="206" t="str">
        <x:v>IG-11</x:v>
      </x:c>
      <x:c r="B15" s="207" t="str">
        <x:v>Полный банковский периметр</x:v>
      </x:c>
      <x:c r="C15" s="207" t="str">
        <x:v>Критический</x:v>
      </x:c>
      <x:c r="D15" s="207" t="n">
        <x:v>0</x:v>
      </x:c>
      <x:c r="E15" s="207" t="n">
        <x:v>1</x:v>
      </x:c>
      <x:c r="F15" s="207" t="n">
        <x:v>0</x:v>
      </x:c>
      <x:c r="G15" s="207" t="n">
        <x:v>0</x:v>
      </x:c>
      <x:c r="H15" s="207" t="n">
        <x:v>0</x:v>
      </x:c>
      <x:c r="I15" s="207" t="n">
        <x:v>1</x:v>
      </x:c>
      <x:c r="J15" s="207" t="n">
        <x:v>0</x:v>
      </x:c>
      <x:c r="K15" s="207" t="n">
        <x:v>0</x:v>
      </x:c>
      <x:c r="L15" s="207" t="n">
        <x:v>0</x:v>
      </x:c>
      <x:c r="M15" s="207" t="n">
        <x:v>0</x:v>
      </x:c>
      <x:c r="N15" s="207" t="n">
        <x:v>0</x:v>
      </x:c>
      <x:c r="O15" s="207" t="n">
        <x:v>0</x:v>
      </x:c>
      <x:c r="P15" s="207" t="n">
        <x:v>0</x:v>
      </x:c>
      <x:c r="Q15" s="207" t="n">
        <x:v>0</x:v>
      </x:c>
      <x:c r="R15" s="207" t="n">
        <x:v>0</x:v>
      </x:c>
      <x:c r="S15" s="207" t="n">
        <x:v>0</x:v>
      </x:c>
      <x:c r="T15" s="207" t="n">
        <x:v>0</x:v>
      </x:c>
      <x:c r="U15" s="207" t="n">
        <x:v>0</x:v>
      </x:c>
      <x:c r="V15" s="207" t="n">
        <x:v>0</x:v>
      </x:c>
      <x:c r="W15" s="207" t="n">
        <x:v>0</x:v>
      </x:c>
      <x:c r="X15" s="207" t="n">
        <x:v>0</x:v>
      </x:c>
      <x:c r="Y15" s="207" t="n">
        <x:v>0</x:v>
      </x:c>
      <x:c r="Z15" s="207" t="n">
        <x:v>0</x:v>
      </x:c>
      <x:c r="AA15" s="207" t="n">
        <x:v>0</x:v>
      </x:c>
      <x:c r="AB15" s="207" t="n">
        <x:v>0</x:v>
      </x:c>
      <x:c r="AC15" s="207" t="n">
        <x:v>0</x:v>
      </x:c>
      <x:c r="AD15" s="207" t="n">
        <x:v>0</x:v>
      </x:c>
      <x:c r="AE15" s="207" t="n">
        <x:v>0</x:v>
      </x:c>
      <x:c r="AF15" s="207" t="n">
        <x:v>0</x:v>
      </x:c>
      <x:c r="AG15" s="208" t="n">
        <x:v>0</x:v>
      </x:c>
    </x:row>
    <x:row r="16">
      <x:c r="A16" s="206" t="str">
        <x:v>IG-12</x:v>
      </x:c>
      <x:c r="B16" s="207" t="str">
        <x:v>Касса, карты и подотчёт с движениями</x:v>
      </x:c>
      <x:c r="C16" s="207" t="str">
        <x:v>Критический</x:v>
      </x:c>
      <x:c r="D16" s="207" t="n">
        <x:v>0</x:v>
      </x:c>
      <x:c r="E16" s="207" t="n">
        <x:v>0</x:v>
      </x:c>
      <x:c r="F16" s="207" t="n">
        <x:v>1</x:v>
      </x:c>
      <x:c r="G16" s="207" t="n">
        <x:v>1</x:v>
      </x:c>
      <x:c r="H16" s="207" t="n">
        <x:v>0</x:v>
      </x:c>
      <x:c r="I16" s="207" t="n">
        <x:v>0</x:v>
      </x:c>
      <x:c r="J16" s="207" t="n">
        <x:v>0</x:v>
      </x:c>
      <x:c r="K16" s="207" t="n">
        <x:v>0</x:v>
      </x:c>
      <x:c r="L16" s="207" t="n">
        <x:v>0</x:v>
      </x:c>
      <x:c r="M16" s="207" t="n">
        <x:v>0</x:v>
      </x:c>
      <x:c r="N16" s="207" t="n">
        <x:v>0</x:v>
      </x:c>
      <x:c r="O16" s="207" t="n">
        <x:v>0</x:v>
      </x:c>
      <x:c r="P16" s="207" t="n">
        <x:v>0</x:v>
      </x:c>
      <x:c r="Q16" s="207" t="n">
        <x:v>0</x:v>
      </x:c>
      <x:c r="R16" s="207" t="n">
        <x:v>0</x:v>
      </x:c>
      <x:c r="S16" s="207" t="n">
        <x:v>0</x:v>
      </x:c>
      <x:c r="T16" s="207" t="n">
        <x:v>0</x:v>
      </x:c>
      <x:c r="U16" s="207" t="n">
        <x:v>0</x:v>
      </x:c>
      <x:c r="V16" s="207" t="n">
        <x:v>0</x:v>
      </x:c>
      <x:c r="W16" s="207" t="n">
        <x:v>0</x:v>
      </x:c>
      <x:c r="X16" s="207" t="n">
        <x:v>0</x:v>
      </x:c>
      <x:c r="Y16" s="207" t="n">
        <x:v>0</x:v>
      </x:c>
      <x:c r="Z16" s="207" t="n">
        <x:v>0</x:v>
      </x:c>
      <x:c r="AA16" s="207" t="n">
        <x:v>0</x:v>
      </x:c>
      <x:c r="AB16" s="207" t="n">
        <x:v>0</x:v>
      </x:c>
      <x:c r="AC16" s="207" t="n">
        <x:v>0</x:v>
      </x:c>
      <x:c r="AD16" s="207" t="n">
        <x:v>0</x:v>
      </x:c>
      <x:c r="AE16" s="207" t="n">
        <x:v>0</x:v>
      </x:c>
      <x:c r="AF16" s="207" t="n">
        <x:v>0</x:v>
      </x:c>
      <x:c r="AG16" s="208" t="n">
        <x:v>0</x:v>
      </x:c>
    </x:row>
    <x:row r="17">
      <x:c r="A17" s="206" t="str">
        <x:v>IG-13</x:v>
      </x:c>
      <x:c r="B17" s="207" t="str">
        <x:v>Журнал корректировок и подтверждённые opening balances</x:v>
      </x:c>
      <x:c r="C17" s="207" t="str">
        <x:v>Высокий</x:v>
      </x:c>
      <x:c r="D17" s="207" t="n">
        <x:v>0</x:v>
      </x:c>
      <x:c r="E17" s="207" t="n">
        <x:v>0</x:v>
      </x:c>
      <x:c r="F17" s="207" t="n">
        <x:v>1</x:v>
      </x:c>
      <x:c r="G17" s="207" t="n">
        <x:v>0</x:v>
      </x:c>
      <x:c r="H17" s="207" t="n">
        <x:v>0</x:v>
      </x:c>
      <x:c r="I17" s="207" t="n">
        <x:v>0</x:v>
      </x:c>
      <x:c r="J17" s="207" t="n">
        <x:v>0</x:v>
      </x:c>
      <x:c r="K17" s="207" t="n">
        <x:v>0</x:v>
      </x:c>
      <x:c r="L17" s="207" t="n">
        <x:v>0</x:v>
      </x:c>
      <x:c r="M17" s="207" t="n">
        <x:v>0</x:v>
      </x:c>
      <x:c r="N17" s="207" t="n">
        <x:v>0</x:v>
      </x:c>
      <x:c r="O17" s="207" t="n">
        <x:v>0</x:v>
      </x:c>
      <x:c r="P17" s="207" t="n">
        <x:v>0</x:v>
      </x:c>
      <x:c r="Q17" s="207" t="n">
        <x:v>0</x:v>
      </x:c>
      <x:c r="R17" s="207" t="n">
        <x:v>0</x:v>
      </x:c>
      <x:c r="S17" s="207" t="n">
        <x:v>0</x:v>
      </x:c>
      <x:c r="T17" s="207" t="n">
        <x:v>0</x:v>
      </x:c>
      <x:c r="U17" s="207" t="n">
        <x:v>0</x:v>
      </x:c>
      <x:c r="V17" s="207" t="n">
        <x:v>0</x:v>
      </x:c>
      <x:c r="W17" s="207" t="n">
        <x:v>0</x:v>
      </x:c>
      <x:c r="X17" s="207" t="n">
        <x:v>0</x:v>
      </x:c>
      <x:c r="Y17" s="207" t="n">
        <x:v>0</x:v>
      </x:c>
      <x:c r="Z17" s="207" t="n">
        <x:v>0</x:v>
      </x:c>
      <x:c r="AA17" s="207" t="n">
        <x:v>0</x:v>
      </x:c>
      <x:c r="AB17" s="207" t="n">
        <x:v>0</x:v>
      </x:c>
      <x:c r="AC17" s="207" t="n">
        <x:v>0</x:v>
      </x:c>
      <x:c r="AD17" s="207" t="n">
        <x:v>0</x:v>
      </x:c>
      <x:c r="AE17" s="207" t="n">
        <x:v>0</x:v>
      </x:c>
      <x:c r="AF17" s="207" t="n">
        <x:v>0</x:v>
      </x:c>
      <x:c r="AG17" s="208" t="n">
        <x:v>0</x:v>
      </x:c>
    </x:row>
    <x:row r="18">
      <x:c r="A18" s="206" t="str">
        <x:v>IG-14</x:v>
      </x:c>
      <x:c r="B18" s="207" t="str">
        <x:v>Дебиторская и кредиторская задолженность</x:v>
      </x:c>
      <x:c r="C18" s="207" t="str">
        <x:v>Критический</x:v>
      </x:c>
      <x:c r="D18" s="207" t="n">
        <x:v>0</x:v>
      </x:c>
      <x:c r="E18" s="207" t="n">
        <x:v>0</x:v>
      </x:c>
      <x:c r="F18" s="207" t="n">
        <x:v>0</x:v>
      </x:c>
      <x:c r="G18" s="207" t="n">
        <x:v>0</x:v>
      </x:c>
      <x:c r="H18" s="207" t="n">
        <x:v>0</x:v>
      </x:c>
      <x:c r="I18" s="207" t="n">
        <x:v>1</x:v>
      </x:c>
      <x:c r="J18" s="207" t="n">
        <x:v>1</x:v>
      </x:c>
      <x:c r="K18" s="207" t="n">
        <x:v>1</x:v>
      </x:c>
      <x:c r="L18" s="207" t="n">
        <x:v>0</x:v>
      </x:c>
      <x:c r="M18" s="207" t="n">
        <x:v>0</x:v>
      </x:c>
      <x:c r="N18" s="207" t="n">
        <x:v>0</x:v>
      </x:c>
      <x:c r="O18" s="207" t="n">
        <x:v>0</x:v>
      </x:c>
      <x:c r="P18" s="207" t="n">
        <x:v>0</x:v>
      </x:c>
      <x:c r="Q18" s="207" t="n">
        <x:v>0</x:v>
      </x:c>
      <x:c r="R18" s="207" t="n">
        <x:v>0</x:v>
      </x:c>
      <x:c r="S18" s="207" t="n">
        <x:v>0</x:v>
      </x:c>
      <x:c r="T18" s="207" t="n">
        <x:v>0</x:v>
      </x:c>
      <x:c r="U18" s="207" t="n">
        <x:v>0</x:v>
      </x:c>
      <x:c r="V18" s="207" t="n">
        <x:v>0</x:v>
      </x:c>
      <x:c r="W18" s="207" t="n">
        <x:v>0</x:v>
      </x:c>
      <x:c r="X18" s="207" t="n">
        <x:v>0</x:v>
      </x:c>
      <x:c r="Y18" s="207" t="n">
        <x:v>0</x:v>
      </x:c>
      <x:c r="Z18" s="207" t="n">
        <x:v>0</x:v>
      </x:c>
      <x:c r="AA18" s="207" t="n">
        <x:v>0</x:v>
      </x:c>
      <x:c r="AB18" s="207" t="n">
        <x:v>0</x:v>
      </x:c>
      <x:c r="AC18" s="207" t="n">
        <x:v>0</x:v>
      </x:c>
      <x:c r="AD18" s="207" t="n">
        <x:v>0</x:v>
      </x:c>
      <x:c r="AE18" s="207" t="n">
        <x:v>1</x:v>
      </x:c>
      <x:c r="AF18" s="207" t="n">
        <x:v>0</x:v>
      </x:c>
      <x:c r="AG18" s="208" t="n">
        <x:v>0</x:v>
      </x:c>
    </x:row>
    <x:row r="19">
      <x:c r="A19" s="206" t="str">
        <x:v>IG-15</x:v>
      </x:c>
      <x:c r="B19" s="207" t="str">
        <x:v>Управленческий P&amp;L и Balance с методикой close</x:v>
      </x:c>
      <x:c r="C19" s="207" t="str">
        <x:v>Критический</x:v>
      </x:c>
      <x:c r="D19" s="207" t="n">
        <x:v>0</x:v>
      </x:c>
      <x:c r="E19" s="207" t="n">
        <x:v>0</x:v>
      </x:c>
      <x:c r="F19" s="207" t="n">
        <x:v>0</x:v>
      </x:c>
      <x:c r="G19" s="207" t="n">
        <x:v>0</x:v>
      </x:c>
      <x:c r="H19" s="207" t="n">
        <x:v>0</x:v>
      </x:c>
      <x:c r="I19" s="207" t="n">
        <x:v>0</x:v>
      </x:c>
      <x:c r="J19" s="207" t="n">
        <x:v>1</x:v>
      </x:c>
      <x:c r="K19" s="207" t="n">
        <x:v>1</x:v>
      </x:c>
      <x:c r="L19" s="207" t="n">
        <x:v>0</x:v>
      </x:c>
      <x:c r="M19" s="207" t="n">
        <x:v>0</x:v>
      </x:c>
      <x:c r="N19" s="207" t="n">
        <x:v>0</x:v>
      </x:c>
      <x:c r="O19" s="207" t="n">
        <x:v>0</x:v>
      </x:c>
      <x:c r="P19" s="207" t="n">
        <x:v>0</x:v>
      </x:c>
      <x:c r="Q19" s="207" t="n">
        <x:v>0</x:v>
      </x:c>
      <x:c r="R19" s="207" t="n">
        <x:v>0</x:v>
      </x:c>
      <x:c r="S19" s="207" t="n">
        <x:v>0</x:v>
      </x:c>
      <x:c r="T19" s="207" t="n">
        <x:v>0</x:v>
      </x:c>
      <x:c r="U19" s="207" t="n">
        <x:v>0</x:v>
      </x:c>
      <x:c r="V19" s="207" t="n">
        <x:v>0</x:v>
      </x:c>
      <x:c r="W19" s="207" t="n">
        <x:v>0</x:v>
      </x:c>
      <x:c r="X19" s="207" t="n">
        <x:v>0</x:v>
      </x:c>
      <x:c r="Y19" s="207" t="n">
        <x:v>0</x:v>
      </x:c>
      <x:c r="Z19" s="207" t="n">
        <x:v>0</x:v>
      </x:c>
      <x:c r="AA19" s="207" t="n">
        <x:v>0</x:v>
      </x:c>
      <x:c r="AB19" s="207" t="n">
        <x:v>0</x:v>
      </x:c>
      <x:c r="AC19" s="207" t="n">
        <x:v>0</x:v>
      </x:c>
      <x:c r="AD19" s="207" t="n">
        <x:v>0</x:v>
      </x:c>
      <x:c r="AE19" s="207" t="n">
        <x:v>0</x:v>
      </x:c>
      <x:c r="AF19" s="207" t="n">
        <x:v>0</x:v>
      </x:c>
      <x:c r="AG19" s="208" t="n">
        <x:v>0</x:v>
      </x:c>
    </x:row>
    <x:row r="20">
      <x:c r="A20" s="206" t="str">
        <x:v>IG-16</x:v>
      </x:c>
      <x:c r="B20" s="207" t="str">
        <x:v>Полный payroll accrual ledger</x:v>
      </x:c>
      <x:c r="C20" s="207" t="str">
        <x:v>Критический</x:v>
      </x:c>
      <x:c r="D20" s="207" t="n">
        <x:v>0</x:v>
      </x:c>
      <x:c r="E20" s="207" t="n">
        <x:v>0</x:v>
      </x:c>
      <x:c r="F20" s="207" t="n">
        <x:v>0</x:v>
      </x:c>
      <x:c r="G20" s="207" t="n">
        <x:v>0</x:v>
      </x:c>
      <x:c r="H20" s="207" t="n">
        <x:v>0</x:v>
      </x:c>
      <x:c r="I20" s="207" t="n">
        <x:v>0</x:v>
      </x:c>
      <x:c r="J20" s="207" t="n">
        <x:v>0</x:v>
      </x:c>
      <x:c r="K20" s="207" t="n">
        <x:v>0</x:v>
      </x:c>
      <x:c r="L20" s="207" t="n">
        <x:v>1</x:v>
      </x:c>
      <x:c r="M20" s="207" t="n">
        <x:v>1</x:v>
      </x:c>
      <x:c r="N20" s="207" t="n">
        <x:v>0</x:v>
      </x:c>
      <x:c r="O20" s="207" t="n">
        <x:v>0</x:v>
      </x:c>
      <x:c r="P20" s="207" t="n">
        <x:v>0</x:v>
      </x:c>
      <x:c r="Q20" s="207" t="n">
        <x:v>0</x:v>
      </x:c>
      <x:c r="R20" s="207" t="n">
        <x:v>0</x:v>
      </x:c>
      <x:c r="S20" s="207" t="n">
        <x:v>0</x:v>
      </x:c>
      <x:c r="T20" s="207" t="n">
        <x:v>0</x:v>
      </x:c>
      <x:c r="U20" s="207" t="n">
        <x:v>0</x:v>
      </x:c>
      <x:c r="V20" s="207" t="n">
        <x:v>0</x:v>
      </x:c>
      <x:c r="W20" s="207" t="n">
        <x:v>0</x:v>
      </x:c>
      <x:c r="X20" s="207" t="n">
        <x:v>0</x:v>
      </x:c>
      <x:c r="Y20" s="207" t="n">
        <x:v>0</x:v>
      </x:c>
      <x:c r="Z20" s="207" t="n">
        <x:v>0</x:v>
      </x:c>
      <x:c r="AA20" s="207" t="n">
        <x:v>0</x:v>
      </x:c>
      <x:c r="AB20" s="207" t="n">
        <x:v>0</x:v>
      </x:c>
      <x:c r="AC20" s="207" t="n">
        <x:v>0</x:v>
      </x:c>
      <x:c r="AD20" s="207" t="n">
        <x:v>0</x:v>
      </x:c>
      <x:c r="AE20" s="207" t="n">
        <x:v>0</x:v>
      </x:c>
      <x:c r="AF20" s="207" t="n">
        <x:v>0</x:v>
      </x:c>
      <x:c r="AG20" s="208" t="n">
        <x:v>0</x:v>
      </x:c>
    </x:row>
    <x:row r="21">
      <x:c r="A21" s="206" t="str">
        <x:v>IG-17</x:v>
      </x:c>
      <x:c r="B21" s="207" t="str">
        <x:v>Исторические операции ЕНС и распределение ЕНП</x:v>
      </x:c>
      <x:c r="C21" s="207" t="str">
        <x:v>Критический</x:v>
      </x:c>
      <x:c r="D21" s="207" t="n">
        <x:v>0</x:v>
      </x:c>
      <x:c r="E21" s="207" t="n">
        <x:v>0</x:v>
      </x:c>
      <x:c r="F21" s="207" t="n">
        <x:v>0</x:v>
      </x:c>
      <x:c r="G21" s="207" t="n">
        <x:v>0</x:v>
      </x:c>
      <x:c r="H21" s="207" t="n">
        <x:v>0</x:v>
      </x:c>
      <x:c r="I21" s="207" t="n">
        <x:v>0</x:v>
      </x:c>
      <x:c r="J21" s="207" t="n">
        <x:v>0</x:v>
      </x:c>
      <x:c r="K21" s="207" t="n">
        <x:v>0</x:v>
      </x:c>
      <x:c r="L21" s="207" t="n">
        <x:v>0</x:v>
      </x:c>
      <x:c r="M21" s="207" t="n">
        <x:v>0</x:v>
      </x:c>
      <x:c r="N21" s="207" t="n">
        <x:v>0</x:v>
      </x:c>
      <x:c r="O21" s="207" t="n">
        <x:v>1</x:v>
      </x:c>
      <x:c r="P21" s="207" t="n">
        <x:v>1</x:v>
      </x:c>
      <x:c r="Q21" s="207" t="n">
        <x:v>0</x:v>
      </x:c>
      <x:c r="R21" s="207" t="n">
        <x:v>0</x:v>
      </x:c>
      <x:c r="S21" s="207" t="n">
        <x:v>0</x:v>
      </x:c>
      <x:c r="T21" s="207" t="n">
        <x:v>0</x:v>
      </x:c>
      <x:c r="U21" s="207" t="n">
        <x:v>0</x:v>
      </x:c>
      <x:c r="V21" s="207" t="n">
        <x:v>0</x:v>
      </x:c>
      <x:c r="W21" s="207" t="n">
        <x:v>0</x:v>
      </x:c>
      <x:c r="X21" s="207" t="n">
        <x:v>0</x:v>
      </x:c>
      <x:c r="Y21" s="207" t="n">
        <x:v>0</x:v>
      </x:c>
      <x:c r="Z21" s="207" t="n">
        <x:v>0</x:v>
      </x:c>
      <x:c r="AA21" s="207" t="n">
        <x:v>0</x:v>
      </x:c>
      <x:c r="AB21" s="207" t="n">
        <x:v>0</x:v>
      </x:c>
      <x:c r="AC21" s="207" t="n">
        <x:v>0</x:v>
      </x:c>
      <x:c r="AD21" s="207" t="n">
        <x:v>0</x:v>
      </x:c>
      <x:c r="AE21" s="207" t="n">
        <x:v>0</x:v>
      </x:c>
      <x:c r="AF21" s="207" t="n">
        <x:v>0</x:v>
      </x:c>
      <x:c r="AG21" s="208" t="n">
        <x:v>0</x:v>
      </x:c>
    </x:row>
    <x:row r="22">
      <x:c r="A22" s="206" t="str">
        <x:v>IG-18</x:v>
      </x:c>
      <x:c r="B22" s="207" t="str">
        <x:v>Регистр налоговых обязательств и уведомлений</x:v>
      </x:c>
      <x:c r="C22" s="207" t="str">
        <x:v>Критический</x:v>
      </x:c>
      <x:c r="D22" s="207" t="n">
        <x:v>0</x:v>
      </x:c>
      <x:c r="E22" s="207" t="n">
        <x:v>0</x:v>
      </x:c>
      <x:c r="F22" s="207" t="n">
        <x:v>0</x:v>
      </x:c>
      <x:c r="G22" s="207" t="n">
        <x:v>0</x:v>
      </x:c>
      <x:c r="H22" s="207" t="n">
        <x:v>0</x:v>
      </x:c>
      <x:c r="I22" s="207" t="n">
        <x:v>0</x:v>
      </x:c>
      <x:c r="J22" s="207" t="n">
        <x:v>0</x:v>
      </x:c>
      <x:c r="K22" s="207" t="n">
        <x:v>0</x:v>
      </x:c>
      <x:c r="L22" s="207" t="n">
        <x:v>0</x:v>
      </x:c>
      <x:c r="M22" s="207" t="n">
        <x:v>0</x:v>
      </x:c>
      <x:c r="N22" s="207" t="n">
        <x:v>0</x:v>
      </x:c>
      <x:c r="O22" s="207" t="n">
        <x:v>1</x:v>
      </x:c>
      <x:c r="P22" s="207" t="n">
        <x:v>1</x:v>
      </x:c>
      <x:c r="Q22" s="207" t="n">
        <x:v>0</x:v>
      </x:c>
      <x:c r="R22" s="207" t="n">
        <x:v>0</x:v>
      </x:c>
      <x:c r="S22" s="207" t="n">
        <x:v>0</x:v>
      </x:c>
      <x:c r="T22" s="207" t="n">
        <x:v>0</x:v>
      </x:c>
      <x:c r="U22" s="207" t="n">
        <x:v>0</x:v>
      </x:c>
      <x:c r="V22" s="207" t="n">
        <x:v>0</x:v>
      </x:c>
      <x:c r="W22" s="207" t="n">
        <x:v>0</x:v>
      </x:c>
      <x:c r="X22" s="207" t="n">
        <x:v>0</x:v>
      </x:c>
      <x:c r="Y22" s="207" t="n">
        <x:v>0</x:v>
      </x:c>
      <x:c r="Z22" s="207" t="n">
        <x:v>0</x:v>
      </x:c>
      <x:c r="AA22" s="207" t="n">
        <x:v>0</x:v>
      </x:c>
      <x:c r="AB22" s="207" t="n">
        <x:v>0</x:v>
      </x:c>
      <x:c r="AC22" s="207" t="n">
        <x:v>0</x:v>
      </x:c>
      <x:c r="AD22" s="207" t="n">
        <x:v>0</x:v>
      </x:c>
      <x:c r="AE22" s="207" t="n">
        <x:v>0</x:v>
      </x:c>
      <x:c r="AF22" s="207" t="n">
        <x:v>0</x:v>
      </x:c>
      <x:c r="AG22" s="208" t="n">
        <x:v>0</x:v>
      </x:c>
    </x:row>
    <x:row r="23">
      <x:c r="A23" s="206" t="str">
        <x:v>IG-19</x:v>
      </x:c>
      <x:c r="B23" s="207" t="str">
        <x:v>Помесячный НДФЛ/РСВ и employee-level tax linkage</x:v>
      </x:c>
      <x:c r="C23" s="207" t="str">
        <x:v>Высокий</x:v>
      </x:c>
      <x:c r="D23" s="207" t="n">
        <x:v>0</x:v>
      </x:c>
      <x:c r="E23" s="207" t="n">
        <x:v>0</x:v>
      </x:c>
      <x:c r="F23" s="207" t="n">
        <x:v>0</x:v>
      </x:c>
      <x:c r="G23" s="207" t="n">
        <x:v>0</x:v>
      </x:c>
      <x:c r="H23" s="207" t="n">
        <x:v>0</x:v>
      </x:c>
      <x:c r="I23" s="207" t="n">
        <x:v>0</x:v>
      </x:c>
      <x:c r="J23" s="207" t="n">
        <x:v>0</x:v>
      </x:c>
      <x:c r="K23" s="207" t="n">
        <x:v>0</x:v>
      </x:c>
      <x:c r="L23" s="207" t="n">
        <x:v>0</x:v>
      </x:c>
      <x:c r="M23" s="207" t="n">
        <x:v>1</x:v>
      </x:c>
      <x:c r="N23" s="207" t="n">
        <x:v>1</x:v>
      </x:c>
      <x:c r="O23" s="207" t="n">
        <x:v>0</x:v>
      </x:c>
      <x:c r="P23" s="207" t="n">
        <x:v>1</x:v>
      </x:c>
      <x:c r="Q23" s="207" t="n">
        <x:v>0</x:v>
      </x:c>
      <x:c r="R23" s="207" t="n">
        <x:v>0</x:v>
      </x:c>
      <x:c r="S23" s="207" t="n">
        <x:v>0</x:v>
      </x:c>
      <x:c r="T23" s="207" t="n">
        <x:v>0</x:v>
      </x:c>
      <x:c r="U23" s="207" t="n">
        <x:v>0</x:v>
      </x:c>
      <x:c r="V23" s="207" t="n">
        <x:v>0</x:v>
      </x:c>
      <x:c r="W23" s="207" t="n">
        <x:v>0</x:v>
      </x:c>
      <x:c r="X23" s="207" t="n">
        <x:v>0</x:v>
      </x:c>
      <x:c r="Y23" s="207" t="n">
        <x:v>0</x:v>
      </x:c>
      <x:c r="Z23" s="207" t="n">
        <x:v>0</x:v>
      </x:c>
      <x:c r="AA23" s="207" t="n">
        <x:v>0</x:v>
      </x:c>
      <x:c r="AB23" s="207" t="n">
        <x:v>0</x:v>
      </x:c>
      <x:c r="AC23" s="207" t="n">
        <x:v>0</x:v>
      </x:c>
      <x:c r="AD23" s="207" t="n">
        <x:v>0</x:v>
      </x:c>
      <x:c r="AE23" s="207" t="n">
        <x:v>0</x:v>
      </x:c>
      <x:c r="AF23" s="207" t="n">
        <x:v>0</x:v>
      </x:c>
      <x:c r="AG23" s="208" t="n">
        <x:v>0</x:v>
      </x:c>
    </x:row>
    <x:row r="24">
      <x:c r="A24" s="206" t="str">
        <x:v>IG-20</x:v>
      </x:c>
      <x:c r="B24" s="207" t="str">
        <x:v>Актуальные справки ЕНС и история по ООО ДЕКОР</x:v>
      </x:c>
      <x:c r="C24" s="207" t="str">
        <x:v>Высокий</x:v>
      </x:c>
      <x:c r="D24" s="207" t="n">
        <x:v>0</x:v>
      </x:c>
      <x:c r="E24" s="207" t="n">
        <x:v>0</x:v>
      </x:c>
      <x:c r="F24" s="207" t="n">
        <x:v>0</x:v>
      </x:c>
      <x:c r="G24" s="207" t="n">
        <x:v>0</x:v>
      </x:c>
      <x:c r="H24" s="207" t="n">
        <x:v>0</x:v>
      </x:c>
      <x:c r="I24" s="207" t="n">
        <x:v>0</x:v>
      </x:c>
      <x:c r="J24" s="207" t="n">
        <x:v>0</x:v>
      </x:c>
      <x:c r="K24" s="207" t="n">
        <x:v>0</x:v>
      </x:c>
      <x:c r="L24" s="207" t="n">
        <x:v>0</x:v>
      </x:c>
      <x:c r="M24" s="207" t="n">
        <x:v>0</x:v>
      </x:c>
      <x:c r="N24" s="207" t="n">
        <x:v>0</x:v>
      </x:c>
      <x:c r="O24" s="207" t="n">
        <x:v>0</x:v>
      </x:c>
      <x:c r="P24" s="207" t="n">
        <x:v>0</x:v>
      </x:c>
      <x:c r="Q24" s="207" t="n">
        <x:v>1</x:v>
      </x:c>
      <x:c r="R24" s="207" t="n">
        <x:v>0</x:v>
      </x:c>
      <x:c r="S24" s="207" t="n">
        <x:v>0</x:v>
      </x:c>
      <x:c r="T24" s="207" t="n">
        <x:v>0</x:v>
      </x:c>
      <x:c r="U24" s="207" t="n">
        <x:v>0</x:v>
      </x:c>
      <x:c r="V24" s="207" t="n">
        <x:v>0</x:v>
      </x:c>
      <x:c r="W24" s="207" t="n">
        <x:v>0</x:v>
      </x:c>
      <x:c r="X24" s="207" t="n">
        <x:v>0</x:v>
      </x:c>
      <x:c r="Y24" s="207" t="n">
        <x:v>0</x:v>
      </x:c>
      <x:c r="Z24" s="207" t="n">
        <x:v>0</x:v>
      </x:c>
      <x:c r="AA24" s="207" t="n">
        <x:v>0</x:v>
      </x:c>
      <x:c r="AB24" s="207" t="n">
        <x:v>0</x:v>
      </x:c>
      <x:c r="AC24" s="207" t="n">
        <x:v>0</x:v>
      </x:c>
      <x:c r="AD24" s="207" t="n">
        <x:v>0</x:v>
      </x:c>
      <x:c r="AE24" s="207" t="n">
        <x:v>0</x:v>
      </x:c>
      <x:c r="AF24" s="207" t="n">
        <x:v>0</x:v>
      </x:c>
      <x:c r="AG24" s="208" t="n">
        <x:v>0</x:v>
      </x:c>
    </x:row>
    <x:row r="25">
      <x:c r="A25" s="206" t="str">
        <x:v>IG-21</x:v>
      </x:c>
      <x:c r="B25" s="207" t="str">
        <x:v>Полный договорный реестр и ключевые условия</x:v>
      </x:c>
      <x:c r="C25" s="207" t="str">
        <x:v>Высокий</x:v>
      </x:c>
      <x:c r="D25" s="207" t="n">
        <x:v>0</x:v>
      </x:c>
      <x:c r="E25" s="207" t="n">
        <x:v>0</x:v>
      </x:c>
      <x:c r="F25" s="207" t="n">
        <x:v>0</x:v>
      </x:c>
      <x:c r="G25" s="207" t="n">
        <x:v>0</x:v>
      </x:c>
      <x:c r="H25" s="207" t="n">
        <x:v>0</x:v>
      </x:c>
      <x:c r="I25" s="207" t="n">
        <x:v>0</x:v>
      </x:c>
      <x:c r="J25" s="207" t="n">
        <x:v>0</x:v>
      </x:c>
      <x:c r="K25" s="207" t="n">
        <x:v>0</x:v>
      </x:c>
      <x:c r="L25" s="207" t="n">
        <x:v>0</x:v>
      </x:c>
      <x:c r="M25" s="207" t="n">
        <x:v>0</x:v>
      </x:c>
      <x:c r="N25" s="207" t="n">
        <x:v>0</x:v>
      </x:c>
      <x:c r="O25" s="207" t="n">
        <x:v>0</x:v>
      </x:c>
      <x:c r="P25" s="207" t="n">
        <x:v>0</x:v>
      </x:c>
      <x:c r="Q25" s="207" t="n">
        <x:v>0</x:v>
      </x:c>
      <x:c r="R25" s="207" t="n">
        <x:v>0</x:v>
      </x:c>
      <x:c r="S25" s="207" t="n">
        <x:v>0</x:v>
      </x:c>
      <x:c r="T25" s="207" t="n">
        <x:v>0</x:v>
      </x:c>
      <x:c r="U25" s="207" t="n">
        <x:v>0</x:v>
      </x:c>
      <x:c r="V25" s="207" t="n">
        <x:v>0</x:v>
      </x:c>
      <x:c r="W25" s="207" t="n">
        <x:v>0</x:v>
      </x:c>
      <x:c r="X25" s="207" t="n">
        <x:v>0</x:v>
      </x:c>
      <x:c r="Y25" s="207" t="n">
        <x:v>0</x:v>
      </x:c>
      <x:c r="Z25" s="207" t="n">
        <x:v>0</x:v>
      </x:c>
      <x:c r="AA25" s="207" t="n">
        <x:v>0</x:v>
      </x:c>
      <x:c r="AB25" s="207" t="n">
        <x:v>1</x:v>
      </x:c>
      <x:c r="AC25" s="207" t="n">
        <x:v>0</x:v>
      </x:c>
      <x:c r="AD25" s="207" t="n">
        <x:v>0</x:v>
      </x:c>
      <x:c r="AE25" s="207" t="n">
        <x:v>0</x:v>
      </x:c>
      <x:c r="AF25" s="207" t="n">
        <x:v>0</x:v>
      </x:c>
      <x:c r="AG25" s="208" t="n">
        <x:v>0</x:v>
      </x:c>
    </x:row>
    <x:row r="26">
      <x:c r="A26" s="206" t="str">
        <x:v>IG-22</x:v>
      </x:c>
      <x:c r="B26" s="207" t="str">
        <x:v>RACI, лимиты и владельцы источников истины</x:v>
      </x:c>
      <x:c r="C26" s="207" t="str">
        <x:v>Критический</x:v>
      </x:c>
      <x:c r="D26" s="207" t="n">
        <x:v>1</x:v>
      </x:c>
      <x:c r="E26" s="207" t="n">
        <x:v>0</x:v>
      </x:c>
      <x:c r="F26" s="207" t="n">
        <x:v>0</x:v>
      </x:c>
      <x:c r="G26" s="207" t="n">
        <x:v>0</x:v>
      </x:c>
      <x:c r="H26" s="207" t="n">
        <x:v>0</x:v>
      </x:c>
      <x:c r="I26" s="207" t="n">
        <x:v>0</x:v>
      </x:c>
      <x:c r="J26" s="207" t="n">
        <x:v>0</x:v>
      </x:c>
      <x:c r="K26" s="207" t="n">
        <x:v>0</x:v>
      </x:c>
      <x:c r="L26" s="207" t="n">
        <x:v>0</x:v>
      </x:c>
      <x:c r="M26" s="207" t="n">
        <x:v>0</x:v>
      </x:c>
      <x:c r="N26" s="207" t="n">
        <x:v>0</x:v>
      </x:c>
      <x:c r="O26" s="207" t="n">
        <x:v>0</x:v>
      </x:c>
      <x:c r="P26" s="207" t="n">
        <x:v>0</x:v>
      </x:c>
      <x:c r="Q26" s="207" t="n">
        <x:v>0</x:v>
      </x:c>
      <x:c r="R26" s="207" t="n">
        <x:v>0</x:v>
      </x:c>
      <x:c r="S26" s="207" t="n">
        <x:v>0</x:v>
      </x:c>
      <x:c r="T26" s="207" t="n">
        <x:v>0</x:v>
      </x:c>
      <x:c r="U26" s="207" t="n">
        <x:v>0</x:v>
      </x:c>
      <x:c r="V26" s="207" t="n">
        <x:v>0</x:v>
      </x:c>
      <x:c r="W26" s="207" t="n">
        <x:v>0</x:v>
      </x:c>
      <x:c r="X26" s="207" t="n">
        <x:v>0</x:v>
      </x:c>
      <x:c r="Y26" s="207" t="n">
        <x:v>0</x:v>
      </x:c>
      <x:c r="Z26" s="207" t="n">
        <x:v>0</x:v>
      </x:c>
      <x:c r="AA26" s="207" t="n">
        <x:v>0</x:v>
      </x:c>
      <x:c r="AB26" s="207" t="n">
        <x:v>0</x:v>
      </x:c>
      <x:c r="AC26" s="207" t="n">
        <x:v>0</x:v>
      </x:c>
      <x:c r="AD26" s="207" t="n">
        <x:v>0</x:v>
      </x:c>
      <x:c r="AE26" s="207" t="n">
        <x:v>0</x:v>
      </x:c>
      <x:c r="AF26" s="207" t="n">
        <x:v>0</x:v>
      </x:c>
      <x:c r="AG26" s="208" t="n">
        <x:v>1</x:v>
      </x:c>
    </x:row>
    <x:row r="27">
      <x:c r="A27" s="206" t="str">
        <x:v>IG-23</x:v>
      </x:c>
      <x:c r="B27" s="207" t="str">
        <x:v>Версионный реестр документов и master data</x:v>
      </x:c>
      <x:c r="C27" s="207" t="str">
        <x:v>Высокий</x:v>
      </x:c>
      <x:c r="D27" s="207" t="n">
        <x:v>1</x:v>
      </x:c>
      <x:c r="E27" s="207" t="n">
        <x:v>0</x:v>
      </x:c>
      <x:c r="F27" s="207" t="n">
        <x:v>0</x:v>
      </x:c>
      <x:c r="G27" s="207" t="n">
        <x:v>1</x:v>
      </x:c>
      <x:c r="H27" s="207" t="n">
        <x:v>1</x:v>
      </x:c>
      <x:c r="I27" s="207" t="n">
        <x:v>0</x:v>
      </x:c>
      <x:c r="J27" s="207" t="n">
        <x:v>0</x:v>
      </x:c>
      <x:c r="K27" s="207" t="n">
        <x:v>0</x:v>
      </x:c>
      <x:c r="L27" s="207" t="n">
        <x:v>0</x:v>
      </x:c>
      <x:c r="M27" s="207" t="n">
        <x:v>0</x:v>
      </x:c>
      <x:c r="N27" s="207" t="n">
        <x:v>0</x:v>
      </x:c>
      <x:c r="O27" s="207" t="n">
        <x:v>0</x:v>
      </x:c>
      <x:c r="P27" s="207" t="n">
        <x:v>0</x:v>
      </x:c>
      <x:c r="Q27" s="207" t="n">
        <x:v>0</x:v>
      </x:c>
      <x:c r="R27" s="207" t="n">
        <x:v>0</x:v>
      </x:c>
      <x:c r="S27" s="207" t="n">
        <x:v>0</x:v>
      </x:c>
      <x:c r="T27" s="207" t="n">
        <x:v>0</x:v>
      </x:c>
      <x:c r="U27" s="207" t="n">
        <x:v>0</x:v>
      </x:c>
      <x:c r="V27" s="207" t="n">
        <x:v>0</x:v>
      </x:c>
      <x:c r="W27" s="207" t="n">
        <x:v>0</x:v>
      </x:c>
      <x:c r="X27" s="207" t="n">
        <x:v>0</x:v>
      </x:c>
      <x:c r="Y27" s="207" t="n">
        <x:v>0</x:v>
      </x:c>
      <x:c r="Z27" s="207" t="n">
        <x:v>0</x:v>
      </x:c>
      <x:c r="AA27" s="207" t="n">
        <x:v>0</x:v>
      </x:c>
      <x:c r="AB27" s="207" t="n">
        <x:v>0</x:v>
      </x:c>
      <x:c r="AC27" s="207" t="n">
        <x:v>0</x:v>
      </x:c>
      <x:c r="AD27" s="207" t="n">
        <x:v>0</x:v>
      </x:c>
      <x:c r="AE27" s="207" t="n">
        <x:v>0</x:v>
      </x:c>
      <x:c r="AF27" s="207" t="n">
        <x:v>1</x:v>
      </x:c>
      <x:c r="AG27" s="208" t="n">
        <x:v>1</x:v>
      </x:c>
    </x:row>
    <x:row r="28">
      <x:c r="A28" s="209" t="str">
        <x:v>IG-24</x:v>
      </x:c>
      <x:c r="B28" s="210" t="str">
        <x:v>Корпоративный словарь данных и data contracts</x:v>
      </x:c>
      <x:c r="C28" s="210" t="str">
        <x:v>Высокий</x:v>
      </x:c>
      <x:c r="D28" s="210" t="n">
        <x:v>0</x:v>
      </x:c>
      <x:c r="E28" s="210" t="n">
        <x:v>0</x:v>
      </x:c>
      <x:c r="F28" s="210" t="n">
        <x:v>0</x:v>
      </x:c>
      <x:c r="G28" s="210" t="n">
        <x:v>0</x:v>
      </x:c>
      <x:c r="H28" s="210" t="n">
        <x:v>1</x:v>
      </x:c>
      <x:c r="I28" s="210" t="n">
        <x:v>0</x:v>
      </x:c>
      <x:c r="J28" s="210" t="n">
        <x:v>0</x:v>
      </x:c>
      <x:c r="K28" s="210" t="n">
        <x:v>0</x:v>
      </x:c>
      <x:c r="L28" s="210" t="n">
        <x:v>0</x:v>
      </x:c>
      <x:c r="M28" s="210" t="n">
        <x:v>0</x:v>
      </x:c>
      <x:c r="N28" s="210" t="n">
        <x:v>0</x:v>
      </x:c>
      <x:c r="O28" s="210" t="n">
        <x:v>0</x:v>
      </x:c>
      <x:c r="P28" s="210" t="n">
        <x:v>0</x:v>
      </x:c>
      <x:c r="Q28" s="210" t="n">
        <x:v>0</x:v>
      </x:c>
      <x:c r="R28" s="210" t="n">
        <x:v>0</x:v>
      </x:c>
      <x:c r="S28" s="210" t="n">
        <x:v>0</x:v>
      </x:c>
      <x:c r="T28" s="210" t="n">
        <x:v>0</x:v>
      </x:c>
      <x:c r="U28" s="210" t="n">
        <x:v>0</x:v>
      </x:c>
      <x:c r="V28" s="210" t="n">
        <x:v>0</x:v>
      </x:c>
      <x:c r="W28" s="210" t="n">
        <x:v>0</x:v>
      </x:c>
      <x:c r="X28" s="210" t="n">
        <x:v>0</x:v>
      </x:c>
      <x:c r="Y28" s="210" t="n">
        <x:v>0</x:v>
      </x:c>
      <x:c r="Z28" s="210" t="n">
        <x:v>0</x:v>
      </x:c>
      <x:c r="AA28" s="210" t="n">
        <x:v>0</x:v>
      </x:c>
      <x:c r="AB28" s="210" t="n">
        <x:v>0</x:v>
      </x:c>
      <x:c r="AC28" s="210" t="n">
        <x:v>0</x:v>
      </x:c>
      <x:c r="AD28" s="210" t="n">
        <x:v>0</x:v>
      </x:c>
      <x:c r="AE28" s="210" t="n">
        <x:v>0</x:v>
      </x:c>
      <x:c r="AF28" s="210" t="n">
        <x:v>1</x:v>
      </x:c>
      <x:c r="AG28" s="211" t="n">
        <x:v>0</x:v>
      </x:c>
    </x:row>
  </x:sheetData>
  <x:mergeCells>
    <x:mergeCell ref="A1:AG1"/>
    <x:mergeCell ref="A2:AG2"/>
  </x:mergeCells>
  <x:conditionalFormatting sqref="C5:C28">
    <x:cfRule type="expression" dxfId="28" priority="1">
      <x:formula>ISNUMBER(SEARCH("Крит",C5))</x:formula>
    </x:cfRule>
    <x:cfRule type="expression" dxfId="29" priority="2">
      <x:formula>ISNUMBER(SEARCH("Выс",C5))</x:formula>
    </x:cfRule>
  </x:conditionalFormatting>
  <x:conditionalFormatting sqref="D5:D28">
    <x:cfRule type="cellIs" dxfId="30" priority="3">
      <x:formula>1</x:formula>
    </x:cfRule>
    <x:cfRule type="cellIs" dxfId="31" priority="4">
      <x:formula>0</x:formula>
    </x:cfRule>
  </x:conditionalFormatting>
  <x:conditionalFormatting sqref="E5:E28">
    <x:cfRule type="cellIs" dxfId="32" priority="5">
      <x:formula>1</x:formula>
    </x:cfRule>
    <x:cfRule type="cellIs" dxfId="33" priority="6">
      <x:formula>0</x:formula>
    </x:cfRule>
  </x:conditionalFormatting>
  <x:conditionalFormatting sqref="F5:F28">
    <x:cfRule type="cellIs" dxfId="34" priority="7">
      <x:formula>1</x:formula>
    </x:cfRule>
    <x:cfRule type="cellIs" dxfId="35" priority="8">
      <x:formula>0</x:formula>
    </x:cfRule>
  </x:conditionalFormatting>
  <x:conditionalFormatting sqref="G5:G28">
    <x:cfRule type="cellIs" dxfId="36" priority="9">
      <x:formula>1</x:formula>
    </x:cfRule>
    <x:cfRule type="cellIs" dxfId="37" priority="10">
      <x:formula>0</x:formula>
    </x:cfRule>
  </x:conditionalFormatting>
  <x:conditionalFormatting sqref="H5:H28">
    <x:cfRule type="cellIs" dxfId="38" priority="11">
      <x:formula>1</x:formula>
    </x:cfRule>
    <x:cfRule type="cellIs" dxfId="39" priority="12">
      <x:formula>0</x:formula>
    </x:cfRule>
  </x:conditionalFormatting>
  <x:conditionalFormatting sqref="I5:I28">
    <x:cfRule type="cellIs" dxfId="40" priority="13">
      <x:formula>1</x:formula>
    </x:cfRule>
    <x:cfRule type="cellIs" dxfId="41" priority="14">
      <x:formula>0</x:formula>
    </x:cfRule>
  </x:conditionalFormatting>
  <x:conditionalFormatting sqref="J5:J28">
    <x:cfRule type="cellIs" dxfId="42" priority="15">
      <x:formula>1</x:formula>
    </x:cfRule>
    <x:cfRule type="cellIs" dxfId="43" priority="16">
      <x:formula>0</x:formula>
    </x:cfRule>
  </x:conditionalFormatting>
  <x:conditionalFormatting sqref="K5:K28">
    <x:cfRule type="cellIs" dxfId="44" priority="17">
      <x:formula>1</x:formula>
    </x:cfRule>
    <x:cfRule type="cellIs" dxfId="45" priority="18">
      <x:formula>0</x:formula>
    </x:cfRule>
  </x:conditionalFormatting>
  <x:conditionalFormatting sqref="L5:L28">
    <x:cfRule type="cellIs" dxfId="46" priority="19">
      <x:formula>1</x:formula>
    </x:cfRule>
    <x:cfRule type="cellIs" dxfId="47" priority="20">
      <x:formula>0</x:formula>
    </x:cfRule>
  </x:conditionalFormatting>
  <x:conditionalFormatting sqref="M5:M28">
    <x:cfRule type="cellIs" dxfId="48" priority="21">
      <x:formula>1</x:formula>
    </x:cfRule>
    <x:cfRule type="cellIs" dxfId="49" priority="22">
      <x:formula>0</x:formula>
    </x:cfRule>
  </x:conditionalFormatting>
  <x:conditionalFormatting sqref="N5:N28">
    <x:cfRule type="cellIs" dxfId="50" priority="23">
      <x:formula>1</x:formula>
    </x:cfRule>
    <x:cfRule type="cellIs" dxfId="51" priority="24">
      <x:formula>0</x:formula>
    </x:cfRule>
  </x:conditionalFormatting>
  <x:conditionalFormatting sqref="O5:O28">
    <x:cfRule type="cellIs" dxfId="52" priority="25">
      <x:formula>1</x:formula>
    </x:cfRule>
    <x:cfRule type="cellIs" dxfId="53" priority="26">
      <x:formula>0</x:formula>
    </x:cfRule>
  </x:conditionalFormatting>
  <x:conditionalFormatting sqref="P5:P28">
    <x:cfRule type="cellIs" dxfId="54" priority="27">
      <x:formula>1</x:formula>
    </x:cfRule>
    <x:cfRule type="cellIs" dxfId="55" priority="28">
      <x:formula>0</x:formula>
    </x:cfRule>
  </x:conditionalFormatting>
  <x:conditionalFormatting sqref="Q5:Q28">
    <x:cfRule type="cellIs" dxfId="56" priority="29">
      <x:formula>1</x:formula>
    </x:cfRule>
    <x:cfRule type="cellIs" dxfId="57" priority="30">
      <x:formula>0</x:formula>
    </x:cfRule>
  </x:conditionalFormatting>
  <x:conditionalFormatting sqref="R5:R28">
    <x:cfRule type="cellIs" dxfId="58" priority="31">
      <x:formula>1</x:formula>
    </x:cfRule>
    <x:cfRule type="cellIs" dxfId="59" priority="32">
      <x:formula>0</x:formula>
    </x:cfRule>
  </x:conditionalFormatting>
  <x:conditionalFormatting sqref="S5:S28">
    <x:cfRule type="cellIs" dxfId="60" priority="33">
      <x:formula>1</x:formula>
    </x:cfRule>
    <x:cfRule type="cellIs" dxfId="61" priority="34">
      <x:formula>0</x:formula>
    </x:cfRule>
  </x:conditionalFormatting>
  <x:conditionalFormatting sqref="T5:T28">
    <x:cfRule type="cellIs" dxfId="62" priority="35">
      <x:formula>1</x:formula>
    </x:cfRule>
    <x:cfRule type="cellIs" dxfId="63" priority="36">
      <x:formula>0</x:formula>
    </x:cfRule>
  </x:conditionalFormatting>
  <x:conditionalFormatting sqref="U5:U28">
    <x:cfRule type="cellIs" dxfId="64" priority="37">
      <x:formula>1</x:formula>
    </x:cfRule>
    <x:cfRule type="cellIs" dxfId="65" priority="38">
      <x:formula>0</x:formula>
    </x:cfRule>
  </x:conditionalFormatting>
  <x:conditionalFormatting sqref="V5:V28">
    <x:cfRule type="cellIs" dxfId="66" priority="39">
      <x:formula>1</x:formula>
    </x:cfRule>
    <x:cfRule type="cellIs" dxfId="67" priority="40">
      <x:formula>0</x:formula>
    </x:cfRule>
  </x:conditionalFormatting>
  <x:conditionalFormatting sqref="W5:W28">
    <x:cfRule type="cellIs" dxfId="68" priority="41">
      <x:formula>1</x:formula>
    </x:cfRule>
    <x:cfRule type="cellIs" dxfId="69" priority="42">
      <x:formula>0</x:formula>
    </x:cfRule>
  </x:conditionalFormatting>
  <x:conditionalFormatting sqref="X5:X28">
    <x:cfRule type="cellIs" dxfId="70" priority="43">
      <x:formula>1</x:formula>
    </x:cfRule>
    <x:cfRule type="cellIs" dxfId="71" priority="44">
      <x:formula>0</x:formula>
    </x:cfRule>
  </x:conditionalFormatting>
  <x:conditionalFormatting sqref="Y5:Y28">
    <x:cfRule type="cellIs" dxfId="72" priority="45">
      <x:formula>1</x:formula>
    </x:cfRule>
    <x:cfRule type="cellIs" dxfId="73" priority="46">
      <x:formula>0</x:formula>
    </x:cfRule>
  </x:conditionalFormatting>
  <x:conditionalFormatting sqref="Z5:Z28">
    <x:cfRule type="cellIs" dxfId="74" priority="47">
      <x:formula>1</x:formula>
    </x:cfRule>
    <x:cfRule type="cellIs" dxfId="75" priority="48">
      <x:formula>0</x:formula>
    </x:cfRule>
  </x:conditionalFormatting>
  <x:conditionalFormatting sqref="AA5:AA28">
    <x:cfRule type="cellIs" dxfId="76" priority="49">
      <x:formula>1</x:formula>
    </x:cfRule>
    <x:cfRule type="cellIs" dxfId="77" priority="50">
      <x:formula>0</x:formula>
    </x:cfRule>
  </x:conditionalFormatting>
  <x:conditionalFormatting sqref="AB5:AB28">
    <x:cfRule type="cellIs" dxfId="78" priority="51">
      <x:formula>1</x:formula>
    </x:cfRule>
    <x:cfRule type="cellIs" dxfId="79" priority="52">
      <x:formula>0</x:formula>
    </x:cfRule>
  </x:conditionalFormatting>
  <x:conditionalFormatting sqref="AC5:AC28">
    <x:cfRule type="cellIs" dxfId="80" priority="53">
      <x:formula>1</x:formula>
    </x:cfRule>
    <x:cfRule type="cellIs" dxfId="81" priority="54">
      <x:formula>0</x:formula>
    </x:cfRule>
  </x:conditionalFormatting>
  <x:conditionalFormatting sqref="AD5:AD28">
    <x:cfRule type="cellIs" dxfId="82" priority="55">
      <x:formula>1</x:formula>
    </x:cfRule>
    <x:cfRule type="cellIs" dxfId="83" priority="56">
      <x:formula>0</x:formula>
    </x:cfRule>
  </x:conditionalFormatting>
  <x:conditionalFormatting sqref="AE5:AE28">
    <x:cfRule type="cellIs" dxfId="84" priority="57">
      <x:formula>1</x:formula>
    </x:cfRule>
    <x:cfRule type="cellIs" dxfId="85" priority="58">
      <x:formula>0</x:formula>
    </x:cfRule>
  </x:conditionalFormatting>
  <x:conditionalFormatting sqref="AF5:AF28">
    <x:cfRule type="cellIs" dxfId="86" priority="59">
      <x:formula>1</x:formula>
    </x:cfRule>
    <x:cfRule type="cellIs" dxfId="87" priority="60">
      <x:formula>0</x:formula>
    </x:cfRule>
  </x:conditionalFormatting>
  <x:conditionalFormatting sqref="AG5:AG28">
    <x:cfRule type="cellIs" dxfId="88" priority="61">
      <x:formula>1</x:formula>
    </x:cfRule>
    <x:cfRule type="cellIs" dxfId="89" priority="62">
      <x:formula>0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4" hidden="0" customWidth="1"/>
    <x:col min="4" max="4" width="16" hidden="0" customWidth="1"/>
    <x:col min="5" max="5" width="42" hidden="0" customWidth="1"/>
    <x:col min="6" max="6" width="28" hidden="0" customWidth="1"/>
    <x:col min="7" max="7" width="44" hidden="0" customWidth="1"/>
    <x:col min="8" max="8" width="24" hidden="0" customWidth="1"/>
  </x:cols>
  <x:sheetData>
    <x:row r="1" ht="28" customHeight="1">
      <x:c r="A1" s="5" t="str">
        <x:v>ГОТОВНОСТЬ ВСЕХ ЗАЯВЛЕННЫХ АНАЛИЗОВ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4" t="str">
        <x:v>Для каждого анализа: что доказано, покрытие, что утверждать нельзя и какие gap IDs блокируют завершение.</x:v>
      </x:c>
      <x:c r="B2" s="14"/>
      <x:c r="C2" s="14"/>
      <x:c r="D2" s="14"/>
      <x:c r="E2" s="14"/>
      <x:c r="F2" s="14"/>
      <x:c r="G2" s="14"/>
      <x:c r="H2" s="14"/>
    </x:row>
    <x:row r="4" ht="28" customHeight="1">
      <x:c r="A4" s="169" t="str">
        <x:v>analysis_id</x:v>
      </x:c>
      <x:c r="B4" s="170" t="str">
        <x:v>analysis</x:v>
      </x:c>
      <x:c r="C4" s="170" t="str">
        <x:v>status</x:v>
      </x:c>
      <x:c r="D4" s="170" t="str">
        <x:v>status_class</x:v>
      </x:c>
      <x:c r="E4" s="170" t="str">
        <x:v>evidence</x:v>
      </x:c>
      <x:c r="F4" s="170" t="str">
        <x:v>coverage</x:v>
      </x:c>
      <x:c r="G4" s="170" t="str">
        <x:v>cannot_claim</x:v>
      </x:c>
      <x:c r="H4" s="171" t="str">
        <x:v>blocking_gap_ids</x:v>
      </x:c>
    </x:row>
    <x:row r="5">
      <x:c r="A5" s="203" t="str">
        <x:v>AN-01</x:v>
      </x:c>
      <x:c r="B5" s="204" t="str">
        <x:v>Техническая инвентаризация источников</x:v>
      </x:c>
      <x:c r="C5" s="204" t="str">
        <x:v>Готово</x:v>
      </x:c>
      <x:c r="D5" s="204" t="str">
        <x:v>Готово</x:v>
      </x:c>
      <x:c r="E5" s="204" t="str">
        <x:v>93 файла, 284 листа, quality flags</x:v>
      </x:c>
      <x:c r="F5" s="204" t="str">
        <x:v>Подтверждённый переданный периметр</x:v>
      </x:c>
      <x:c r="G5" s="204" t="str">
        <x:v>Нельзя утверждать полноту всей IT-среды</x:v>
      </x:c>
      <x:c r="H5" s="205" t="str">
        <x:v>IG-22; IG-23</x:v>
      </x:c>
    </x:row>
    <x:row r="6">
      <x:c r="A6" s="206" t="str">
        <x:v>AN-02</x:v>
      </x:c>
      <x:c r="B6" s="207" t="str">
        <x:v>Банковские остатки</x:v>
      </x:c>
      <x:c r="C6" s="207" t="str">
        <x:v>Готово с оговоркой</x:v>
      </x:c>
      <x:c r="D6" s="207" t="str">
        <x:v>Готово</x:v>
      </x:c>
      <x:c r="E6" s="207" t="str">
        <x:v>113/116 остатков</x:v>
      </x:c>
      <x:c r="F6" s="207" t="str">
        <x:v>4 предоставленных счёта</x:v>
      </x:c>
      <x:c r="G6" s="207" t="str">
        <x:v>Не весь банковский периметр</x:v>
      </x:c>
      <x:c r="H6" s="208" t="str">
        <x:v>IG-11</x:v>
      </x:c>
    </x:row>
    <x:row r="7">
      <x:c r="A7" s="206" t="str">
        <x:v>AN-03</x:v>
      </x:c>
      <x:c r="B7" s="207" t="str">
        <x:v>Cash roll-forward</x:v>
      </x:c>
      <x:c r="C7" s="207" t="str">
        <x:v>Частично</x:v>
      </x:c>
      <x:c r="D7" s="207" t="str">
        <x:v>Частично</x:v>
      </x:c>
      <x:c r="E7" s="207" t="str">
        <x:v>17/29 переходов; 12 разрывов</x:v>
      </x:c>
      <x:c r="F7" s="207" t="str">
        <x:v>Денежная модель</x:v>
      </x:c>
      <x:c r="G7" s="207" t="str">
        <x:v>Opening и non-bank components не доказаны</x:v>
      </x:c>
      <x:c r="H7" s="208" t="str">
        <x:v>IG-12; IG-13</x:v>
      </x:c>
    </x:row>
    <x:row r="8">
      <x:c r="A8" s="206" t="str">
        <x:v>AN-04</x:v>
      </x:c>
      <x:c r="B8" s="207" t="str">
        <x:v>ДДС ↔ расходы</x:v>
      </x:c>
      <x:c r="C8" s="207" t="str">
        <x:v>Частично</x:v>
      </x:c>
      <x:c r="D8" s="207" t="str">
        <x:v>Частично</x:v>
      </x:c>
      <x:c r="E8" s="207" t="str">
        <x:v>2025 и часть 2026 сходятся</x:v>
      </x:c>
      <x:c r="F8" s="207" t="str">
        <x:v>Cash classification</x:v>
      </x:c>
      <x:c r="G8" s="207" t="str">
        <x:v>2024 неоднороден; нет transaction IDs</x:v>
      </x:c>
      <x:c r="H8" s="208" t="str">
        <x:v>IG-12; IG-23</x:v>
      </x:c>
    </x:row>
    <x:row r="9">
      <x:c r="A9" s="206" t="str">
        <x:v>AN-05</x:v>
      </x:c>
      <x:c r="B9" s="207" t="str">
        <x:v>Бюджет план-факт</x:v>
      </x:c>
      <x:c r="C9" s="207" t="str">
        <x:v>Готово с оговоркой</x:v>
      </x:c>
      <x:c r="D9" s="207" t="str">
        <x:v>Готово</x:v>
      </x:c>
      <x:c r="E9" s="207" t="str">
        <x:v>H2 2025 и Jan-May 2026</x:v>
      </x:c>
      <x:c r="F9" s="207" t="str">
        <x:v>Cash budget perimeter</x:v>
      </x:c>
      <x:c r="G9" s="207" t="str">
        <x:v>Нет единого plan version/driver model</x:v>
      </x:c>
      <x:c r="H9" s="208" t="str">
        <x:v>IG-23; IG-24</x:v>
      </x:c>
    </x:row>
    <x:row r="10">
      <x:c r="A10" s="206" t="str">
        <x:v>AN-06</x:v>
      </x:c>
      <x:c r="B10" s="207" t="str">
        <x:v>Ликвидность</x:v>
      </x:c>
      <x:c r="C10" s="207" t="str">
        <x:v>Частично</x:v>
      </x:c>
      <x:c r="D10" s="207" t="str">
        <x:v>Частично</x:v>
      </x:c>
      <x:c r="E10" s="207" t="str">
        <x:v>Cash balances и flows</x:v>
      </x:c>
      <x:c r="F10" s="207" t="str">
        <x:v>Предоставленные счета</x:v>
      </x:c>
      <x:c r="G10" s="207" t="str">
        <x:v>Нет AR/AP, полного bank perimeter и обязательств</x:v>
      </x:c>
      <x:c r="H10" s="208" t="str">
        <x:v>IG-11; IG-14</x:v>
      </x:c>
    </x:row>
    <x:row r="11">
      <x:c r="A11" s="206" t="str">
        <x:v>AN-07</x:v>
      </x:c>
      <x:c r="B11" s="207" t="str">
        <x:v>Управленческая прибыль/P&amp;L</x:v>
      </x:c>
      <x:c r="C11" s="207" t="str">
        <x:v>Невозможно завершить</x:v>
      </x:c>
      <x:c r="D11" s="207" t="str">
        <x:v>Заблокировано</x:v>
      </x:c>
      <x:c r="E11" s="207" t="str">
        <x:v>Только cash result</x:v>
      </x:c>
      <x:c r="F11" s="207" t="str">
        <x:v>Cash model</x:v>
      </x:c>
      <x:c r="G11" s="207" t="str">
        <x:v>Нет accrual, inventory, WIP, AR/AP, Balance</x:v>
      </x:c>
      <x:c r="H11" s="208" t="str">
        <x:v>IG-02; IG-03; IG-14; IG-15</x:v>
      </x:c>
    </x:row>
    <x:row r="12">
      <x:c r="A12" s="206" t="str">
        <x:v>AN-08</x:v>
      </x:c>
      <x:c r="B12" s="207" t="str">
        <x:v>Balance sheet</x:v>
      </x:c>
      <x:c r="C12" s="207" t="str">
        <x:v>Невозможно завершить</x:v>
      </x:c>
      <x:c r="D12" s="207" t="str">
        <x:v>Заблокировано</x:v>
      </x:c>
      <x:c r="E12" s="207" t="str">
        <x:v>Отдельные остатки и активы</x:v>
      </x:c>
      <x:c r="F12" s="207" t="str">
        <x:v>Fabric snapshot / cash</x:v>
      </x:c>
      <x:c r="G12" s="207" t="str">
        <x:v>Нет FG, WIP, AR/AP, liabilities/equity</x:v>
      </x:c>
      <x:c r="H12" s="208" t="str">
        <x:v>IG-02; IG-03; IG-14; IG-15</x:v>
      </x:c>
    </x:row>
    <x:row r="13">
      <x:c r="A13" s="206" t="str">
        <x:v>AN-09</x:v>
      </x:c>
      <x:c r="B13" s="207" t="str">
        <x:v>ФОТ ↔ банк ↔ ДДС</x:v>
      </x:c>
      <x:c r="C13" s="207" t="str">
        <x:v>Готово с оговоркой</x:v>
      </x:c>
      <x:c r="D13" s="207" t="str">
        <x:v>Готово</x:v>
      </x:c>
      <x:c r="E13" s="207" t="str">
        <x:v>Агрегатные расхождения 3 месяцев объяснены</x:v>
      </x:c>
      <x:c r="F13" s="207" t="str">
        <x:v>11 месяцев</x:v>
      </x:c>
      <x:c r="G13" s="207" t="str">
        <x:v>Employee-level ledger неполон</x:v>
      </x:c>
      <x:c r="H13" s="208" t="str">
        <x:v>IG-16</x:v>
      </x:c>
    </x:row>
    <x:row r="14">
      <x:c r="A14" s="206" t="str">
        <x:v>AN-10</x:v>
      </x:c>
      <x:c r="B14" s="207" t="str">
        <x:v>Полная стоимость труда</x:v>
      </x:c>
      <x:c r="C14" s="207" t="str">
        <x:v>Невозможно завершить</x:v>
      </x:c>
      <x:c r="D14" s="207" t="str">
        <x:v>Заблокировано</x:v>
      </x:c>
      <x:c r="E14" s="207" t="str">
        <x:v>Формы и часть ведомостей</x:v>
      </x:c>
      <x:c r="F14" s="207" t="str">
        <x:v>2024–2026 частично</x:v>
      </x:c>
      <x:c r="G14" s="207" t="str">
        <x:v>Нет полного accrual ledger</x:v>
      </x:c>
      <x:c r="H14" s="208" t="str">
        <x:v>IG-16; IG-19</x:v>
      </x:c>
    </x:row>
    <x:row r="15">
      <x:c r="A15" s="206" t="str">
        <x:v>AN-11</x:v>
      </x:c>
      <x:c r="B15" s="207" t="str">
        <x:v>6-НДФЛ ↔ РСВ годовая</x:v>
      </x:c>
      <x:c r="C15" s="207" t="str">
        <x:v>Готово с оговоркой</x:v>
      </x:c>
      <x:c r="D15" s="207" t="str">
        <x:v>Готово</x:v>
      </x:c>
      <x:c r="E15" s="207" t="str">
        <x:v>4/4 годовые пары сходятся</x:v>
      </x:c>
      <x:c r="F15" s="207" t="str">
        <x:v>2024–2025, 2 юрлица</x:v>
      </x:c>
      <x:c r="G15" s="207" t="str">
        <x:v>Не employee/month level</x:v>
      </x:c>
      <x:c r="H15" s="208" t="str">
        <x:v>IG-19</x:v>
      </x:c>
    </x:row>
    <x:row r="16">
      <x:c r="A16" s="206" t="str">
        <x:v>AN-12</x:v>
      </x:c>
      <x:c r="B16" s="207" t="str">
        <x:v>Налоговое обязательство ↔ платёж</x:v>
      </x:c>
      <x:c r="C16" s="207" t="str">
        <x:v>Невозможно завершить</x:v>
      </x:c>
      <x:c r="D16" s="207" t="str">
        <x:v>Заблокировано</x:v>
      </x:c>
      <x:c r="E16" s="207" t="str">
        <x:v>182 bank tax ops</x:v>
      </x:c>
      <x:c r="F16" s="207" t="str">
        <x:v>Cash side only</x:v>
      </x:c>
      <x:c r="G16" s="207" t="str">
        <x:v>Нет ENS allocation/obligation register</x:v>
      </x:c>
      <x:c r="H16" s="208" t="str">
        <x:v>IG-17; IG-18</x:v>
      </x:c>
    </x:row>
    <x:row r="17">
      <x:c r="A17" s="206" t="str">
        <x:v>AN-13</x:v>
      </x:c>
      <x:c r="B17" s="207" t="str">
        <x:v>Помесячный налоговый календарь</x:v>
      </x:c>
      <x:c r="C17" s="207" t="str">
        <x:v>Частично</x:v>
      </x:c>
      <x:c r="D17" s="207" t="str">
        <x:v>Частично</x:v>
      </x:c>
      <x:c r="E17" s="207" t="str">
        <x:v>60 entity-month records</x:v>
      </x:c>
      <x:c r="F17" s="207" t="str">
        <x:v>Bank + forms hints</x:v>
      </x:c>
      <x:c r="G17" s="207" t="str">
        <x:v>Нет уведомлений и full monthly tax ledger</x:v>
      </x:c>
      <x:c r="H17" s="208" t="str">
        <x:v>IG-17; IG-18; IG-19</x:v>
      </x:c>
    </x:row>
    <x:row r="18">
      <x:c r="A18" s="206" t="str">
        <x:v>AN-14</x:v>
      </x:c>
      <x:c r="B18" s="207" t="str">
        <x:v>Current tax exposure</x:v>
      </x:c>
      <x:c r="C18" s="207" t="str">
        <x:v>Частично</x:v>
      </x:c>
      <x:c r="D18" s="207" t="str">
        <x:v>Частично</x:v>
      </x:c>
      <x:c r="E18" s="207" t="str">
        <x:v>Справки по ИП на 25.06.2026</x:v>
      </x:c>
      <x:c r="F18" s="207" t="str">
        <x:v>ИП Янина</x:v>
      </x:c>
      <x:c r="G18" s="207" t="str">
        <x:v>Нет аналогичных актуальных справок по ДЕКОР</x:v>
      </x:c>
      <x:c r="H18" s="208" t="str">
        <x:v>IG-20</x:v>
      </x:c>
    </x:row>
    <x:row r="19">
      <x:c r="A19" s="206" t="str">
        <x:v>AN-15</x:v>
      </x:c>
      <x:c r="B19" s="207" t="str">
        <x:v>SKU master</x:v>
      </x:c>
      <x:c r="C19" s="207" t="str">
        <x:v>Частично</x:v>
      </x:c>
      <x:c r="D19" s="207" t="str">
        <x:v>Частично</x:v>
      </x:c>
      <x:c r="E19" s="207" t="str">
        <x:v>234 SKU; 599 aliases; 124 decisions</x:v>
      </x:c>
      <x:c r="F19" s="207" t="str">
        <x:v>ЦУМ + collection/cost candidates</x:v>
      </x:c>
      <x:c r="G19" s="207" t="str">
        <x:v>Нет approved canonical master</x:v>
      </x:c>
      <x:c r="H19" s="208" t="str">
        <x:v>IG-01</x:v>
      </x:c>
    </x:row>
    <x:row r="20">
      <x:c r="A20" s="206" t="str">
        <x:v>AN-16</x:v>
      </x:c>
      <x:c r="B20" s="207" t="str">
        <x:v>Маржа SKU</x:v>
      </x:c>
      <x:c r="C20" s="207" t="str">
        <x:v>Частично</x:v>
      </x:c>
      <x:c r="D20" s="207" t="str">
        <x:v>Частично</x:v>
      </x:c>
      <x:c r="E20" s="207" t="str">
        <x:v>82 SKU с однозначной cost</x:v>
      </x:c>
      <x:c r="F20" s="207" t="str">
        <x:v>Covered subset only</x:v>
      </x:c>
      <x:c r="G20" s="207" t="str">
        <x:v>131 missing cost; 21 multiple; no FG/COGS close</x:v>
      </x:c>
      <x:c r="H20" s="208" t="str">
        <x:v>IG-01; IG-02; IG-04</x:v>
      </x:c>
    </x:row>
    <x:row r="21">
      <x:c r="A21" s="206" t="str">
        <x:v>AN-17</x:v>
      </x:c>
      <x:c r="B21" s="207" t="str">
        <x:v>Маржа коллекций</x:v>
      </x:c>
      <x:c r="C21" s="207" t="str">
        <x:v>Невозможно завершить</x:v>
      </x:c>
      <x:c r="D21" s="207" t="str">
        <x:v>Заблокировано</x:v>
      </x:c>
      <x:c r="E21" s="207" t="str">
        <x:v>Collection files and candidate links</x:v>
      </x:c>
      <x:c r="F21" s="207" t="str">
        <x:v>Низкое точное покрытие</x:v>
      </x:c>
      <x:c r="G21" s="207" t="str">
        <x:v>Нет model/SKU mapping and full cost/sales</x:v>
      </x:c>
      <x:c r="H21" s="208" t="str">
        <x:v>IG-01; IG-04; IG-07</x:v>
      </x:c>
    </x:row>
    <x:row r="22">
      <x:c r="A22" s="206" t="str">
        <x:v>AN-18</x:v>
      </x:c>
      <x:c r="B22" s="207" t="str">
        <x:v>Маржа каналов</x:v>
      </x:c>
      <x:c r="C22" s="207" t="str">
        <x:v>Частично</x:v>
      </x:c>
      <x:c r="D22" s="207" t="str">
        <x:v>Частично</x:v>
      </x:c>
      <x:c r="E22" s="207" t="str">
        <x:v>Cash mix и отдельные channel aggregates</x:v>
      </x:c>
      <x:c r="F22" s="207" t="str">
        <x:v>ЦУМ/B2B лучше покрыты</x:v>
      </x:c>
      <x:c r="G22" s="207" t="str">
        <x:v>Нет detailed Salon/Shop/online and settlement costs</x:v>
      </x:c>
      <x:c r="H22" s="208" t="str">
        <x:v>IG-07; IG-09</x:v>
      </x:c>
    </x:row>
    <x:row r="23">
      <x:c r="A23" s="206" t="str">
        <x:v>AN-19</x:v>
      </x:c>
      <x:c r="B23" s="207" t="str">
        <x:v>Стоимость и возраст готовой продукции</x:v>
      </x:c>
      <x:c r="C23" s="207" t="str">
        <x:v>Невозможно завершить</x:v>
      </x:c>
      <x:c r="D23" s="207" t="str">
        <x:v>Заблокировано</x:v>
      </x:c>
      <x:c r="E23" s="207" t="str">
        <x:v>Нет current FG register</x:v>
      </x:c>
      <x:c r="F23" s="207" t="str">
        <x:v>—</x:v>
      </x:c>
      <x:c r="G23" s="207" t="str">
        <x:v>Нет movements, cost and dates</x:v>
      </x:c>
      <x:c r="H23" s="208" t="str">
        <x:v>IG-02; IG-04</x:v>
      </x:c>
    </x:row>
    <x:row r="24">
      <x:c r="A24" s="206" t="str">
        <x:v>AN-20</x:v>
      </x:c>
      <x:c r="B24" s="207" t="str">
        <x:v>Стоимость материалов на дату</x:v>
      </x:c>
      <x:c r="C24" s="207" t="str">
        <x:v>Готово с оговоркой</x:v>
      </x:c>
      <x:c r="D24" s="207" t="str">
        <x:v>Готово</x:v>
      </x:c>
      <x:c r="E24" s="207" t="str">
        <x:v>29 837 656,49 руб. на 31.05.2026</x:v>
      </x:c>
      <x:c r="F24" s="207" t="str">
        <x:v>1C snapshot</x:v>
      </x:c>
      <x:c r="G24" s="207" t="str">
        <x:v>Не история движения/не proof of liquidity</x:v>
      </x:c>
      <x:c r="H24" s="208" t="str">
        <x:v>IG-05</x:v>
      </x:c>
    </x:row>
    <x:row r="25">
      <x:c r="A25" s="206" t="str">
        <x:v>AN-21</x:v>
      </x:c>
      <x:c r="B25" s="207" t="str">
        <x:v>Material aging/неликвид</x:v>
      </x:c>
      <x:c r="C25" s="207" t="str">
        <x:v>Невозможно завершить</x:v>
      </x:c>
      <x:c r="D25" s="207" t="str">
        <x:v>Заблокировано</x:v>
      </x:c>
      <x:c r="E25" s="207" t="str">
        <x:v>Snapshot only</x:v>
      </x:c>
      <x:c r="F25" s="207" t="str">
        <x:v>1 338 rows</x:v>
      </x:c>
      <x:c r="G25" s="207" t="str">
        <x:v>Нет lots/movements/reservations/issues</x:v>
      </x:c>
      <x:c r="H25" s="208" t="str">
        <x:v>IG-05; IG-06</x:v>
      </x:c>
    </x:row>
    <x:row r="26">
      <x:c r="A26" s="206" t="str">
        <x:v>AN-22</x:v>
      </x:c>
      <x:c r="B26" s="207" t="str">
        <x:v>WIP</x:v>
      </x:c>
      <x:c r="C26" s="207" t="str">
        <x:v>Невозможно завершить</x:v>
      </x:c>
      <x:c r="D26" s="207" t="str">
        <x:v>Заблокировано</x:v>
      </x:c>
      <x:c r="E26" s="207" t="str">
        <x:v>Production plan drafts</x:v>
      </x:c>
      <x:c r="F26" s="207" t="str">
        <x:v>163 orders</x:v>
      </x:c>
      <x:c r="G26" s="207" t="str">
        <x:v>Нет status, qty, issue/output and valuation</x:v>
      </x:c>
      <x:c r="H26" s="208" t="str">
        <x:v>IG-03; IG-05; IG-10</x:v>
      </x:c>
    </x:row>
    <x:row r="27">
      <x:c r="A27" s="206" t="str">
        <x:v>AN-23</x:v>
      </x:c>
      <x:c r="B27" s="207" t="str">
        <x:v>Production lead time</x:v>
      </x:c>
      <x:c r="C27" s="207" t="str">
        <x:v>Невозможно завершить</x:v>
      </x:c>
      <x:c r="D27" s="207" t="str">
        <x:v>Заблокировано</x:v>
      </x:c>
      <x:c r="E27" s="207" t="str">
        <x:v>Dates in free text</x:v>
      </x:c>
      <x:c r="F27" s="207" t="str">
        <x:v>163 orders / 475 tasks</x:v>
      </x:c>
      <x:c r="G27" s="207" t="str">
        <x:v>Нет reliable start/end/order IDs</x:v>
      </x:c>
      <x:c r="H27" s="208" t="str">
        <x:v>IG-03; IG-10</x:v>
      </x:c>
    </x:row>
    <x:row r="28">
      <x:c r="A28" s="206" t="str">
        <x:v>AN-24</x:v>
      </x:c>
      <x:c r="B28" s="207" t="str">
        <x:v>Производительность и загрузка</x:v>
      </x:c>
      <x:c r="C28" s="207" t="str">
        <x:v>Невозможно завершить</x:v>
      </x:c>
      <x:c r="D28" s="207" t="str">
        <x:v>Заблокировано</x:v>
      </x:c>
      <x:c r="E28" s="207" t="str">
        <x:v>Text tasks only</x:v>
      </x:c>
      <x:c r="F28" s="207" t="str">
        <x:v>24 executor rows / 475 tasks</x:v>
      </x:c>
      <x:c r="G28" s="207" t="str">
        <x:v>Нет actual hours/output/rework</x:v>
      </x:c>
      <x:c r="H28" s="208" t="str">
        <x:v>IG-10</x:v>
      </x:c>
    </x:row>
    <x:row r="29">
      <x:c r="A29" s="206" t="str">
        <x:v>AN-25</x:v>
      </x:c>
      <x:c r="B29" s="207" t="str">
        <x:v>Supplier performance</x:v>
      </x:c>
      <x:c r="C29" s="207" t="str">
        <x:v>Невозможно завершить</x:v>
      </x:c>
      <x:c r="D29" s="207" t="str">
        <x:v>Заблокировано</x:v>
      </x:c>
      <x:c r="E29" s="207" t="str">
        <x:v>63 suppliers</x:v>
      </x:c>
      <x:c r="F29" s="207" t="str">
        <x:v>Directory only</x:v>
      </x:c>
      <x:c r="G29" s="207" t="str">
        <x:v>Нет PO/GRN/quality/lead time/payment link</x:v>
      </x:c>
      <x:c r="H29" s="208" t="str">
        <x:v>IG-08; IG-21</x:v>
      </x:c>
    </x:row>
    <x:row r="30">
      <x:c r="A30" s="206" t="str">
        <x:v>AN-26</x:v>
      </x:c>
      <x:c r="B30" s="207" t="str">
        <x:v>Procure-to-pay</x:v>
      </x:c>
      <x:c r="C30" s="207" t="str">
        <x:v>Невозможно завершить</x:v>
      </x:c>
      <x:c r="D30" s="207" t="str">
        <x:v>Заблокировано</x:v>
      </x:c>
      <x:c r="E30" s="207" t="str">
        <x:v>Bank payments and supplier list</x:v>
      </x:c>
      <x:c r="F30" s="207" t="str">
        <x:v>Cash side only</x:v>
      </x:c>
      <x:c r="G30" s="207" t="str">
        <x:v>Нет request/PO/GRN/invoice chain</x:v>
      </x:c>
      <x:c r="H30" s="208" t="str">
        <x:v>IG-08; IG-09</x:v>
      </x:c>
    </x:row>
    <x:row r="31">
      <x:c r="A31" s="206" t="str">
        <x:v>AN-27</x:v>
      </x:c>
      <x:c r="B31" s="207" t="str">
        <x:v>Order-to-cash</x:v>
      </x:c>
      <x:c r="C31" s="207" t="str">
        <x:v>Частично</x:v>
      </x:c>
      <x:c r="D31" s="207" t="str">
        <x:v>Частично</x:v>
      </x:c>
      <x:c r="E31" s="207" t="str">
        <x:v>ЦУМ 27/29; B2B 17/17 aggregate</x:v>
      </x:c>
      <x:c r="F31" s="207" t="str">
        <x:v>Monthly aggregate</x:v>
      </x:c>
      <x:c r="G31" s="207" t="str">
        <x:v>Нет sales line/settlement/payment allocation</x:v>
      </x:c>
      <x:c r="H31" s="208" t="str">
        <x:v>IG-07; IG-09</x:v>
      </x:c>
    </x:row>
    <x:row r="32">
      <x:c r="A32" s="206" t="str">
        <x:v>AN-28</x:v>
      </x:c>
      <x:c r="B32" s="207" t="str">
        <x:v>Cash conversion cycle</x:v>
      </x:c>
      <x:c r="C32" s="207" t="str">
        <x:v>Невозможно завершить</x:v>
      </x:c>
      <x:c r="D32" s="207" t="str">
        <x:v>Заблокировано</x:v>
      </x:c>
      <x:c r="E32" s="207" t="str">
        <x:v>Cash and partial sales</x:v>
      </x:c>
      <x:c r="F32" s="207" t="str">
        <x:v>—</x:v>
      </x:c>
      <x:c r="G32" s="207" t="str">
        <x:v>Нет inventory, AR/AP, procurement timing</x:v>
      </x:c>
      <x:c r="H32" s="208" t="str">
        <x:v>IG-02; IG-05; IG-08; IG-14</x:v>
      </x:c>
    </x:row>
    <x:row r="33">
      <x:c r="A33" s="206" t="str">
        <x:v>AN-29</x:v>
      </x:c>
      <x:c r="B33" s="207" t="str">
        <x:v>Качество данных и формул</x:v>
      </x:c>
      <x:c r="C33" s="207" t="str">
        <x:v>Готово</x:v>
      </x:c>
      <x:c r="D33" s="207" t="str">
        <x:v>Готово</x:v>
      </x:c>
      <x:c r="E33" s="207" t="str">
        <x:v>557 errors, duplicate, external links</x:v>
      </x:c>
      <x:c r="F33" s="207" t="str">
        <x:v>Переданные files</x:v>
      </x:c>
      <x:c r="G33" s="207" t="str">
        <x:v>Ошибки ещё не исправлены в source systems</x:v>
      </x:c>
      <x:c r="H33" s="208" t="str">
        <x:v>IG-23; IG-24</x:v>
      </x:c>
    </x:row>
    <x:row r="34">
      <x:c r="A34" s="209" t="str">
        <x:v>AN-30</x:v>
      </x:c>
      <x:c r="B34" s="210" t="str">
        <x:v>Зрелость процессов/управления</x:v>
      </x:c>
      <x:c r="C34" s="210" t="str">
        <x:v>Готово с оговоркой</x:v>
      </x:c>
      <x:c r="D34" s="210" t="str">
        <x:v>Готово</x:v>
      </x:c>
      <x:c r="E34" s="210" t="str">
        <x:v>35 evidence observations; maturity 1.7/5</x:v>
      </x:c>
      <x:c r="F34" s="210" t="str">
        <x:v>Документированный периметр</x:v>
      </x:c>
      <x:c r="G34" s="210" t="str">
        <x:v>Нужны interviews and system walkthroughs</x:v>
      </x:c>
      <x:c r="H34" s="211" t="str">
        <x:v>IG-22; IG-23</x:v>
      </x:c>
    </x:row>
  </x:sheetData>
  <x:mergeCells>
    <x:mergeCell ref="A1:H1"/>
    <x:mergeCell ref="A2:H2"/>
  </x:mergeCells>
  <x:conditionalFormatting sqref="C5:C34">
    <x:cfRule type="expression" dxfId="90" priority="1">
      <x:formula>ISNUMBER(SEARCH("Подтверж",C5))</x:formula>
    </x:cfRule>
    <x:cfRule type="expression" dxfId="91" priority="2">
      <x:formula>OR(ISNUMBER(SEARCH("Част",C5)),ISNUMBER(SEARCH("оговор",C5)),ISNUMBER(SEARCH("агрегат",C5)))</x:formula>
    </x:cfRule>
    <x:cfRule type="expression" dxfId="92" priority="3">
      <x:formula>OR(ISNUMBER(SEARCH("Отсутств",C5)),ISNUMBER(SEARCH("Невозмож",C5)),ISNUMBER(SEARCH("Заблок",C5)))</x:formula>
    </x:cfRule>
  </x:conditionalFormatting>
  <x:conditionalFormatting sqref="D5:D34">
    <x:cfRule type="expression" dxfId="93" priority="4">
      <x:formula>ISNUMBER(SEARCH("Подтверж",D5))</x:formula>
    </x:cfRule>
    <x:cfRule type="expression" dxfId="94" priority="5">
      <x:formula>OR(ISNUMBER(SEARCH("Част",D5)),ISNUMBER(SEARCH("оговор",D5)),ISNUMBER(SEARCH("агрегат",D5)))</x:formula>
    </x:cfRule>
    <x:cfRule type="expression" dxfId="95" priority="6">
      <x:formula>OR(ISNUMBER(SEARCH("Отсутств",D5)),ISNUMBER(SEARCH("Невозмож",D5)),ISNUMBER(SEARCH("Заблок",D5)))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6" hidden="0" customWidth="1"/>
    <x:col min="4" max="4" width="24" hidden="0" customWidth="1"/>
    <x:col min="5" max="5" width="16" hidden="0" customWidth="1"/>
    <x:col min="6" max="6" width="12" hidden="0" customWidth="1"/>
    <x:col min="7" max="7" width="38" hidden="0" customWidth="1"/>
    <x:col min="8" max="8" width="38" hidden="0" customWidth="1"/>
    <x:col min="9" max="9" width="22" hidden="0" customWidth="1"/>
    <x:col min="10" max="10" width="28" hidden="0" customWidth="1"/>
    <x:col min="11" max="11" width="28" hidden="0" customWidth="1"/>
  </x:cols>
  <x:sheetData>
    <x:row r="1" ht="28" customHeight="1">
      <x:c r="A1" s="5" t="str">
        <x:v>ОБЯЗАТЕЛЬНЫЕ DATA CONTRACTS И ИДЕНТИФИКАТОРЫ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2" customHeight="1">
      <x:c r="A2" s="14" t="str">
        <x:v>Минимальные поля, определения, владельцы и проверки. Пока они не утверждены, автоматические joins считаются предварительными.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4" ht="28" customHeight="1">
      <x:c r="A4" s="169" t="str">
        <x:v>contract_id</x:v>
      </x:c>
      <x:c r="B4" s="170" t="str">
        <x:v>domain</x:v>
      </x:c>
      <x:c r="C4" s="170" t="str">
        <x:v>field</x:v>
      </x:c>
      <x:c r="D4" s="170" t="str">
        <x:v>object</x:v>
      </x:c>
      <x:c r="E4" s="170" t="str">
        <x:v>exists_now</x:v>
      </x:c>
      <x:c r="F4" s="170" t="str">
        <x:v>required</x:v>
      </x:c>
      <x:c r="G4" s="170" t="str">
        <x:v>definition</x:v>
      </x:c>
      <x:c r="H4" s="170" t="str">
        <x:v>validation</x:v>
      </x:c>
      <x:c r="I4" s="170" t="str">
        <x:v>owner</x:v>
      </x:c>
      <x:c r="J4" s="170" t="str">
        <x:v>source_system</x:v>
      </x:c>
      <x:c r="K4" s="171" t="str">
        <x:v>target_system</x:v>
      </x:c>
    </x:row>
    <x:row r="5">
      <x:c r="A5" s="203" t="str">
        <x:v>DC-001</x:v>
      </x:c>
      <x:c r="B5" s="204" t="str">
        <x:v>Продукт/операции</x:v>
      </x:c>
      <x:c r="C5" s="204" t="str">
        <x:v>canonical_sku</x:v>
      </x:c>
      <x:c r="D5" s="204" t="str">
        <x:v>SKU</x:v>
      </x:c>
      <x:c r="E5" s="204" t="str">
        <x:v>Частично</x:v>
      </x:c>
      <x:c r="F5" s="204" t="str">
        <x:v>Да</x:v>
      </x:c>
      <x:c r="G5" s="204" t="str">
        <x:v>Постоянный идентификатор SKU</x:v>
      </x:c>
      <x:c r="H5" s="204" t="str">
        <x:v>Уникален; alias не перекрываются</x:v>
      </x:c>
      <x:c r="I5" s="204" t="str">
        <x:v>Продуктовый блок</x:v>
      </x:c>
      <x:c r="J5" s="204" t="str">
        <x:v>Текущие файлы / предварительный registry</x:v>
      </x:c>
      <x:c r="K5" s="205" t="str">
        <x:v>MDM/ERP/DWH/Data catalog</x:v>
      </x:c>
    </x:row>
    <x:row r="6">
      <x:c r="A6" s="206" t="str">
        <x:v>DC-002</x:v>
      </x:c>
      <x:c r="B6" s="207" t="str">
        <x:v>Продукт/операции</x:v>
      </x:c>
      <x:c r="C6" s="207" t="str">
        <x:v>model_id</x:v>
      </x:c>
      <x:c r="D6" s="207" t="str">
        <x:v>Модель</x:v>
      </x:c>
      <x:c r="E6" s="207" t="str">
        <x:v>Нет</x:v>
      </x:c>
      <x:c r="F6" s="207" t="str">
        <x:v>Да</x:v>
      </x:c>
      <x:c r="G6" s="207" t="str">
        <x:v>Постоянный ID модели без размера/цвета</x:v>
      </x:c>
      <x:c r="H6" s="207" t="str">
        <x:v>Одна модель — одна карточка и версии</x:v>
      </x:c>
      <x:c r="I6" s="207" t="str">
        <x:v>Продуктовый блок</x:v>
      </x:c>
      <x:c r="J6" s="207" t="str">
        <x:v>Текущие файлы / предварительный registry</x:v>
      </x:c>
      <x:c r="K6" s="208" t="str">
        <x:v>MDM/ERP/DWH/Data catalog</x:v>
      </x:c>
    </x:row>
    <x:row r="7">
      <x:c r="A7" s="206" t="str">
        <x:v>DC-003</x:v>
      </x:c>
      <x:c r="B7" s="207" t="str">
        <x:v>Продукт/операции</x:v>
      </x:c>
      <x:c r="C7" s="207" t="str">
        <x:v>version_id</x:v>
      </x:c>
      <x:c r="D7" s="207" t="str">
        <x:v>Модель/BOM/cost</x:v>
      </x:c>
      <x:c r="E7" s="207" t="str">
        <x:v>Нет</x:v>
      </x:c>
      <x:c r="F7" s="207" t="str">
        <x:v>Да</x:v>
      </x:c>
      <x:c r="G7" s="207" t="str">
        <x:v>Версия объекта с датой действия</x:v>
      </x:c>
      <x:c r="H7" s="207" t="str">
        <x:v>Неизменяемость утверждённой версии</x:v>
      </x:c>
      <x:c r="I7" s="207" t="str">
        <x:v>Продуктовый блок/финансы</x:v>
      </x:c>
      <x:c r="J7" s="207" t="str">
        <x:v>Текущие файлы / предварительный registry</x:v>
      </x:c>
      <x:c r="K7" s="208" t="str">
        <x:v>MDM/ERP/DWH/Data catalog</x:v>
      </x:c>
    </x:row>
    <x:row r="8">
      <x:c r="A8" s="206" t="str">
        <x:v>DC-004</x:v>
      </x:c>
      <x:c r="B8" s="207" t="str">
        <x:v>Продукт/операции</x:v>
      </x:c>
      <x:c r="C8" s="207" t="str">
        <x:v>material_id</x:v>
      </x:c>
      <x:c r="D8" s="207" t="str">
        <x:v>Материал</x:v>
      </x:c>
      <x:c r="E8" s="207" t="str">
        <x:v>Частично</x:v>
      </x:c>
      <x:c r="F8" s="207" t="str">
        <x:v>Да</x:v>
      </x:c>
      <x:c r="G8" s="207" t="str">
        <x:v>ID номенклатуры материала</x:v>
      </x:c>
      <x:c r="H8" s="207" t="str">
        <x:v>UOM, состав, цвет, поставщик</x:v>
      </x:c>
      <x:c r="I8" s="207" t="str">
        <x:v>Закупки/склад</x:v>
      </x:c>
      <x:c r="J8" s="207" t="str">
        <x:v>Текущие файлы / предварительный registry</x:v>
      </x:c>
      <x:c r="K8" s="208" t="str">
        <x:v>MDM/ERP/DWH/Data catalog</x:v>
      </x:c>
    </x:row>
    <x:row r="9">
      <x:c r="A9" s="206" t="str">
        <x:v>DC-005</x:v>
      </x:c>
      <x:c r="B9" s="207" t="str">
        <x:v>Продукт/операции</x:v>
      </x:c>
      <x:c r="C9" s="207" t="str">
        <x:v>material_lot_id</x:v>
      </x:c>
      <x:c r="D9" s="207" t="str">
        <x:v>Партия материала</x:v>
      </x:c>
      <x:c r="E9" s="207" t="str">
        <x:v>Нет</x:v>
      </x:c>
      <x:c r="F9" s="207" t="str">
        <x:v>Да</x:v>
      </x:c>
      <x:c r="G9" s="207" t="str">
        <x:v>Партия с датой и стоимостью поступления</x:v>
      </x:c>
      <x:c r="H9" s="207" t="str">
        <x:v>Один lot на документ приёмки</x:v>
      </x:c>
      <x:c r="I9" s="207" t="str">
        <x:v>Склад</x:v>
      </x:c>
      <x:c r="J9" s="207" t="str">
        <x:v>Текущие файлы / предварительный registry</x:v>
      </x:c>
      <x:c r="K9" s="208" t="str">
        <x:v>MDM/ERP/DWH/Data catalog</x:v>
      </x:c>
    </x:row>
    <x:row r="10">
      <x:c r="A10" s="206" t="str">
        <x:v>DC-006</x:v>
      </x:c>
      <x:c r="B10" s="207" t="str">
        <x:v>Продукт/операции</x:v>
      </x:c>
      <x:c r="C10" s="207" t="str">
        <x:v>bom_id / bom_line_id</x:v>
      </x:c>
      <x:c r="D10" s="207" t="str">
        <x:v>BOM</x:v>
      </x:c>
      <x:c r="E10" s="207" t="str">
        <x:v>Нет</x:v>
      </x:c>
      <x:c r="F10" s="207" t="str">
        <x:v>Да</x:v>
      </x:c>
      <x:c r="G10" s="207" t="str">
        <x:v>Версионный состав модели</x:v>
      </x:c>
      <x:c r="H10" s="207" t="str">
        <x:v>Сумма норм и единицы; effective dates</x:v>
      </x:c>
      <x:c r="I10" s="207" t="str">
        <x:v>Технолог</x:v>
      </x:c>
      <x:c r="J10" s="207" t="str">
        <x:v>Текущие файлы / предварительный registry</x:v>
      </x:c>
      <x:c r="K10" s="208" t="str">
        <x:v>MDM/ERP/DWH/Data catalog</x:v>
      </x:c>
    </x:row>
    <x:row r="11">
      <x:c r="A11" s="206" t="str">
        <x:v>DC-007</x:v>
      </x:c>
      <x:c r="B11" s="207" t="str">
        <x:v>Продукт/операции</x:v>
      </x:c>
      <x:c r="C11" s="207" t="str">
        <x:v>purchase_order_id</x:v>
      </x:c>
      <x:c r="D11" s="207" t="str">
        <x:v>Закупка</x:v>
      </x:c>
      <x:c r="E11" s="207" t="str">
        <x:v>Нет</x:v>
      </x:c>
      <x:c r="F11" s="207" t="str">
        <x:v>Да</x:v>
      </x:c>
      <x:c r="G11" s="207" t="str">
        <x:v>Утверждённый заказ поставщику</x:v>
      </x:c>
      <x:c r="H11" s="207" t="str">
        <x:v>Связь request→PO→GRN→invoice</x:v>
      </x:c>
      <x:c r="I11" s="207" t="str">
        <x:v>Закупки</x:v>
      </x:c>
      <x:c r="J11" s="207" t="str">
        <x:v>Текущие файлы / предварительный registry</x:v>
      </x:c>
      <x:c r="K11" s="208" t="str">
        <x:v>MDM/ERP/DWH/Data catalog</x:v>
      </x:c>
    </x:row>
    <x:row r="12">
      <x:c r="A12" s="206" t="str">
        <x:v>DC-008</x:v>
      </x:c>
      <x:c r="B12" s="207" t="str">
        <x:v>Продукт/операции</x:v>
      </x:c>
      <x:c r="C12" s="207" t="str">
        <x:v>production_order_id</x:v>
      </x:c>
      <x:c r="D12" s="207" t="str">
        <x:v>Производство</x:v>
      </x:c>
      <x:c r="E12" s="207" t="str">
        <x:v>Частично</x:v>
      </x:c>
      <x:c r="F12" s="207" t="str">
        <x:v>Да</x:v>
      </x:c>
      <x:c r="G12" s="207" t="str">
        <x:v>Заказ на выпуск конкретного SKU/qty</x:v>
      </x:c>
      <x:c r="H12" s="207" t="str">
        <x:v>SKU, qty, dates, status обязательны</x:v>
      </x:c>
      <x:c r="I12" s="207" t="str">
        <x:v>Производство</x:v>
      </x:c>
      <x:c r="J12" s="207" t="str">
        <x:v>Текущие файлы / предварительный registry</x:v>
      </x:c>
      <x:c r="K12" s="208" t="str">
        <x:v>MDM/ERP/DWH/Data catalog</x:v>
      </x:c>
    </x:row>
    <x:row r="13">
      <x:c r="A13" s="206" t="str">
        <x:v>DC-009</x:v>
      </x:c>
      <x:c r="B13" s="207" t="str">
        <x:v>Продукт/операции</x:v>
      </x:c>
      <x:c r="C13" s="207" t="str">
        <x:v>operation_id</x:v>
      </x:c>
      <x:c r="D13" s="207" t="str">
        <x:v>Операция</x:v>
      </x:c>
      <x:c r="E13" s="207" t="str">
        <x:v>Нет</x:v>
      </x:c>
      <x:c r="F13" s="207" t="str">
        <x:v>Да</x:v>
      </x:c>
      <x:c r="G13" s="207" t="str">
        <x:v>Отдельная операция производства</x:v>
      </x:c>
      <x:c r="H13" s="207" t="str">
        <x:v>start/end/hours/output/rework</x:v>
      </x:c>
      <x:c r="I13" s="207" t="str">
        <x:v>Производство</x:v>
      </x:c>
      <x:c r="J13" s="207" t="str">
        <x:v>Текущие файлы / предварительный registry</x:v>
      </x:c>
      <x:c r="K13" s="208" t="str">
        <x:v>MDM/ERP/DWH/Data catalog</x:v>
      </x:c>
    </x:row>
    <x:row r="14">
      <x:c r="A14" s="206" t="str">
        <x:v>DC-010</x:v>
      </x:c>
      <x:c r="B14" s="207" t="str">
        <x:v>Продукт/операции</x:v>
      </x:c>
      <x:c r="C14" s="207" t="str">
        <x:v>cost_version_id</x:v>
      </x:c>
      <x:c r="D14" s="207" t="str">
        <x:v>Себестоимость</x:v>
      </x:c>
      <x:c r="E14" s="207" t="str">
        <x:v>Нет</x:v>
      </x:c>
      <x:c r="F14" s="207" t="str">
        <x:v>Да</x:v>
      </x:c>
      <x:c r="G14" s="207" t="str">
        <x:v>Утверждённая версия фактической/плановой cost</x:v>
      </x:c>
      <x:c r="H14" s="207" t="str">
        <x:v>Одна active version per context/date</x:v>
      </x:c>
      <x:c r="I14" s="207" t="str">
        <x:v>Финансы</x:v>
      </x:c>
      <x:c r="J14" s="207" t="str">
        <x:v>Текущие файлы / предварительный registry</x:v>
      </x:c>
      <x:c r="K14" s="208" t="str">
        <x:v>MDM/ERP/DWH/Data catalog</x:v>
      </x:c>
    </x:row>
    <x:row r="15">
      <x:c r="A15" s="206" t="str">
        <x:v>DC-011</x:v>
      </x:c>
      <x:c r="B15" s="207" t="str">
        <x:v>Продукт/операции</x:v>
      </x:c>
      <x:c r="C15" s="207" t="str">
        <x:v>inventory_movement_id</x:v>
      </x:c>
      <x:c r="D15" s="207" t="str">
        <x:v>Склад</x:v>
      </x:c>
      <x:c r="E15" s="207" t="str">
        <x:v>Нет</x:v>
      </x:c>
      <x:c r="F15" s="207" t="str">
        <x:v>Да</x:v>
      </x:c>
      <x:c r="G15" s="207" t="str">
        <x:v>Строка движения материалов/готовой продукции</x:v>
      </x:c>
      <x:c r="H15" s="207" t="str">
        <x:v>Документ, дата, склад, qty, value</x:v>
      </x:c>
      <x:c r="I15" s="207" t="str">
        <x:v>Склад</x:v>
      </x:c>
      <x:c r="J15" s="207" t="str">
        <x:v>Текущие файлы / предварительный registry</x:v>
      </x:c>
      <x:c r="K15" s="208" t="str">
        <x:v>MDM/ERP/DWH/Data catalog</x:v>
      </x:c>
    </x:row>
    <x:row r="16">
      <x:c r="A16" s="206" t="str">
        <x:v>DC-012</x:v>
      </x:c>
      <x:c r="B16" s="207" t="str">
        <x:v>Продукт/операции</x:v>
      </x:c>
      <x:c r="C16" s="207" t="str">
        <x:v>sales_line_id</x:v>
      </x:c>
      <x:c r="D16" s="207" t="str">
        <x:v>Продажа</x:v>
      </x:c>
      <x:c r="E16" s="207" t="str">
        <x:v>Нет</x:v>
      </x:c>
      <x:c r="F16" s="207" t="str">
        <x:v>Да</x:v>
      </x:c>
      <x:c r="G16" s="207" t="str">
        <x:v>Строка продажи/возврата</x:v>
      </x:c>
      <x:c r="H16" s="207" t="str">
        <x:v>Дата, channel, SKU, qty, price, discount</x:v>
      </x:c>
      <x:c r="I16" s="207" t="str">
        <x:v>Коммерция</x:v>
      </x:c>
      <x:c r="J16" s="207" t="str">
        <x:v>Текущие файлы / предварительный registry</x:v>
      </x:c>
      <x:c r="K16" s="208" t="str">
        <x:v>MDM/ERP/DWH/Data catalog</x:v>
      </x:c>
    </x:row>
    <x:row r="17">
      <x:c r="A17" s="206" t="str">
        <x:v>DC-013</x:v>
      </x:c>
      <x:c r="B17" s="207" t="str">
        <x:v>Продукт/операции</x:v>
      </x:c>
      <x:c r="C17" s="207" t="str">
        <x:v>settlement_id</x:v>
      </x:c>
      <x:c r="D17" s="207" t="str">
        <x:v>Расчёты ЦУМ/B2B</x:v>
      </x:c>
      <x:c r="E17" s="207" t="str">
        <x:v>Нет</x:v>
      </x:c>
      <x:c r="F17" s="207" t="str">
        <x:v>Да</x:v>
      </x:c>
      <x:c r="G17" s="207" t="str">
        <x:v>Отчёт/период расчёта с каналом</x:v>
      </x:c>
      <x:c r="H17" s="207" t="str">
        <x:v>gross-return-commission=net_due</x:v>
      </x:c>
      <x:c r="I17" s="207" t="str">
        <x:v>Финансы</x:v>
      </x:c>
      <x:c r="J17" s="207" t="str">
        <x:v>Текущие файлы / предварительный registry</x:v>
      </x:c>
      <x:c r="K17" s="208" t="str">
        <x:v>MDM/ERP/DWH/Data catalog</x:v>
      </x:c>
    </x:row>
    <x:row r="18">
      <x:c r="A18" s="206" t="str">
        <x:v>DC-014</x:v>
      </x:c>
      <x:c r="B18" s="207" t="str">
        <x:v>Продукт/операции</x:v>
      </x:c>
      <x:c r="C18" s="207" t="str">
        <x:v>bank_payment_id</x:v>
      </x:c>
      <x:c r="D18" s="207" t="str">
        <x:v>Платёж</x:v>
      </x:c>
      <x:c r="E18" s="207" t="str">
        <x:v>Частично</x:v>
      </x:c>
      <x:c r="F18" s="207" t="str">
        <x:v>Да</x:v>
      </x:c>
      <x:c r="G18" s="207" t="str">
        <x:v>Уникальная банковская операция</x:v>
      </x:c>
      <x:c r="H18" s="207" t="str">
        <x:v>Счёт+дата+номер+сумма уникальны</x:v>
      </x:c>
      <x:c r="I18" s="207" t="str">
        <x:v>Финансы</x:v>
      </x:c>
      <x:c r="J18" s="207" t="str">
        <x:v>Текущие файлы / предварительный registry</x:v>
      </x:c>
      <x:c r="K18" s="208" t="str">
        <x:v>MDM/ERP/DWH/Data catalog</x:v>
      </x:c>
    </x:row>
    <x:row r="19">
      <x:c r="A19" s="206" t="str">
        <x:v>DC-015</x:v>
      </x:c>
      <x:c r="B19" s="207" t="str">
        <x:v>Продукт/операции</x:v>
      </x:c>
      <x:c r="C19" s="207" t="str">
        <x:v>source_file_id/source_row_id</x:v>
      </x:c>
      <x:c r="D19" s="207" t="str">
        <x:v>Lineage</x:v>
      </x:c>
      <x:c r="E19" s="207" t="str">
        <x:v>Нет</x:v>
      </x:c>
      <x:c r="F19" s="207" t="str">
        <x:v>Да</x:v>
      </x:c>
      <x:c r="G19" s="207" t="str">
        <x:v>Ссылка на первичный файл и строку</x:v>
      </x:c>
      <x:c r="H19" s="207" t="str">
        <x:v>Каждая canonical запись трассируется назад</x:v>
      </x:c>
      <x:c r="I19" s="207" t="str">
        <x:v>Data steward</x:v>
      </x:c>
      <x:c r="J19" s="207" t="str">
        <x:v>Текущие файлы / предварительный registry</x:v>
      </x:c>
      <x:c r="K19" s="208" t="str">
        <x:v>MDM/ERP/DWH/Data catalog</x:v>
      </x:c>
    </x:row>
    <x:row r="20">
      <x:c r="A20" s="206" t="str">
        <x:v>DC-016</x:v>
      </x:c>
      <x:c r="B20" s="207" t="str">
        <x:v>Налоги/ФОТ</x:v>
      </x:c>
      <x:c r="C20" s="207" t="str">
        <x:v>source_file_id</x:v>
      </x:c>
      <x:c r="D20" s="207" t="str">
        <x:v>Lineage</x:v>
      </x:c>
      <x:c r="E20" s="207" t="str">
        <x:v>Частично</x:v>
      </x:c>
      <x:c r="F20" s="207" t="str">
        <x:v>Да</x:v>
      </x:c>
      <x:c r="G20" s="207" t="str">
        <x:v>Стабильный ID файла-источника</x:v>
      </x:c>
      <x:c r="H20" s="207" t="str">
        <x:v>Unique per file version</x:v>
      </x:c>
      <x:c r="I20" s="207" t="str">
        <x:v>Data steward</x:v>
      </x:c>
      <x:c r="J20" s="207" t="str">
        <x:v>Текущие файлы / предварительный registry</x:v>
      </x:c>
      <x:c r="K20" s="208" t="str">
        <x:v>MDM/ERP/DWH/Data catalog</x:v>
      </x:c>
    </x:row>
    <x:row r="21">
      <x:c r="A21" s="206" t="str">
        <x:v>DC-017</x:v>
      </x:c>
      <x:c r="B21" s="207" t="str">
        <x:v>Налоги/ФОТ</x:v>
      </x:c>
      <x:c r="C21" s="207" t="str">
        <x:v>source_row_id</x:v>
      </x:c>
      <x:c r="D21" s="207" t="str">
        <x:v>Lineage</x:v>
      </x:c>
      <x:c r="E21" s="207" t="str">
        <x:v>Нет</x:v>
      </x:c>
      <x:c r="F21" s="207" t="str">
        <x:v>Да</x:v>
      </x:c>
      <x:c r="G21" s="207" t="str">
        <x:v>Лист/строка или PDF reference</x:v>
      </x:c>
      <x:c r="H21" s="207" t="str">
        <x:v>Not null for imported record</x:v>
      </x:c>
      <x:c r="I21" s="207" t="str">
        <x:v>Data steward</x:v>
      </x:c>
      <x:c r="J21" s="207" t="str">
        <x:v>Текущие файлы / предварительный registry</x:v>
      </x:c>
      <x:c r="K21" s="208" t="str">
        <x:v>MDM/ERP/DWH/Data catalog</x:v>
      </x:c>
    </x:row>
    <x:row r="22">
      <x:c r="A22" s="206" t="str">
        <x:v>DC-018</x:v>
      </x:c>
      <x:c r="B22" s="207" t="str">
        <x:v>Налоги/ФОТ</x:v>
      </x:c>
      <x:c r="C22" s="207" t="str">
        <x:v>version_id</x:v>
      </x:c>
      <x:c r="D22" s="207" t="str">
        <x:v>Lineage</x:v>
      </x:c>
      <x:c r="E22" s="207" t="str">
        <x:v>Нет</x:v>
      </x:c>
      <x:c r="F22" s="207" t="str">
        <x:v>Да</x:v>
      </x:c>
      <x:c r="G22" s="207" t="str">
        <x:v>Версия/корректировка документа</x:v>
      </x:c>
      <x:c r="H22" s="207" t="str">
        <x:v>Correction chain</x:v>
      </x:c>
      <x:c r="I22" s="207" t="str">
        <x:v>Бухгалтерия</x:v>
      </x:c>
      <x:c r="J22" s="207" t="str">
        <x:v>Текущие файлы / предварительный registry</x:v>
      </x:c>
      <x:c r="K22" s="208" t="str">
        <x:v>MDM/ERP/DWH/Data catalog</x:v>
      </x:c>
    </x:row>
    <x:row r="23">
      <x:c r="A23" s="206" t="str">
        <x:v>DC-019</x:v>
      </x:c>
      <x:c r="B23" s="207" t="str">
        <x:v>Налоги/ФОТ</x:v>
      </x:c>
      <x:c r="C23" s="207" t="str">
        <x:v>employer_id</x:v>
      </x:c>
      <x:c r="D23" s="207" t="str">
        <x:v>Master</x:v>
      </x:c>
      <x:c r="E23" s="207" t="str">
        <x:v>Частично</x:v>
      </x:c>
      <x:c r="F23" s="207" t="str">
        <x:v>Да</x:v>
      </x:c>
      <x:c r="G23" s="207" t="str">
        <x:v>ИП/ООО плательщик</x:v>
      </x:c>
      <x:c r="H23" s="207" t="str">
        <x:v>FK employer master</x:v>
      </x:c>
      <x:c r="I23" s="207" t="str">
        <x:v>Бухгалтерия</x:v>
      </x:c>
      <x:c r="J23" s="207" t="str">
        <x:v>Текущие файлы / предварительный registry</x:v>
      </x:c>
      <x:c r="K23" s="208" t="str">
        <x:v>MDM/ERP/DWH/Data catalog</x:v>
      </x:c>
    </x:row>
    <x:row r="24">
      <x:c r="A24" s="206" t="str">
        <x:v>DC-020</x:v>
      </x:c>
      <x:c r="B24" s="207" t="str">
        <x:v>Налоги/ФОТ</x:v>
      </x:c>
      <x:c r="C24" s="207" t="str">
        <x:v>employee_id</x:v>
      </x:c>
      <x:c r="D24" s="207" t="str">
        <x:v>Master</x:v>
      </x:c>
      <x:c r="E24" s="207" t="str">
        <x:v>Нет</x:v>
      </x:c>
      <x:c r="F24" s="207" t="str">
        <x:v>Да</x:v>
      </x:c>
      <x:c r="G24" s="207" t="str">
        <x:v>Обезличенный стабильный ID сотрудника</x:v>
      </x:c>
      <x:c r="H24" s="207" t="str">
        <x:v>Unique, valid dates</x:v>
      </x:c>
      <x:c r="I24" s="207" t="str">
        <x:v>HR</x:v>
      </x:c>
      <x:c r="J24" s="207" t="str">
        <x:v>Текущие файлы / предварительный registry</x:v>
      </x:c>
      <x:c r="K24" s="208" t="str">
        <x:v>MDM/ERP/DWH/Data catalog</x:v>
      </x:c>
    </x:row>
    <x:row r="25">
      <x:c r="A25" s="206" t="str">
        <x:v>DC-021</x:v>
      </x:c>
      <x:c r="B25" s="207" t="str">
        <x:v>Налоги/ФОТ</x:v>
      </x:c>
      <x:c r="C25" s="207" t="str">
        <x:v>accrual_period</x:v>
      </x:c>
      <x:c r="D25" s="207" t="str">
        <x:v>Payroll</x:v>
      </x:c>
      <x:c r="E25" s="207" t="str">
        <x:v>Частично</x:v>
      </x:c>
      <x:c r="F25" s="207" t="str">
        <x:v>Да</x:v>
      </x:c>
      <x:c r="G25" s="207" t="str">
        <x:v>Месяц начисления</x:v>
      </x:c>
      <x:c r="H25" s="207" t="str">
        <x:v>YYYY-MM</x:v>
      </x:c>
      <x:c r="I25" s="207" t="str">
        <x:v>HR</x:v>
      </x:c>
      <x:c r="J25" s="207" t="str">
        <x:v>Текущие файлы / предварительный registry</x:v>
      </x:c>
      <x:c r="K25" s="208" t="str">
        <x:v>MDM/ERP/DWH/Data catalog</x:v>
      </x:c>
    </x:row>
    <x:row r="26">
      <x:c r="A26" s="206" t="str">
        <x:v>DC-022</x:v>
      </x:c>
      <x:c r="B26" s="207" t="str">
        <x:v>Налоги/ФОТ</x:v>
      </x:c>
      <x:c r="C26" s="207" t="str">
        <x:v>payroll_batch_id</x:v>
      </x:c>
      <x:c r="D26" s="207" t="str">
        <x:v>Payroll</x:v>
      </x:c>
      <x:c r="E26" s="207" t="str">
        <x:v>Нет</x:v>
      </x:c>
      <x:c r="F26" s="207" t="str">
        <x:v>Да</x:v>
      </x:c>
      <x:c r="G26" s="207" t="str">
        <x:v>Пакет выплаты</x:v>
      </x:c>
      <x:c r="H26" s="207" t="str">
        <x:v>Unique per bank registry</x:v>
      </x:c>
      <x:c r="I26" s="207" t="str">
        <x:v>HR/Финансы</x:v>
      </x:c>
      <x:c r="J26" s="207" t="str">
        <x:v>Текущие файлы / предварительный registry</x:v>
      </x:c>
      <x:c r="K26" s="208" t="str">
        <x:v>MDM/ERP/DWH/Data catalog</x:v>
      </x:c>
    </x:row>
    <x:row r="27">
      <x:c r="A27" s="206" t="str">
        <x:v>DC-023</x:v>
      </x:c>
      <x:c r="B27" s="207" t="str">
        <x:v>Налоги/ФОТ</x:v>
      </x:c>
      <x:c r="C27" s="207" t="str">
        <x:v>declaration_id</x:v>
      </x:c>
      <x:c r="D27" s="207" t="str">
        <x:v>Tax form</x:v>
      </x:c>
      <x:c r="E27" s="207" t="str">
        <x:v>Частично</x:v>
      </x:c>
      <x:c r="F27" s="207" t="str">
        <x:v>Да</x:v>
      </x:c>
      <x:c r="G27" s="207" t="str">
        <x:v>Форма + плательщик + период + корректировка</x:v>
      </x:c>
      <x:c r="H27" s="207" t="str">
        <x:v>Unique active version</x:v>
      </x:c>
      <x:c r="I27" s="207" t="str">
        <x:v>Бухгалтерия</x:v>
      </x:c>
      <x:c r="J27" s="207" t="str">
        <x:v>Текущие файлы / предварительный registry</x:v>
      </x:c>
      <x:c r="K27" s="208" t="str">
        <x:v>MDM/ERP/DWH/Data catalog</x:v>
      </x:c>
    </x:row>
    <x:row r="28">
      <x:c r="A28" s="206" t="str">
        <x:v>DC-024</x:v>
      </x:c>
      <x:c r="B28" s="207" t="str">
        <x:v>Налоги/ФОТ</x:v>
      </x:c>
      <x:c r="C28" s="207" t="str">
        <x:v>tax_type</x:v>
      </x:c>
      <x:c r="D28" s="207" t="str">
        <x:v>Tax obligation</x:v>
      </x:c>
      <x:c r="E28" s="207" t="str">
        <x:v>Частично</x:v>
      </x:c>
      <x:c r="F28" s="207" t="str">
        <x:v>Да</x:v>
      </x:c>
      <x:c r="G28" s="207" t="str">
        <x:v>НДФЛ/РСВ/НСиПЗ/прочее</x:v>
      </x:c>
      <x:c r="H28" s="207" t="str">
        <x:v>Controlled dictionary</x:v>
      </x:c>
      <x:c r="I28" s="207" t="str">
        <x:v>Бухгалтерия</x:v>
      </x:c>
      <x:c r="J28" s="207" t="str">
        <x:v>Текущие файлы / предварительный registry</x:v>
      </x:c>
      <x:c r="K28" s="208" t="str">
        <x:v>MDM/ERP/DWH/Data catalog</x:v>
      </x:c>
    </x:row>
    <x:row r="29">
      <x:c r="A29" s="206" t="str">
        <x:v>DC-025</x:v>
      </x:c>
      <x:c r="B29" s="207" t="str">
        <x:v>Налоги/ФОТ</x:v>
      </x:c>
      <x:c r="C29" s="207" t="str">
        <x:v>obligation_id</x:v>
      </x:c>
      <x:c r="D29" s="207" t="str">
        <x:v>Tax obligation</x:v>
      </x:c>
      <x:c r="E29" s="207" t="str">
        <x:v>Нет</x:v>
      </x:c>
      <x:c r="F29" s="207" t="str">
        <x:v>Да</x:v>
      </x:c>
      <x:c r="G29" s="207" t="str">
        <x:v>Налоговое обязательство по сроку</x:v>
      </x:c>
      <x:c r="H29" s="207" t="str">
        <x:v>Unique; amount/due_date required</x:v>
      </x:c>
      <x:c r="I29" s="207" t="str">
        <x:v>Бухгалтерия</x:v>
      </x:c>
      <x:c r="J29" s="207" t="str">
        <x:v>Текущие файлы / предварительный registry</x:v>
      </x:c>
      <x:c r="K29" s="208" t="str">
        <x:v>MDM/ERP/DWH/Data catalog</x:v>
      </x:c>
    </x:row>
    <x:row r="30">
      <x:c r="A30" s="206" t="str">
        <x:v>DC-026</x:v>
      </x:c>
      <x:c r="B30" s="207" t="str">
        <x:v>Налоги/ФОТ</x:v>
      </x:c>
      <x:c r="C30" s="207" t="str">
        <x:v>due_date</x:v>
      </x:c>
      <x:c r="D30" s="207" t="str">
        <x:v>Tax obligation</x:v>
      </x:c>
      <x:c r="E30" s="207" t="str">
        <x:v>Нет в ledger</x:v>
      </x:c>
      <x:c r="F30" s="207" t="str">
        <x:v>Да</x:v>
      </x:c>
      <x:c r="G30" s="207" t="str">
        <x:v>Срок исполнения обязательства</x:v>
      </x:c>
      <x:c r="H30" s="207" t="str">
        <x:v>Valid date</x:v>
      </x:c>
      <x:c r="I30" s="207" t="str">
        <x:v>Бухгалтерия</x:v>
      </x:c>
      <x:c r="J30" s="207" t="str">
        <x:v>Текущие файлы / предварительный registry</x:v>
      </x:c>
      <x:c r="K30" s="208" t="str">
        <x:v>MDM/ERP/DWH/Data catalog</x:v>
      </x:c>
    </x:row>
    <x:row r="31">
      <x:c r="A31" s="206" t="str">
        <x:v>DC-027</x:v>
      </x:c>
      <x:c r="B31" s="207" t="str">
        <x:v>Налоги/ФОТ</x:v>
      </x:c>
      <x:c r="C31" s="207" t="str">
        <x:v>bank_payment_id</x:v>
      </x:c>
      <x:c r="D31" s="207" t="str">
        <x:v>Bank</x:v>
      </x:c>
      <x:c r="E31" s="207" t="str">
        <x:v>Можно сформировать</x:v>
      </x:c>
      <x:c r="F31" s="207" t="str">
        <x:v>Да</x:v>
      </x:c>
      <x:c r="G31" s="207" t="str">
        <x:v>account_id+doc_no+date</x:v>
      </x:c>
      <x:c r="H31" s="207" t="str">
        <x:v>Unique</x:v>
      </x:c>
      <x:c r="I31" s="207" t="str">
        <x:v>Финансы</x:v>
      </x:c>
      <x:c r="J31" s="207" t="str">
        <x:v>Текущие файлы / предварительный registry</x:v>
      </x:c>
      <x:c r="K31" s="208" t="str">
        <x:v>MDM/ERP/DWH/Data catalog</x:v>
      </x:c>
    </x:row>
    <x:row r="32">
      <x:c r="A32" s="206" t="str">
        <x:v>DC-028</x:v>
      </x:c>
      <x:c r="B32" s="207" t="str">
        <x:v>Налоги/ФОТ</x:v>
      </x:c>
      <x:c r="C32" s="207" t="str">
        <x:v>ens_allocation_id</x:v>
      </x:c>
      <x:c r="D32" s="207" t="str">
        <x:v>ENS</x:v>
      </x:c>
      <x:c r="E32" s="207" t="str">
        <x:v>Нет</x:v>
      </x:c>
      <x:c r="F32" s="207" t="str">
        <x:v>Да</x:v>
      </x:c>
      <x:c r="G32" s="207" t="str">
        <x:v>Распределение ЕНП на обязательство</x:v>
      </x:c>
      <x:c r="H32" s="207" t="str">
        <x:v>FK obligation/payment</x:v>
      </x:c>
      <x:c r="I32" s="207" t="str">
        <x:v>Бухгалтерия</x:v>
      </x:c>
      <x:c r="J32" s="207" t="str">
        <x:v>Текущие файлы / предварительный registry</x:v>
      </x:c>
      <x:c r="K32" s="208" t="str">
        <x:v>MDM/ERP/DWH/Data catalog</x:v>
      </x:c>
    </x:row>
    <x:row r="33">
      <x:c r="A33" s="206" t="str">
        <x:v>DC-029</x:v>
      </x:c>
      <x:c r="B33" s="207" t="str">
        <x:v>Налоги/ФОТ</x:v>
      </x:c>
      <x:c r="C33" s="207" t="str">
        <x:v>allocation_amount_rub</x:v>
      </x:c>
      <x:c r="D33" s="207" t="str">
        <x:v>ENS</x:v>
      </x:c>
      <x:c r="E33" s="207" t="str">
        <x:v>Нет</x:v>
      </x:c>
      <x:c r="F33" s="207" t="str">
        <x:v>Да</x:v>
      </x:c>
      <x:c r="G33" s="207" t="str">
        <x:v>Сумма allocation</x:v>
      </x:c>
      <x:c r="H33" s="207" t="str">
        <x:v>Non-negative, controlled total</x:v>
      </x:c>
      <x:c r="I33" s="207" t="str">
        <x:v>Бухгалтерия</x:v>
      </x:c>
      <x:c r="J33" s="207" t="str">
        <x:v>Текущие файлы / предварительный registry</x:v>
      </x:c>
      <x:c r="K33" s="208" t="str">
        <x:v>MDM/ERP/DWH/Data catalog</x:v>
      </x:c>
    </x:row>
    <x:row r="34">
      <x:c r="A34" s="206" t="str">
        <x:v>DC-030</x:v>
      </x:c>
      <x:c r="B34" s="207" t="str">
        <x:v>Налоги/ФОТ</x:v>
      </x:c>
      <x:c r="C34" s="207" t="str">
        <x:v>close_status</x:v>
      </x:c>
      <x:c r="D34" s="207" t="str">
        <x:v>Close</x:v>
      </x:c>
      <x:c r="E34" s="207" t="str">
        <x:v>Нет</x:v>
      </x:c>
      <x:c r="F34" s="207" t="str">
        <x:v>Да</x:v>
      </x:c>
      <x:c r="G34" s="207" t="str">
        <x:v>Open/Exception/Closed</x:v>
      </x:c>
      <x:c r="H34" s="207" t="str">
        <x:v>Closed only if open amount=0 or signed exception</x:v>
      </x:c>
      <x:c r="I34" s="207" t="str">
        <x:v>CFO</x:v>
      </x:c>
      <x:c r="J34" s="207" t="str">
        <x:v>Текущие файлы / предварительный registry</x:v>
      </x:c>
      <x:c r="K34" s="208" t="str">
        <x:v>MDM/ERP/DWH/Data catalog</x:v>
      </x:c>
    </x:row>
    <x:row r="35">
      <x:c r="A35" s="206" t="str">
        <x:v>DC-031</x:v>
      </x:c>
      <x:c r="B35" s="207" t="str">
        <x:v>Финансы/управление</x:v>
      </x:c>
      <x:c r="C35" s="207" t="str">
        <x:v>bank_account_id</x:v>
      </x:c>
      <x:c r="D35" s="207" t="str">
        <x:v>Банковский счёт</x:v>
      </x:c>
      <x:c r="E35" s="207" t="str">
        <x:v>Частично</x:v>
      </x:c>
      <x:c r="F35" s="207" t="str">
        <x:v>Да</x:v>
      </x:c>
      <x:c r="G35" s="207" t="str">
        <x:v>Уникальный счёт в юридическом и валютном контуре</x:v>
      </x:c>
      <x:c r="H35" s="207" t="str">
        <x:v>Счёт+юрлицо+валюта уникальны</x:v>
      </x:c>
      <x:c r="I35" s="207" t="str">
        <x:v>Финансы</x:v>
      </x:c>
      <x:c r="J35" s="207" t="str">
        <x:v>Разрозненные файлы</x:v>
      </x:c>
      <x:c r="K35" s="208" t="str">
        <x:v>ERP/DMS/Data catalog</x:v>
      </x:c>
    </x:row>
    <x:row r="36">
      <x:c r="A36" s="206" t="str">
        <x:v>DC-032</x:v>
      </x:c>
      <x:c r="B36" s="207" t="str">
        <x:v>Финансы/управление</x:v>
      </x:c>
      <x:c r="C36" s="207" t="str">
        <x:v>cash_transaction_id</x:v>
      </x:c>
      <x:c r="D36" s="207" t="str">
        <x:v>ДДС/касса</x:v>
      </x:c>
      <x:c r="E36" s="207" t="str">
        <x:v>Нет</x:v>
      </x:c>
      <x:c r="F36" s="207" t="str">
        <x:v>Да</x:v>
      </x:c>
      <x:c r="G36" s="207" t="str">
        <x:v>Строка фактического движения денег</x:v>
      </x:c>
      <x:c r="H36" s="207" t="str">
        <x:v>Уникальна; сумма и account balance reconcile</x:v>
      </x:c>
      <x:c r="I36" s="207" t="str">
        <x:v>Финансы</x:v>
      </x:c>
      <x:c r="J36" s="207" t="str">
        <x:v>Разрозненные файлы</x:v>
      </x:c>
      <x:c r="K36" s="208" t="str">
        <x:v>ERP/DMS/Data catalog</x:v>
      </x:c>
    </x:row>
    <x:row r="37">
      <x:c r="A37" s="206" t="str">
        <x:v>DC-033</x:v>
      </x:c>
      <x:c r="B37" s="207" t="str">
        <x:v>Финансы/управление</x:v>
      </x:c>
      <x:c r="C37" s="207" t="str">
        <x:v>plan_version_id</x:v>
      </x:c>
      <x:c r="D37" s="207" t="str">
        <x:v>Бюджет/план</x:v>
      </x:c>
      <x:c r="E37" s="207" t="str">
        <x:v>Нет</x:v>
      </x:c>
      <x:c r="F37" s="207" t="str">
        <x:v>Да</x:v>
      </x:c>
      <x:c r="G37" s="207" t="str">
        <x:v>Утверждённая версия сценария</x:v>
      </x:c>
      <x:c r="H37" s="207" t="str">
        <x:v>Одна active version per period/scenario</x:v>
      </x:c>
      <x:c r="I37" s="207" t="str">
        <x:v>Финансы</x:v>
      </x:c>
      <x:c r="J37" s="207" t="str">
        <x:v>Разрозненные файлы</x:v>
      </x:c>
      <x:c r="K37" s="208" t="str">
        <x:v>ERP/DMS/Data catalog</x:v>
      </x:c>
    </x:row>
    <x:row r="38">
      <x:c r="A38" s="206" t="str">
        <x:v>DC-034</x:v>
      </x:c>
      <x:c r="B38" s="207" t="str">
        <x:v>Финансы/управление</x:v>
      </x:c>
      <x:c r="C38" s="207" t="str">
        <x:v>ar_ap_item_id</x:v>
      </x:c>
      <x:c r="D38" s="207" t="str">
        <x:v>AR/AP</x:v>
      </x:c>
      <x:c r="E38" s="207" t="str">
        <x:v>Нет</x:v>
      </x:c>
      <x:c r="F38" s="207" t="str">
        <x:v>Да</x:v>
      </x:c>
      <x:c r="G38" s="207" t="str">
        <x:v>Открытая позиция расчётов</x:v>
      </x:c>
      <x:c r="H38" s="207" t="str">
        <x:v>Invoice + counterparty + due date + open balance</x:v>
      </x:c>
      <x:c r="I38" s="207" t="str">
        <x:v>Финансы</x:v>
      </x:c>
      <x:c r="J38" s="207" t="str">
        <x:v>Разрозненные файлы</x:v>
      </x:c>
      <x:c r="K38" s="208" t="str">
        <x:v>ERP/DMS/Data catalog</x:v>
      </x:c>
    </x:row>
    <x:row r="39">
      <x:c r="A39" s="206" t="str">
        <x:v>DC-035</x:v>
      </x:c>
      <x:c r="B39" s="207" t="str">
        <x:v>Финансы/управление</x:v>
      </x:c>
      <x:c r="C39" s="207" t="str">
        <x:v>close_period_id</x:v>
      </x:c>
      <x:c r="D39" s="207" t="str">
        <x:v>Закрытие</x:v>
      </x:c>
      <x:c r="E39" s="207" t="str">
        <x:v>Нет</x:v>
      </x:c>
      <x:c r="F39" s="207" t="str">
        <x:v>Да</x:v>
      </x:c>
      <x:c r="G39" s="207" t="str">
        <x:v>Контролируемый период закрытия</x:v>
      </x:c>
      <x:c r="H39" s="207" t="str">
        <x:v>Не закрывается при open critical exceptions</x:v>
      </x:c>
      <x:c r="I39" s="207" t="str">
        <x:v>Финансы</x:v>
      </x:c>
      <x:c r="J39" s="207" t="str">
        <x:v>Разрозненные файлы</x:v>
      </x:c>
      <x:c r="K39" s="208" t="str">
        <x:v>ERP/DMS/Data catalog</x:v>
      </x:c>
    </x:row>
    <x:row r="40">
      <x:c r="A40" s="206" t="str">
        <x:v>DC-036</x:v>
      </x:c>
      <x:c r="B40" s="207" t="str">
        <x:v>Финансы/управление</x:v>
      </x:c>
      <x:c r="C40" s="207" t="str">
        <x:v>contract_id</x:v>
      </x:c>
      <x:c r="D40" s="207" t="str">
        <x:v>Договор</x:v>
      </x:c>
      <x:c r="E40" s="207" t="str">
        <x:v>Частично</x:v>
      </x:c>
      <x:c r="F40" s="207" t="str">
        <x:v>Да</x:v>
      </x:c>
      <x:c r="G40" s="207" t="str">
        <x:v>Уникальный договор и версия</x:v>
      </x:c>
      <x:c r="H40" s="207" t="str">
        <x:v>Counterparty, dates, status, limits обязательны</x:v>
      </x:c>
      <x:c r="I40" s="207" t="str">
        <x:v>Юристы</x:v>
      </x:c>
      <x:c r="J40" s="207" t="str">
        <x:v>Разрозненные файлы</x:v>
      </x:c>
      <x:c r="K40" s="208" t="str">
        <x:v>ERP/DMS/Data catalog</x:v>
      </x:c>
    </x:row>
    <x:row r="41">
      <x:c r="A41" s="209" t="str">
        <x:v>DC-037</x:v>
      </x:c>
      <x:c r="B41" s="210" t="str">
        <x:v>Финансы/управление</x:v>
      </x:c>
      <x:c r="C41" s="210" t="str">
        <x:v>approval_id</x:v>
      </x:c>
      <x:c r="D41" s="210" t="str">
        <x:v>Согласование</x:v>
      </x:c>
      <x:c r="E41" s="210" t="str">
        <x:v>Нет</x:v>
      </x:c>
      <x:c r="F41" s="210" t="str">
        <x:v>Да</x:v>
      </x:c>
      <x:c r="G41" s="210" t="str">
        <x:v>Запись решения и лимита</x:v>
      </x:c>
      <x:c r="H41" s="210" t="str">
        <x:v>Approver, date, scope, decision immutable</x:v>
      </x:c>
      <x:c r="I41" s="210" t="str">
        <x:v>Руководство</x:v>
      </x:c>
      <x:c r="J41" s="210" t="str">
        <x:v>Разрозненные файлы</x:v>
      </x:c>
      <x:c r="K41" s="211" t="str">
        <x:v>ERP/DMS/Data catalog</x:v>
      </x:c>
    </x:row>
  </x:sheetData>
  <x:mergeCells>
    <x:mergeCell ref="A1:K1"/>
    <x:mergeCell ref="A2:K2"/>
  </x:mergeCells>
  <x:conditionalFormatting sqref="E5:E41">
    <x:cfRule type="expression" dxfId="96" priority="1">
      <x:formula>ISNUMBER(SEARCH("Подтверж",E5))</x:formula>
    </x:cfRule>
    <x:cfRule type="expression" dxfId="97" priority="2">
      <x:formula>OR(ISNUMBER(SEARCH("Част",E5)),ISNUMBER(SEARCH("оговор",E5)),ISNUMBER(SEARCH("агрегат",E5)))</x:formula>
    </x:cfRule>
    <x:cfRule type="expression" dxfId="98" priority="3">
      <x:formula>OR(ISNUMBER(SEARCH("Отсутств",E5)),ISNUMBER(SEARCH("Невозмож",E5)),ISNUMBER(SEARCH("Заблок",E5)))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8" hidden="0" customWidth="1"/>
    <x:col min="4" max="4" width="34" hidden="0" customWidth="1"/>
    <x:col min="5" max="5" width="32" hidden="0" customWidth="1"/>
    <x:col min="6" max="6" width="32" hidden="0" customWidth="1"/>
    <x:col min="7" max="7" width="42" hidden="0" customWidth="1"/>
    <x:col min="8" max="8" width="24" hidden="0" customWidth="1"/>
    <x:col min="9" max="9" width="18" hidden="0" customWidth="1"/>
    <x:col min="10" max="10" width="34" hidden="0" customWidth="1"/>
  </x:cols>
  <x:sheetData>
    <x:row r="1" ht="28" customHeight="1">
      <x:c r="A1" s="5" t="str">
        <x:v>КОНТРОЛИ И STOP-GATES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14" t="str">
        <x:v>Период/операция не может быть закрыта при невыполненном stop-gate. Для каждого контроля требуется evidence и owner.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 ht="28" customHeight="1">
      <x:c r="A4" s="169" t="str">
        <x:v>control_id</x:v>
      </x:c>
      <x:c r="B4" s="170" t="str">
        <x:v>domain</x:v>
      </x:c>
      <x:c r="C4" s="170" t="str">
        <x:v>step</x:v>
      </x:c>
      <x:c r="D4" s="170" t="str">
        <x:v>control</x:v>
      </x:c>
      <x:c r="E4" s="170" t="str">
        <x:v>input</x:v>
      </x:c>
      <x:c r="F4" s="170" t="str">
        <x:v>output</x:v>
      </x:c>
      <x:c r="G4" s="170" t="str">
        <x:v>stop_gate</x:v>
      </x:c>
      <x:c r="H4" s="170" t="str">
        <x:v>owner</x:v>
      </x:c>
      <x:c r="I4" s="170" t="str">
        <x:v>frequency</x:v>
      </x:c>
      <x:c r="J4" s="171" t="str">
        <x:v>evidence_required</x:v>
      </x:c>
    </x:row>
    <x:row r="5">
      <x:c r="A5" s="203" t="str">
        <x:v>CTRL-001</x:v>
      </x:c>
      <x:c r="B5" s="204" t="str">
        <x:v>Продукт/операции</x:v>
      </x:c>
      <x:c r="C5" s="204" t="n">
        <x:v>1</x:v>
      </x:c>
      <x:c r="D5" s="204" t="str">
        <x:v>Регистрация файла и версии</x:v>
      </x:c>
      <x:c r="E5" s="204" t="str">
        <x:v>Исходный файл</x:v>
      </x:c>
      <x:c r="F5" s="204" t="str">
        <x:v>source_file_id + version_id</x:v>
      </x:c>
      <x:c r="G5" s="204" t="str">
        <x:v>Дубликат/неясный период → карантин</x:v>
      </x:c>
      <x:c r="H5" s="204" t="str">
        <x:v>Data steward</x:v>
      </x:c>
      <x:c r="I5" s="204" t="str">
        <x:v>По операции/месяцу</x:v>
      </x:c>
      <x:c r="J5" s="205" t="str">
        <x:v>Primary ID + reconciliation result + approval</x:v>
      </x:c>
    </x:row>
    <x:row r="6">
      <x:c r="A6" s="206" t="str">
        <x:v>CTRL-002</x:v>
      </x:c>
      <x:c r="B6" s="207" t="str">
        <x:v>Продукт/операции</x:v>
      </x:c>
      <x:c r="C6" s="207" t="n">
        <x:v>2</x:v>
      </x:c>
      <x:c r="D6" s="207" t="str">
        <x:v>Нормализация master data</x:v>
      </x:c>
      <x:c r="E6" s="207" t="str">
        <x:v>Модели, SKU, материалы, поставщики</x:v>
      </x:c>
      <x:c r="F6" s="207" t="str">
        <x:v>canonical IDs + alias history</x:v>
      </x:c>
      <x:c r="G6" s="207" t="str">
        <x:v>Неоднозначный alias → ручное решение</x:v>
      </x:c>
      <x:c r="H6" s="207" t="str">
        <x:v>Владельцы справочников</x:v>
      </x:c>
      <x:c r="I6" s="207" t="str">
        <x:v>По операции/месяцу</x:v>
      </x:c>
      <x:c r="J6" s="208" t="str">
        <x:v>Primary ID + reconciliation result + approval</x:v>
      </x:c>
    </x:row>
    <x:row r="7">
      <x:c r="A7" s="206" t="str">
        <x:v>CTRL-003</x:v>
      </x:c>
      <x:c r="B7" s="207" t="str">
        <x:v>Продукт/операции</x:v>
      </x:c>
      <x:c r="C7" s="207" t="n">
        <x:v>3</x:v>
      </x:c>
      <x:c r="D7" s="207" t="str">
        <x:v>Коллекция и BOM</x:v>
      </x:c>
      <x:c r="E7" s="207" t="str">
        <x:v>Collection result + tech/cost files</x:v>
      </x:c>
      <x:c r="F7" s="207" t="str">
        <x:v>collection_id/model_id/bom_id</x:v>
      </x:c>
      <x:c r="G7" s="207" t="str">
        <x:v>Нет версии/норм → модель не запускается</x:v>
      </x:c>
      <x:c r="H7" s="207" t="str">
        <x:v>Продукт + технолог</x:v>
      </x:c>
      <x:c r="I7" s="207" t="str">
        <x:v>По операции/месяцу</x:v>
      </x:c>
      <x:c r="J7" s="208" t="str">
        <x:v>Primary ID + reconciliation result + approval</x:v>
      </x:c>
    </x:row>
    <x:row r="8">
      <x:c r="A8" s="206" t="str">
        <x:v>CTRL-004</x:v>
      </x:c>
      <x:c r="B8" s="207" t="str">
        <x:v>Продукт/операции</x:v>
      </x:c>
      <x:c r="C8" s="207" t="n">
        <x:v>4</x:v>
      </x:c>
      <x:c r="D8" s="207" t="str">
        <x:v>План спроса и производства</x:v>
      </x:c>
      <x:c r="E8" s="207" t="str">
        <x:v>Продажи/бюджет/заказы</x:v>
      </x:c>
      <x:c r="F8" s="207" t="str">
        <x:v>plan_version_id + production orders</x:v>
      </x:c>
      <x:c r="G8" s="207" t="str">
        <x:v>Нет canonical_sku → план в карантин</x:v>
      </x:c>
      <x:c r="H8" s="207" t="str">
        <x:v>Коммерция + производство</x:v>
      </x:c>
      <x:c r="I8" s="207" t="str">
        <x:v>По операции/месяцу</x:v>
      </x:c>
      <x:c r="J8" s="208" t="str">
        <x:v>Primary ID + reconciliation result + approval</x:v>
      </x:c>
    </x:row>
    <x:row r="9">
      <x:c r="A9" s="206" t="str">
        <x:v>CTRL-005</x:v>
      </x:c>
      <x:c r="B9" s="207" t="str">
        <x:v>Продукт/операции</x:v>
      </x:c>
      <x:c r="C9" s="207" t="n">
        <x:v>5</x:v>
      </x:c>
      <x:c r="D9" s="207" t="str">
        <x:v>Закупка и приёмка</x:v>
      </x:c>
      <x:c r="E9" s="207" t="str">
        <x:v>Material requirement</x:v>
      </x:c>
      <x:c r="F9" s="207" t="str">
        <x:v>PO + GRN + lot</x:v>
      </x:c>
      <x:c r="G9" s="207" t="str">
        <x:v>Нет PO/приёмки → оплата блокируется</x:v>
      </x:c>
      <x:c r="H9" s="207" t="str">
        <x:v>Закупки + склад</x:v>
      </x:c>
      <x:c r="I9" s="207" t="str">
        <x:v>По операции/месяцу</x:v>
      </x:c>
      <x:c r="J9" s="208" t="str">
        <x:v>Primary ID + reconciliation result + approval</x:v>
      </x:c>
    </x:row>
    <x:row r="10">
      <x:c r="A10" s="206" t="str">
        <x:v>CTRL-006</x:v>
      </x:c>
      <x:c r="B10" s="207" t="str">
        <x:v>Продукт/операции</x:v>
      </x:c>
      <x:c r="C10" s="207" t="n">
        <x:v>6</x:v>
      </x:c>
      <x:c r="D10" s="207" t="str">
        <x:v>Выдача материала</x:v>
      </x:c>
      <x:c r="E10" s="207" t="str">
        <x:v>BOM + production order</x:v>
      </x:c>
      <x:c r="F10" s="207" t="str">
        <x:v>material issue movement</x:v>
      </x:c>
      <x:c r="G10" s="207" t="str">
        <x:v>Выдача без заказа/BOM → exception</x:v>
      </x:c>
      <x:c r="H10" s="207" t="str">
        <x:v>Склад</x:v>
      </x:c>
      <x:c r="I10" s="207" t="str">
        <x:v>По операции/месяцу</x:v>
      </x:c>
      <x:c r="J10" s="208" t="str">
        <x:v>Primary ID + reconciliation result + approval</x:v>
      </x:c>
    </x:row>
    <x:row r="11">
      <x:c r="A11" s="206" t="str">
        <x:v>CTRL-007</x:v>
      </x:c>
      <x:c r="B11" s="207" t="str">
        <x:v>Продукт/операции</x:v>
      </x:c>
      <x:c r="C11" s="207" t="n">
        <x:v>7</x:v>
      </x:c>
      <x:c r="D11" s="207" t="str">
        <x:v>Выполнение операций</x:v>
      </x:c>
      <x:c r="E11" s="207" t="str">
        <x:v>Production order</x:v>
      </x:c>
      <x:c r="F11" s="207" t="str">
        <x:v>operation fact + rework/defect</x:v>
      </x:c>
      <x:c r="G11" s="207" t="str">
        <x:v>Свободный текст/несколько заказов → не принимается</x:v>
      </x:c>
      <x:c r="H11" s="207" t="str">
        <x:v>Производство</x:v>
      </x:c>
      <x:c r="I11" s="207" t="str">
        <x:v>По операции/месяцу</x:v>
      </x:c>
      <x:c r="J11" s="208" t="str">
        <x:v>Primary ID + reconciliation result + approval</x:v>
      </x:c>
    </x:row>
    <x:row r="12">
      <x:c r="A12" s="206" t="str">
        <x:v>CTRL-008</x:v>
      </x:c>
      <x:c r="B12" s="207" t="str">
        <x:v>Продукт/операции</x:v>
      </x:c>
      <x:c r="C12" s="207" t="n">
        <x:v>8</x:v>
      </x:c>
      <x:c r="D12" s="207" t="str">
        <x:v>Выпуск и приход FG</x:v>
      </x:c>
      <x:c r="E12" s="207" t="str">
        <x:v>Completed production order</x:v>
      </x:c>
      <x:c r="F12" s="207" t="str">
        <x:v>FG receipt movement</x:v>
      </x:c>
      <x:c r="G12" s="207" t="str">
        <x:v>Qty mismatch → exception</x:v>
      </x:c>
      <x:c r="H12" s="207" t="str">
        <x:v>Производство + склад</x:v>
      </x:c>
      <x:c r="I12" s="207" t="str">
        <x:v>По операции/месяцу</x:v>
      </x:c>
      <x:c r="J12" s="208" t="str">
        <x:v>Primary ID + reconciliation result + approval</x:v>
      </x:c>
    </x:row>
    <x:row r="13">
      <x:c r="A13" s="206" t="str">
        <x:v>CTRL-009</x:v>
      </x:c>
      <x:c r="B13" s="207" t="str">
        <x:v>Продукт/операции</x:v>
      </x:c>
      <x:c r="C13" s="207" t="n">
        <x:v>9</x:v>
      </x:c>
      <x:c r="D13" s="207" t="str">
        <x:v>Фактическая cost</x:v>
      </x:c>
      <x:c r="E13" s="207" t="str">
        <x:v>Material issues + labor + overhead</x:v>
      </x:c>
      <x:c r="F13" s="207" t="str">
        <x:v>approved cost_version</x:v>
      </x:c>
      <x:c r="G13" s="207" t="str">
        <x:v>Несколько cost без контекста → не утверждать</x:v>
      </x:c>
      <x:c r="H13" s="207" t="str">
        <x:v>Финансы</x:v>
      </x:c>
      <x:c r="I13" s="207" t="str">
        <x:v>По операции/месяцу</x:v>
      </x:c>
      <x:c r="J13" s="208" t="str">
        <x:v>Primary ID + reconciliation result + approval</x:v>
      </x:c>
    </x:row>
    <x:row r="14">
      <x:c r="A14" s="206" t="str">
        <x:v>CTRL-010</x:v>
      </x:c>
      <x:c r="B14" s="207" t="str">
        <x:v>Продукт/операции</x:v>
      </x:c>
      <x:c r="C14" s="207" t="n">
        <x:v>10</x:v>
      </x:c>
      <x:c r="D14" s="207" t="str">
        <x:v>Продажа и возврат</x:v>
      </x:c>
      <x:c r="E14" s="207" t="str">
        <x:v>POS/TSUM/B2B sales line</x:v>
      </x:c>
      <x:c r="F14" s="207" t="str">
        <x:v>sales_line + inventory issue/return</x:v>
      </x:c>
      <x:c r="G14" s="207" t="str">
        <x:v>SKU/qty mismatch → exception</x:v>
      </x:c>
      <x:c r="H14" s="207" t="str">
        <x:v>Коммерция + склад</x:v>
      </x:c>
      <x:c r="I14" s="207" t="str">
        <x:v>По операции/месяцу</x:v>
      </x:c>
      <x:c r="J14" s="208" t="str">
        <x:v>Primary ID + reconciliation result + approval</x:v>
      </x:c>
    </x:row>
    <x:row r="15">
      <x:c r="A15" s="206" t="str">
        <x:v>CTRL-011</x:v>
      </x:c>
      <x:c r="B15" s="207" t="str">
        <x:v>Продукт/операции</x:v>
      </x:c>
      <x:c r="C15" s="207" t="n">
        <x:v>11</x:v>
      </x:c>
      <x:c r="D15" s="207" t="str">
        <x:v>Settlement и payment</x:v>
      </x:c>
      <x:c r="E15" s="207" t="str">
        <x:v>Channel settlement</x:v>
      </x:c>
      <x:c r="F15" s="207" t="str">
        <x:v>settlement→bank link</x:v>
      </x:c>
      <x:c r="G15" s="207" t="str">
        <x:v>Net due не закрыт/комиссия не раскрыта</x:v>
      </x:c>
      <x:c r="H15" s="207" t="str">
        <x:v>Финансы</x:v>
      </x:c>
      <x:c r="I15" s="207" t="str">
        <x:v>По операции/месяцу</x:v>
      </x:c>
      <x:c r="J15" s="208" t="str">
        <x:v>Primary ID + reconciliation result + approval</x:v>
      </x:c>
    </x:row>
    <x:row r="16">
      <x:c r="A16" s="206" t="str">
        <x:v>CTRL-012</x:v>
      </x:c>
      <x:c r="B16" s="207" t="str">
        <x:v>Продукт/операции</x:v>
      </x:c>
      <x:c r="C16" s="207" t="n">
        <x:v>12</x:v>
      </x:c>
      <x:c r="D16" s="207" t="str">
        <x:v>Profitability close</x:v>
      </x:c>
      <x:c r="E16" s="207" t="str">
        <x:v>Sale + cost + stock + settlement</x:v>
      </x:c>
      <x:c r="F16" s="207" t="str">
        <x:v>SKU/order/collection profitability</x:v>
      </x:c>
      <x:c r="G16" s="207" t="str">
        <x:v>Нет любой ключевой связи → статус Partial</x:v>
      </x:c>
      <x:c r="H16" s="207" t="str">
        <x:v>Финансы + аналитика</x:v>
      </x:c>
      <x:c r="I16" s="207" t="str">
        <x:v>По операции/месяцу</x:v>
      </x:c>
      <x:c r="J16" s="208" t="str">
        <x:v>Primary ID + reconciliation result + approval</x:v>
      </x:c>
    </x:row>
    <x:row r="17">
      <x:c r="A17" s="206" t="str">
        <x:v>CTRL-013</x:v>
      </x:c>
      <x:c r="B17" s="207" t="str">
        <x:v>Налоги/ФОТ</x:v>
      </x:c>
      <x:c r="C17" s="207" t="n">
        <x:v>1</x:v>
      </x:c>
      <x:c r="D17" s="207" t="str">
        <x:v>Зарегистрировать все source files и версии</x:v>
      </x:c>
      <x:c r="E17" s="207" t="str">
        <x:v>Формы, банк, ведомости, справки</x:v>
      </x:c>
      <x:c r="F17" s="207" t="str">
        <x:v>source_file_id/version_id</x:v>
      </x:c>
      <x:c r="G17" s="207" t="str">
        <x:v>Нет незарегистрированных источников</x:v>
      </x:c>
      <x:c r="H17" s="207" t="str">
        <x:v>Data steward</x:v>
      </x:c>
      <x:c r="I17" s="207" t="str">
        <x:v>По операции/месяцу</x:v>
      </x:c>
      <x:c r="J17" s="208" t="str">
        <x:v>Primary ID + reconciliation result + approval</x:v>
      </x:c>
    </x:row>
    <x:row r="18">
      <x:c r="A18" s="206" t="str">
        <x:v>CTRL-014</x:v>
      </x:c>
      <x:c r="B18" s="207" t="str">
        <x:v>Налоги/ФОТ</x:v>
      </x:c>
      <x:c r="C18" s="207" t="n">
        <x:v>2</x:v>
      </x:c>
      <x:c r="D18" s="207" t="str">
        <x:v>Импортировать payroll accrual ledger</x:v>
      </x:c>
      <x:c r="E18" s="207" t="str">
        <x:v>Ведомости/1С ЗУП</x:v>
      </x:c>
      <x:c r="F18" s="207" t="str">
        <x:v>employee accrual facts</x:v>
      </x:c>
      <x:c r="G18" s="207" t="str">
        <x:v>employee_id/employer_id/accrual_period заполнены</x:v>
      </x:c>
      <x:c r="H18" s="207" t="str">
        <x:v>HR</x:v>
      </x:c>
      <x:c r="I18" s="207" t="str">
        <x:v>По операции/месяцу</x:v>
      </x:c>
      <x:c r="J18" s="208" t="str">
        <x:v>Primary ID + reconciliation result + approval</x:v>
      </x:c>
    </x:row>
    <x:row r="19">
      <x:c r="A19" s="206" t="str">
        <x:v>CTRL-015</x:v>
      </x:c>
      <x:c r="B19" s="207" t="str">
        <x:v>Налоги/ФОТ</x:v>
      </x:c>
      <x:c r="C19" s="207" t="n">
        <x:v>3</x:v>
      </x:c>
      <x:c r="D19" s="207" t="str">
        <x:v>Импортировать tax forms</x:v>
      </x:c>
      <x:c r="E19" s="207" t="str">
        <x:v>6-НДФЛ/РСВ/НСиПЗ</x:v>
      </x:c>
      <x:c r="F19" s="207" t="str">
        <x:v>declaration facts</x:v>
      </x:c>
      <x:c r="G19" s="207" t="str">
        <x:v>Действующая версия формы определена</x:v>
      </x:c>
      <x:c r="H19" s="207" t="str">
        <x:v>Бухгалтерия</x:v>
      </x:c>
      <x:c r="I19" s="207" t="str">
        <x:v>По операции/месяцу</x:v>
      </x:c>
      <x:c r="J19" s="208" t="str">
        <x:v>Primary ID + reconciliation result + approval</x:v>
      </x:c>
    </x:row>
    <x:row r="20">
      <x:c r="A20" s="206" t="str">
        <x:v>CTRL-016</x:v>
      </x:c>
      <x:c r="B20" s="207" t="str">
        <x:v>Налоги/ФОТ</x:v>
      </x:c>
      <x:c r="C20" s="207" t="n">
        <x:v>4</x:v>
      </x:c>
      <x:c r="D20" s="207" t="str">
        <x:v>Создать obligation register</x:v>
      </x:c>
      <x:c r="E20" s="207" t="str">
        <x:v>Раздел 1 форм + уведомления</x:v>
      </x:c>
      <x:c r="F20" s="207" t="str">
        <x:v>obligation_id/due_date/amount</x:v>
      </x:c>
      <x:c r="G20" s="207" t="str">
        <x:v>Каждый срок зарегистрирован</x:v>
      </x:c>
      <x:c r="H20" s="207" t="str">
        <x:v>Бухгалтерия</x:v>
      </x:c>
      <x:c r="I20" s="207" t="str">
        <x:v>По операции/месяцу</x:v>
      </x:c>
      <x:c r="J20" s="208" t="str">
        <x:v>Primary ID + reconciliation result + approval</x:v>
      </x:c>
    </x:row>
    <x:row r="21">
      <x:c r="A21" s="206" t="str">
        <x:v>CTRL-017</x:v>
      </x:c>
      <x:c r="B21" s="207" t="str">
        <x:v>Налоги/ФОТ</x:v>
      </x:c>
      <x:c r="C21" s="207" t="n">
        <x:v>5</x:v>
      </x:c>
      <x:c r="D21" s="207" t="str">
        <x:v>Импортировать bank payments</x:v>
      </x:c>
      <x:c r="E21" s="207" t="str">
        <x:v>Все счета</x:v>
      </x:c>
      <x:c r="F21" s="207" t="str">
        <x:v>bank_payment_id</x:v>
      </x:c>
      <x:c r="G21" s="207" t="str">
        <x:v>Нет дублей и пропусков</x:v>
      </x:c>
      <x:c r="H21" s="207" t="str">
        <x:v>Финансы</x:v>
      </x:c>
      <x:c r="I21" s="207" t="str">
        <x:v>По операции/месяцу</x:v>
      </x:c>
      <x:c r="J21" s="208" t="str">
        <x:v>Primary ID + reconciliation result + approval</x:v>
      </x:c>
    </x:row>
    <x:row r="22">
      <x:c r="A22" s="206" t="str">
        <x:v>CTRL-018</x:v>
      </x:c>
      <x:c r="B22" s="207" t="str">
        <x:v>Налоги/ФОТ</x:v>
      </x:c>
      <x:c r="C22" s="207" t="n">
        <x:v>6</x:v>
      </x:c>
      <x:c r="D22" s="207" t="str">
        <x:v>Импортировать ENS allocations</x:v>
      </x:c>
      <x:c r="E22" s="207" t="str">
        <x:v>Операции ЕНС</x:v>
      </x:c>
      <x:c r="F22" s="207" t="str">
        <x:v>ens_allocation_id</x:v>
      </x:c>
      <x:c r="G22" s="207" t="str">
        <x:v>Каждая allocation связана с obligation</x:v>
      </x:c>
      <x:c r="H22" s="207" t="str">
        <x:v>Бухгалтерия</x:v>
      </x:c>
      <x:c r="I22" s="207" t="str">
        <x:v>По операции/месяцу</x:v>
      </x:c>
      <x:c r="J22" s="208" t="str">
        <x:v>Primary ID + reconciliation result + approval</x:v>
      </x:c>
    </x:row>
    <x:row r="23">
      <x:c r="A23" s="206" t="str">
        <x:v>CTRL-019</x:v>
      </x:c>
      <x:c r="B23" s="207" t="str">
        <x:v>Налоги/ФОТ</x:v>
      </x:c>
      <x:c r="C23" s="207" t="n">
        <x:v>7</x:v>
      </x:c>
      <x:c r="D23" s="207" t="str">
        <x:v>Выполнить payroll ↔ forms reconciliation</x:v>
      </x:c>
      <x:c r="E23" s="207" t="str">
        <x:v>Accrual + 6-НДФЛ + РСВ</x:v>
      </x:c>
      <x:c r="F23" s="207" t="str">
        <x:v>control results</x:v>
      </x:c>
      <x:c r="G23" s="207" t="str">
        <x:v>Разницы закрыты/подписаны</x:v>
      </x:c>
      <x:c r="H23" s="207" t="str">
        <x:v>HR/Бухгалтерия</x:v>
      </x:c>
      <x:c r="I23" s="207" t="str">
        <x:v>По операции/месяцу</x:v>
      </x:c>
      <x:c r="J23" s="208" t="str">
        <x:v>Primary ID + reconciliation result + approval</x:v>
      </x:c>
    </x:row>
    <x:row r="24">
      <x:c r="A24" s="206" t="str">
        <x:v>CTRL-020</x:v>
      </x:c>
      <x:c r="B24" s="207" t="str">
        <x:v>Налоги/ФОТ</x:v>
      </x:c>
      <x:c r="C24" s="207" t="n">
        <x:v>8</x:v>
      </x:c>
      <x:c r="D24" s="207" t="str">
        <x:v>Выполнить obligation ↔ allocation ↔ payment</x:v>
      </x:c>
      <x:c r="E24" s="207" t="str">
        <x:v>Obligation + ENS + bank</x:v>
      </x:c>
      <x:c r="F24" s="207" t="str">
        <x:v>open balance</x:v>
      </x:c>
      <x:c r="G24" s="207" t="str">
        <x:v>Open amount = 0 или signed exception</x:v>
      </x:c>
      <x:c r="H24" s="207" t="str">
        <x:v>Бухгалтерия/Финансы</x:v>
      </x:c>
      <x:c r="I24" s="207" t="str">
        <x:v>По операции/месяцу</x:v>
      </x:c>
      <x:c r="J24" s="208" t="str">
        <x:v>Primary ID + reconciliation result + approval</x:v>
      </x:c>
    </x:row>
    <x:row r="25">
      <x:c r="A25" s="206" t="str">
        <x:v>CTRL-021</x:v>
      </x:c>
      <x:c r="B25" s="207" t="str">
        <x:v>Налоги/ФОТ</x:v>
      </x:c>
      <x:c r="C25" s="207" t="n">
        <x:v>9</x:v>
      </x:c>
      <x:c r="D25" s="207" t="str">
        <x:v>Сверить bank ↔ ДДС</x:v>
      </x:c>
      <x:c r="E25" s="207" t="str">
        <x:v>Bank + cash flow</x:v>
      </x:c>
      <x:c r="F25" s="207" t="str">
        <x:v>classified cash tax fact</x:v>
      </x:c>
      <x:c r="G25" s="207" t="str">
        <x:v>100% bank_payment_id отражены один раз</x:v>
      </x:c>
      <x:c r="H25" s="207" t="str">
        <x:v>Финансы</x:v>
      </x:c>
      <x:c r="I25" s="207" t="str">
        <x:v>По операции/месяцу</x:v>
      </x:c>
      <x:c r="J25" s="208" t="str">
        <x:v>Primary ID + reconciliation result + approval</x:v>
      </x:c>
    </x:row>
    <x:row r="26">
      <x:c r="A26" s="206" t="str">
        <x:v>CTRL-022</x:v>
      </x:c>
      <x:c r="B26" s="207" t="str">
        <x:v>Налоги/ФОТ</x:v>
      </x:c>
      <x:c r="C26" s="207" t="n">
        <x:v>10</x:v>
      </x:c>
      <x:c r="D26" s="207" t="str">
        <x:v>Проверить current status и последующие события</x:v>
      </x:c>
      <x:c r="E26" s="207" t="str">
        <x:v>ЕНС/СФР certificates</x:v>
      </x:c>
      <x:c r="F26" s="207" t="str">
        <x:v>status as of date</x:v>
      </x:c>
      <x:c r="G26" s="207" t="str">
        <x:v>ИП и ООО покрыты</x:v>
      </x:c>
      <x:c r="H26" s="207" t="str">
        <x:v>Бухгалтерия</x:v>
      </x:c>
      <x:c r="I26" s="207" t="str">
        <x:v>По операции/месяцу</x:v>
      </x:c>
      <x:c r="J26" s="208" t="str">
        <x:v>Primary ID + reconciliation result + approval</x:v>
      </x:c>
    </x:row>
    <x:row r="27">
      <x:c r="A27" s="206" t="str">
        <x:v>CTRL-023</x:v>
      </x:c>
      <x:c r="B27" s="207" t="str">
        <x:v>Налоги/ФОТ</x:v>
      </x:c>
      <x:c r="C27" s="207" t="n">
        <x:v>11</x:v>
      </x:c>
      <x:c r="D27" s="207" t="str">
        <x:v>Подписать exception register</x:v>
      </x:c>
      <x:c r="E27" s="207" t="str">
        <x:v>Все отклонения</x:v>
      </x:c>
      <x:c r="F27" s="207" t="str">
        <x:v>approved exceptions</x:v>
      </x:c>
      <x:c r="G27" s="207" t="str">
        <x:v>Owner + amount + reason + evidence</x:v>
      </x:c>
      <x:c r="H27" s="207" t="str">
        <x:v>CFO</x:v>
      </x:c>
      <x:c r="I27" s="207" t="str">
        <x:v>По операции/месяцу</x:v>
      </x:c>
      <x:c r="J27" s="208" t="str">
        <x:v>Primary ID + reconciliation result + approval</x:v>
      </x:c>
    </x:row>
    <x:row r="28">
      <x:c r="A28" s="206" t="str">
        <x:v>CTRL-024</x:v>
      </x:c>
      <x:c r="B28" s="207" t="str">
        <x:v>Налоги/ФОТ</x:v>
      </x:c>
      <x:c r="C28" s="207" t="n">
        <x:v>12</x:v>
      </x:c>
      <x:c r="D28" s="207" t="str">
        <x:v>Закрыть и заблокировать период</x:v>
      </x:c>
      <x:c r="E28" s="207" t="str">
        <x:v>Passed gates</x:v>
      </x:c>
      <x:c r="F28" s="207" t="str">
        <x:v>close_status=Closed</x:v>
      </x:c>
      <x:c r="G28" s="207" t="str">
        <x:v>Lineage complete; edits only via adjustment</x:v>
      </x:c>
      <x:c r="H28" s="207" t="str">
        <x:v>CFO</x:v>
      </x:c>
      <x:c r="I28" s="207" t="str">
        <x:v>По операции/месяцу</x:v>
      </x:c>
      <x:c r="J28" s="208" t="str">
        <x:v>Primary ID + reconciliation result + approval</x:v>
      </x:c>
    </x:row>
    <x:row r="29">
      <x:c r="A29" s="206" t="str">
        <x:v>CTRL-025</x:v>
      </x:c>
      <x:c r="B29" s="207" t="str">
        <x:v>Финансы/закрытие</x:v>
      </x:c>
      <x:c r="C29" s="207" t="n">
        <x:v>1</x:v>
      </x:c>
      <x:c r="D29" s="207" t="str">
        <x:v>Подтвердить периметр счетов</x:v>
      </x:c>
      <x:c r="E29" s="207" t="str">
        <x:v>Реестр банков/касс/карт</x:v>
      </x:c>
      <x:c r="F29" s="207" t="str">
        <x:v>Signed account perimeter</x:v>
      </x:c>
      <x:c r="G29" s="207" t="str">
        <x:v>Неизвестный счёт/валюта → close blocked</x:v>
      </x:c>
      <x:c r="H29" s="207" t="str">
        <x:v>Финансы</x:v>
      </x:c>
      <x:c r="I29" s="207" t="str">
        <x:v>Ежемесячно</x:v>
      </x:c>
      <x:c r="J29" s="208" t="str">
        <x:v>Signed reconciliation / exception ID</x:v>
      </x:c>
    </x:row>
    <x:row r="30">
      <x:c r="A30" s="206" t="str">
        <x:v>CTRL-026</x:v>
      </x:c>
      <x:c r="B30" s="207" t="str">
        <x:v>Финансы/закрытие</x:v>
      </x:c>
      <x:c r="C30" s="207" t="n">
        <x:v>2</x:v>
      </x:c>
      <x:c r="D30" s="207" t="str">
        <x:v>Импортировать bank/cash transactions</x:v>
      </x:c>
      <x:c r="E30" s="207" t="str">
        <x:v>Statements + cash ledger</x:v>
      </x:c>
      <x:c r="F30" s="207" t="str">
        <x:v>cash_transaction register</x:v>
      </x:c>
      <x:c r="G30" s="207" t="str">
        <x:v>Gap/duplicate → quarantine</x:v>
      </x:c>
      <x:c r="H30" s="207" t="str">
        <x:v>Финансы</x:v>
      </x:c>
      <x:c r="I30" s="207" t="str">
        <x:v>Ежемесячно</x:v>
      </x:c>
      <x:c r="J30" s="208" t="str">
        <x:v>Signed reconciliation / exception ID</x:v>
      </x:c>
    </x:row>
    <x:row r="31">
      <x:c r="A31" s="206" t="str">
        <x:v>CTRL-027</x:v>
      </x:c>
      <x:c r="B31" s="207" t="str">
        <x:v>Финансы/закрытие</x:v>
      </x:c>
      <x:c r="C31" s="207" t="n">
        <x:v>3</x:v>
      </x:c>
      <x:c r="D31" s="207" t="str">
        <x:v>Сверить opening + flows = closing</x:v>
      </x:c>
      <x:c r="E31" s="207" t="str">
        <x:v>Account balances</x:v>
      </x:c>
      <x:c r="F31" s="207" t="str">
        <x:v>Account roll-forward</x:v>
      </x:c>
      <x:c r="G31" s="207" t="str">
        <x:v>Residual ≠ 0 → exception</x:v>
      </x:c>
      <x:c r="H31" s="207" t="str">
        <x:v>Финансы</x:v>
      </x:c>
      <x:c r="I31" s="207" t="str">
        <x:v>Ежемесячно</x:v>
      </x:c>
      <x:c r="J31" s="208" t="str">
        <x:v>Signed reconciliation / exception ID</x:v>
      </x:c>
    </x:row>
    <x:row r="32">
      <x:c r="A32" s="206" t="str">
        <x:v>CTRL-028</x:v>
      </x:c>
      <x:c r="B32" s="207" t="str">
        <x:v>Финансы/закрытие</x:v>
      </x:c>
      <x:c r="C32" s="207" t="n">
        <x:v>4</x:v>
      </x:c>
      <x:c r="D32" s="207" t="str">
        <x:v>Сверить sales/settlement/cash</x:v>
      </x:c>
      <x:c r="E32" s="207" t="str">
        <x:v>Sales + settlement + bank</x:v>
      </x:c>
      <x:c r="F32" s="207" t="str">
        <x:v>Collection reconciliation</x:v>
      </x:c>
      <x:c r="G32" s="207" t="str">
        <x:v>Unallocated payment → exception</x:v>
      </x:c>
      <x:c r="H32" s="207" t="str">
        <x:v>Финансы/коммерция</x:v>
      </x:c>
      <x:c r="I32" s="207" t="str">
        <x:v>Ежемесячно</x:v>
      </x:c>
      <x:c r="J32" s="208" t="str">
        <x:v>Signed reconciliation / exception ID</x:v>
      </x:c>
    </x:row>
    <x:row r="33">
      <x:c r="A33" s="206" t="str">
        <x:v>CTRL-029</x:v>
      </x:c>
      <x:c r="B33" s="207" t="str">
        <x:v>Финансы/закрытие</x:v>
      </x:c>
      <x:c r="C33" s="207" t="n">
        <x:v>5</x:v>
      </x:c>
      <x:c r="D33" s="207" t="str">
        <x:v>Сверить payroll registry/bank/DDS</x:v>
      </x:c>
      <x:c r="E33" s="207" t="str">
        <x:v>Payroll + bank</x:v>
      </x:c>
      <x:c r="F33" s="207" t="str">
        <x:v>Payroll cash close</x:v>
      </x:c>
      <x:c r="G33" s="207" t="str">
        <x:v>Registry or employee lines mismatch</x:v>
      </x:c>
      <x:c r="H33" s="207" t="str">
        <x:v>HR/финансы</x:v>
      </x:c>
      <x:c r="I33" s="207" t="str">
        <x:v>Ежемесячно</x:v>
      </x:c>
      <x:c r="J33" s="208" t="str">
        <x:v>Signed reconciliation / exception ID</x:v>
      </x:c>
    </x:row>
    <x:row r="34">
      <x:c r="A34" s="206" t="str">
        <x:v>CTRL-030</x:v>
      </x:c>
      <x:c r="B34" s="207" t="str">
        <x:v>Финансы/закрытие</x:v>
      </x:c>
      <x:c r="C34" s="207" t="n">
        <x:v>6</x:v>
      </x:c>
      <x:c r="D34" s="207" t="str">
        <x:v>Сформировать AR/AP</x:v>
      </x:c>
      <x:c r="E34" s="207" t="str">
        <x:v>Invoices + settlements</x:v>
      </x:c>
      <x:c r="F34" s="207" t="str">
        <x:v>Open items</x:v>
      </x:c>
      <x:c r="G34" s="207" t="str">
        <x:v>No due date/counterparty → blocked</x:v>
      </x:c>
      <x:c r="H34" s="207" t="str">
        <x:v>Финансы</x:v>
      </x:c>
      <x:c r="I34" s="207" t="str">
        <x:v>Ежемесячно</x:v>
      </x:c>
      <x:c r="J34" s="208" t="str">
        <x:v>Signed reconciliation / exception ID</x:v>
      </x:c>
    </x:row>
    <x:row r="35">
      <x:c r="A35" s="206" t="str">
        <x:v>CTRL-031</x:v>
      </x:c>
      <x:c r="B35" s="207" t="str">
        <x:v>Финансы/закрытие</x:v>
      </x:c>
      <x:c r="C35" s="207" t="n">
        <x:v>7</x:v>
      </x:c>
      <x:c r="D35" s="207" t="str">
        <x:v>Закрыть inventory/WIP/COGS</x:v>
      </x:c>
      <x:c r="E35" s="207" t="str">
        <x:v>Movements + cost versions</x:v>
      </x:c>
      <x:c r="F35" s="207" t="str">
        <x:v>Inventory and COGS</x:v>
      </x:c>
      <x:c r="G35" s="207" t="str">
        <x:v>Missing movement/cost → P&amp;L partial</x:v>
      </x:c>
      <x:c r="H35" s="207" t="str">
        <x:v>Склад/производство/финансы</x:v>
      </x:c>
      <x:c r="I35" s="207" t="str">
        <x:v>Ежемесячно</x:v>
      </x:c>
      <x:c r="J35" s="208" t="str">
        <x:v>Signed reconciliation / exception ID</x:v>
      </x:c>
    </x:row>
    <x:row r="36">
      <x:c r="A36" s="209" t="str">
        <x:v>CTRL-032</x:v>
      </x:c>
      <x:c r="B36" s="210" t="str">
        <x:v>Финансы/закрытие</x:v>
      </x:c>
      <x:c r="C36" s="210" t="n">
        <x:v>8</x:v>
      </x:c>
      <x:c r="D36" s="210" t="str">
        <x:v>Сформировать P&amp;L/Balance/CF</x:v>
      </x:c>
      <x:c r="E36" s="210" t="str">
        <x:v>All ledgers</x:v>
      </x:c>
      <x:c r="F36" s="210" t="str">
        <x:v>Signed management statements</x:v>
      </x:c>
      <x:c r="G36" s="210" t="str">
        <x:v>Critical exception open → not Closed</x:v>
      </x:c>
      <x:c r="H36" s="210" t="str">
        <x:v>Финансы</x:v>
      </x:c>
      <x:c r="I36" s="210" t="str">
        <x:v>Ежемесячно</x:v>
      </x:c>
      <x:c r="J36" s="211" t="str">
        <x:v>Signed reconciliation / exception ID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42" hidden="0" customWidth="1"/>
    <x:col min="5" max="5" width="42" hidden="0" customWidth="1"/>
    <x:col min="6" max="6" width="42" hidden="0" customWidth="1"/>
    <x:col min="7" max="7" width="24" hidden="0" customWidth="1"/>
    <x:col min="8" max="8" width="12" hidden="0" customWidth="1"/>
    <x:col min="9" max="9" width="36" hidden="0" customWidth="1"/>
    <x:col min="10" max="10" width="30" hidden="0" customWidth="1"/>
    <x:col min="11" max="11" width="18" hidden="0" customWidth="1"/>
    <x:col min="12" max="12" width="28" hidden="0" customWidth="1"/>
    <x:col min="13" max="13" width="18" hidden="0" customWidth="1"/>
    <x:col min="14" max="14" width="14" hidden="0" customWidth="1"/>
    <x:col min="15" max="15" width="10" hidden="0" customWidth="1"/>
    <x:col min="16" max="16" width="10" hidden="0" customWidth="1"/>
    <x:col min="17" max="17" width="22" hidden="0" customWidth="1"/>
  </x:cols>
  <x:sheetData>
    <x:row r="1" ht="28" customHeight="1">
      <x:c r="A1" s="5" t="str">
        <x:v>ЕДИНАЯ ОЧЕРЕДЬ РЕШЕНИЙ ВЛАДЕЛЬЦЕВ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22" customHeight="1">
      <x:c r="A2" s="14" t="str">
        <x:v>1 500+ решений по SKU, cost, materials, production links и отсутствующим регистрам. Без owner decision данные остаются Draft/Quarantine.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</x:row>
    <x:row r="4" ht="28" customHeight="1">
      <x:c r="A4" s="169" t="str">
        <x:v>decision_id</x:v>
      </x:c>
      <x:c r="B4" s="170" t="str">
        <x:v>object_type</x:v>
      </x:c>
      <x:c r="C4" s="170" t="str">
        <x:v>object_id</x:v>
      </x:c>
      <x:c r="D4" s="170" t="str">
        <x:v>issue</x:v>
      </x:c>
      <x:c r="E4" s="170" t="str">
        <x:v>evidence</x:v>
      </x:c>
      <x:c r="F4" s="170" t="str">
        <x:v>recommended_decision</x:v>
      </x:c>
      <x:c r="G4" s="170" t="str">
        <x:v>owner</x:v>
      </x:c>
      <x:c r="H4" s="170" t="str">
        <x:v>priority</x:v>
      </x:c>
      <x:c r="I4" s="170" t="str">
        <x:v>analysis_unlocked</x:v>
      </x:c>
      <x:c r="J4" s="170" t="str">
        <x:v>source_ref</x:v>
      </x:c>
      <x:c r="K4" s="170" t="str">
        <x:v>decision</x:v>
      </x:c>
      <x:c r="L4" s="170" t="str">
        <x:v>comment</x:v>
      </x:c>
      <x:c r="M4" s="170" t="str">
        <x:v>status</x:v>
      </x:c>
      <x:c r="N4" s="170" t="str">
        <x:v>due_date</x:v>
      </x:c>
      <x:c r="O4" s="170" t="str">
        <x:v>source_stage</x:v>
      </x:c>
      <x:c r="P4" s="170" t="str">
        <x:v>priority_score</x:v>
      </x:c>
      <x:c r="Q4" s="171" t="str">
        <x:v>wave</x:v>
      </x:c>
    </x:row>
    <x:row r="5">
      <x:c r="A5" s="203" t="str">
        <x:v>DEC-00001</x:v>
      </x:c>
      <x:c r="B5" s="204" t="str">
        <x:v>SKU alias</x:v>
      </x:c>
      <x:c r="C5" s="204" t="str">
        <x:v>MAP-0001</x:v>
      </x:c>
      <x:c r="D5" s="204" t="str">
        <x:v>T-3001 ↔ 0-3001</x:v>
      </x:c>
      <x:c r="E5" s="204" t="str">
        <x:v>Совпадает номер и вариант после дефиса; отличается префикс</x:v>
      </x:c>
      <x:c r="F5" s="204" t="str">
        <x:v>Подтвердить/отклонить и указать canonical_sku + период</x:v>
      </x:c>
      <x:c r="G5" s="204" t="str">
        <x:v>Продуктовый блок + коммерция</x:v>
      </x:c>
      <x:c r="H5" s="204" t="str">
        <x:v>Высокий</x:v>
      </x:c>
      <x:c r="I5" s="204" t="str">
        <x:v>Маржа SKU/коллекции; производство; склад; продажи</x:v>
      </x:c>
      <x:c r="J5" s="204" t="str">
        <x:v>результат НГ 2024.xlsx / прайс / строка 524; результат капсула 2024.xlsx / прайс / строка 151</x:v>
      </x:c>
      <x:c r="K5" s="204" t="str"/>
      <x:c r="L5" s="204" t="str"/>
      <x:c r="M5" s="204" t="str">
        <x:v>Не рассмотрено</x:v>
      </x:c>
      <x:c r="N5" s="204" t="str"/>
      <x:c r="O5" s="204" t="str">
        <x:v>17</x:v>
      </x:c>
      <x:c r="P5" s="204" t="n">
        <x:v>3</x:v>
      </x:c>
      <x:c r="Q5" s="205" t="str">
        <x:v>Wave 2 (31–60 дней)</x:v>
      </x:c>
    </x:row>
    <x:row r="6">
      <x:c r="A6" s="206" t="str">
        <x:v>DEC-00002</x:v>
      </x:c>
      <x:c r="B6" s="207" t="str">
        <x:v>SKU alias</x:v>
      </x:c>
      <x:c r="C6" s="207" t="str">
        <x:v>MAP-0002</x:v>
      </x:c>
      <x:c r="D6" s="207" t="str">
        <x:v>T-3001 ↔ 0-3001</x:v>
      </x:c>
      <x:c r="E6" s="207" t="str">
        <x:v>Совпадает номер и вариант после дефиса; отличается префикс</x:v>
      </x:c>
      <x:c r="F6" s="207" t="str">
        <x:v>Подтвердить/отклонить и указать canonical_sku + период</x:v>
      </x:c>
      <x:c r="G6" s="207" t="str">
        <x:v>Продуктовый блок + коммерция</x:v>
      </x:c>
      <x:c r="H6" s="207" t="str">
        <x:v>Высокий</x:v>
      </x:c>
      <x:c r="I6" s="207" t="str">
        <x:v>Маржа SKU/коллекции; производство; склад; продажи</x:v>
      </x:c>
      <x:c r="J6" s="207" t="str">
        <x:v>Себестоимость Жукова.xlsx / 2024 / строка 706 / 35881.00</x:v>
      </x:c>
      <x:c r="K6" s="207" t="str"/>
      <x:c r="L6" s="207" t="str"/>
      <x:c r="M6" s="207" t="str">
        <x:v>Не рассмотрено</x:v>
      </x:c>
      <x:c r="N6" s="207" t="str"/>
      <x:c r="O6" s="207" t="str">
        <x:v>17</x:v>
      </x:c>
      <x:c r="P6" s="207" t="n">
        <x:v>3</x:v>
      </x:c>
      <x:c r="Q6" s="208" t="str">
        <x:v>Wave 2 (31–60 дней)</x:v>
      </x:c>
    </x:row>
    <x:row r="7">
      <x:c r="A7" s="206" t="str">
        <x:v>DEC-00003</x:v>
      </x:c>
      <x:c r="B7" s="207" t="str">
        <x:v>SKU alias</x:v>
      </x:c>
      <x:c r="C7" s="207" t="str">
        <x:v>MAP-0003</x:v>
      </x:c>
      <x:c r="D7" s="207" t="str">
        <x:v>T-2865A ↔ 0-2865A</x:v>
      </x:c>
      <x:c r="E7" s="207" t="str">
        <x:v>Совпадает номер и вариант после дефиса; отличается префикс</x:v>
      </x:c>
      <x:c r="F7" s="207" t="str">
        <x:v>Подтвердить/отклонить и указать canonical_sku + период</x:v>
      </x:c>
      <x:c r="G7" s="207" t="str">
        <x:v>Продуктовый блок + коммерция</x:v>
      </x:c>
      <x:c r="H7" s="207" t="str">
        <x:v>Высокий</x:v>
      </x:c>
      <x:c r="I7" s="207" t="str">
        <x:v>Маржа SKU/коллекции; производство; склад; продажи</x:v>
      </x:c>
      <x:c r="J7" s="207" t="str">
        <x:v>результат круиз 22.04.24.xlsx / прайс / строка 323; результат круиз 22.04.24.xlsx / прайс / строка 336</x:v>
      </x:c>
      <x:c r="K7" s="207" t="str"/>
      <x:c r="L7" s="207" t="str"/>
      <x:c r="M7" s="207" t="str">
        <x:v>Не рассмотрено</x:v>
      </x:c>
      <x:c r="N7" s="207" t="str"/>
      <x:c r="O7" s="207" t="str">
        <x:v>17</x:v>
      </x:c>
      <x:c r="P7" s="207" t="n">
        <x:v>3</x:v>
      </x:c>
      <x:c r="Q7" s="208" t="str">
        <x:v>Wave 2 (31–60 дней)</x:v>
      </x:c>
    </x:row>
    <x:row r="8">
      <x:c r="A8" s="206" t="str">
        <x:v>DEC-00004</x:v>
      </x:c>
      <x:c r="B8" s="207" t="str">
        <x:v>SKU alias</x:v>
      </x:c>
      <x:c r="C8" s="207" t="str">
        <x:v>MAP-0004</x:v>
      </x:c>
      <x:c r="D8" s="207" t="str">
        <x:v>T-2754 ↔ 0-2754</x:v>
      </x:c>
      <x:c r="E8" s="207" t="str">
        <x:v>Совпадает номер и вариант после дефиса; отличается префикс</x:v>
      </x:c>
      <x:c r="F8" s="207" t="str">
        <x:v>Подтвердить/отклонить и указать canonical_sku + период</x:v>
      </x:c>
      <x:c r="G8" s="207" t="str">
        <x:v>Продуктовый блок + коммерция</x:v>
      </x:c>
      <x:c r="H8" s="207" t="str">
        <x:v>Высокий</x:v>
      </x:c>
      <x:c r="I8" s="207" t="str">
        <x:v>Маржа SKU/коллекции; производство; склад; продажи</x:v>
      </x:c>
      <x:c r="J8" s="207" t="str">
        <x:v>себестоимость Мокеева 2025.xlsx / себестоимость 2025 / строка 283 / 24000.00; себестоимость Мокеева 2025.xlsx / себестоимость 2025 / строка 455 / 34470.00</x:v>
      </x:c>
      <x:c r="K8" s="207" t="str"/>
      <x:c r="L8" s="207" t="str"/>
      <x:c r="M8" s="207" t="str">
        <x:v>Не рассмотрено</x:v>
      </x:c>
      <x:c r="N8" s="207" t="str"/>
      <x:c r="O8" s="207" t="str">
        <x:v>17</x:v>
      </x:c>
      <x:c r="P8" s="207" t="n">
        <x:v>3</x:v>
      </x:c>
      <x:c r="Q8" s="208" t="str">
        <x:v>Wave 2 (31–60 дней)</x:v>
      </x:c>
    </x:row>
    <x:row r="9">
      <x:c r="A9" s="206" t="str">
        <x:v>DEC-00005</x:v>
      </x:c>
      <x:c r="B9" s="207" t="str">
        <x:v>SKU alias</x:v>
      </x:c>
      <x:c r="C9" s="207" t="str">
        <x:v>MAP-0005</x:v>
      </x:c>
      <x:c r="D9" s="207" t="str">
        <x:v>T-2540 ↔ 0-2540</x:v>
      </x:c>
      <x:c r="E9" s="207" t="str">
        <x:v>Совпадает номер и вариант после дефиса; отличается префикс</x:v>
      </x:c>
      <x:c r="F9" s="207" t="str">
        <x:v>Подтвердить/отклонить и указать canonical_sku + период</x:v>
      </x:c>
      <x:c r="G9" s="207" t="str">
        <x:v>Продуктовый блок + коммерция</x:v>
      </x:c>
      <x:c r="H9" s="207" t="str">
        <x:v>Высокий</x:v>
      </x:c>
      <x:c r="I9" s="207" t="str">
        <x:v>Маржа SKU/коллекции; производство; склад; продажи</x:v>
      </x:c>
      <x:c r="J9" s="207" t="str">
        <x:v>Себестоимость Жукова.xlsx / 2025 / строка 713 / 20491.00; Себестоимость Жукова.xlsx / 2026 / строка 1757 / 2750.00</x:v>
      </x:c>
      <x:c r="K9" s="207" t="str"/>
      <x:c r="L9" s="207" t="str"/>
      <x:c r="M9" s="207" t="str">
        <x:v>Не рассмотрено</x:v>
      </x:c>
      <x:c r="N9" s="207" t="str"/>
      <x:c r="O9" s="207" t="str">
        <x:v>17</x:v>
      </x:c>
      <x:c r="P9" s="207" t="n">
        <x:v>3</x:v>
      </x:c>
      <x:c r="Q9" s="208" t="str">
        <x:v>Wave 2 (31–60 дней)</x:v>
      </x:c>
    </x:row>
    <x:row r="10">
      <x:c r="A10" s="206" t="str">
        <x:v>DEC-00006</x:v>
      </x:c>
      <x:c r="B10" s="207" t="str">
        <x:v>SKU alias</x:v>
      </x:c>
      <x:c r="C10" s="207" t="str">
        <x:v>MAP-0006</x:v>
      </x:c>
      <x:c r="D10" s="207" t="str">
        <x:v>T-3140 ↔ 0-3140</x:v>
      </x:c>
      <x:c r="E10" s="207" t="str">
        <x:v>Совпадает номер и вариант после дефиса; отличается префикс</x:v>
      </x:c>
      <x:c r="F10" s="207" t="str">
        <x:v>Подтвердить/отклонить и указать canonical_sku + период</x:v>
      </x:c>
      <x:c r="G10" s="207" t="str">
        <x:v>Продуктовый блок + коммерция</x:v>
      </x:c>
      <x:c r="H10" s="207" t="str">
        <x:v>Высокий</x:v>
      </x:c>
      <x:c r="I10" s="207" t="str">
        <x:v>Маржа SKU/коллекции; производство; склад; продажи</x:v>
      </x:c>
      <x:c r="J10" s="207" t="str">
        <x:v>результат круиз 09.04.25.xlsx / прайс / строка 525</x:v>
      </x:c>
      <x:c r="K10" s="207" t="str"/>
      <x:c r="L10" s="207" t="str"/>
      <x:c r="M10" s="207" t="str">
        <x:v>Не рассмотрено</x:v>
      </x:c>
      <x:c r="N10" s="207" t="str"/>
      <x:c r="O10" s="207" t="str">
        <x:v>17</x:v>
      </x:c>
      <x:c r="P10" s="207" t="n">
        <x:v>3</x:v>
      </x:c>
      <x:c r="Q10" s="208" t="str">
        <x:v>Wave 2 (31–60 дней)</x:v>
      </x:c>
    </x:row>
    <x:row r="11">
      <x:c r="A11" s="206" t="str">
        <x:v>DEC-00007</x:v>
      </x:c>
      <x:c r="B11" s="207" t="str">
        <x:v>SKU alias</x:v>
      </x:c>
      <x:c r="C11" s="207" t="str">
        <x:v>MAP-0007</x:v>
      </x:c>
      <x:c r="D11" s="207" t="str">
        <x:v>T-3140 ↔ 0-3140</x:v>
      </x:c>
      <x:c r="E11" s="207" t="str">
        <x:v>Совпадает номер и вариант после дефиса; отличается префикс</x:v>
      </x:c>
      <x:c r="F11" s="207" t="str">
        <x:v>Подтвердить/отклонить и указать canonical_sku + период</x:v>
      </x:c>
      <x:c r="G11" s="207" t="str">
        <x:v>Продуктовый блок + коммерция</x:v>
      </x:c>
      <x:c r="H11" s="207" t="str">
        <x:v>Высокий</x:v>
      </x:c>
      <x:c r="I11" s="207" t="str">
        <x:v>Маржа SKU/коллекции; производство; склад; продажи</x:v>
      </x:c>
      <x:c r="J11" s="207" t="str">
        <x:v>Себестоимость Жукова.xlsx / 2025 / строка 1997 / 46015.00; Себестоимость Жукова.xlsx / 2025 / строка 2053 / 44152.50; Себестоимость Жукова.xlsx / 2025 / строка 676 / 55390.00; себестоимость Мокеева 2025.xlsx / себестоимость 2025 / строка 225 / 44620.20; себестоимость Мокеева 2025.xlsx / себестоимость 2025 / строка 245 / 37488.20; себестоимость Мокеева 2025.xlsx / себестоимость 2025 / строка 262 / 19585.00</x:v>
      </x:c>
      <x:c r="K11" s="207" t="str"/>
      <x:c r="L11" s="207" t="str"/>
      <x:c r="M11" s="207" t="str">
        <x:v>Не рассмотрено</x:v>
      </x:c>
      <x:c r="N11" s="207" t="str"/>
      <x:c r="O11" s="207" t="str">
        <x:v>17</x:v>
      </x:c>
      <x:c r="P11" s="207" t="n">
        <x:v>3</x:v>
      </x:c>
      <x:c r="Q11" s="208" t="str">
        <x:v>Wave 2 (31–60 дней)</x:v>
      </x:c>
    </x:row>
    <x:row r="12">
      <x:c r="A12" s="206" t="str">
        <x:v>DEC-00008</x:v>
      </x:c>
      <x:c r="B12" s="207" t="str">
        <x:v>SKU alias</x:v>
      </x:c>
      <x:c r="C12" s="207" t="str">
        <x:v>MAP-0008</x:v>
      </x:c>
      <x:c r="D12" s="207" t="str">
        <x:v>T-3140A ↔ 0-3140A</x:v>
      </x:c>
      <x:c r="E12" s="207" t="str">
        <x:v>Совпадает номер и вариант после дефиса; отличается префикс</x:v>
      </x:c>
      <x:c r="F12" s="207" t="str">
        <x:v>Подтвердить/отклонить и указать canonical_sku + период</x:v>
      </x:c>
      <x:c r="G12" s="207" t="str">
        <x:v>Продуктовый блок + коммерция</x:v>
      </x:c>
      <x:c r="H12" s="207" t="str">
        <x:v>Высокий</x:v>
      </x:c>
      <x:c r="I12" s="207" t="str">
        <x:v>Маржа SKU/коллекции; производство; склад; продажи</x:v>
      </x:c>
      <x:c r="J12" s="207" t="str">
        <x:v>результат круиз 09.04.25.xlsx / прайс / строка 533</x:v>
      </x:c>
      <x:c r="K12" s="207" t="str"/>
      <x:c r="L12" s="207" t="str"/>
      <x:c r="M12" s="207" t="str">
        <x:v>Не рассмотрено</x:v>
      </x:c>
      <x:c r="N12" s="207" t="str"/>
      <x:c r="O12" s="207" t="str">
        <x:v>17</x:v>
      </x:c>
      <x:c r="P12" s="207" t="n">
        <x:v>3</x:v>
      </x:c>
      <x:c r="Q12" s="208" t="str">
        <x:v>Wave 2 (31–60 дней)</x:v>
      </x:c>
    </x:row>
    <x:row r="13">
      <x:c r="A13" s="206" t="str">
        <x:v>DEC-00009</x:v>
      </x:c>
      <x:c r="B13" s="207" t="str">
        <x:v>SKU alias</x:v>
      </x:c>
      <x:c r="C13" s="207" t="str">
        <x:v>MAP-0009</x:v>
      </x:c>
      <x:c r="D13" s="207" t="str">
        <x:v>T-3140A ↔ 0-3140A</x:v>
      </x:c>
      <x:c r="E13" s="207" t="str">
        <x:v>Совпадает номер и вариант после дефиса; отличается префикс</x:v>
      </x:c>
      <x:c r="F13" s="207" t="str">
        <x:v>Подтвердить/отклонить и указать canonical_sku + период</x:v>
      </x:c>
      <x:c r="G13" s="207" t="str">
        <x:v>Продуктовый блок + коммерция</x:v>
      </x:c>
      <x:c r="H13" s="207" t="str">
        <x:v>Высокий</x:v>
      </x:c>
      <x:c r="I13" s="207" t="str">
        <x:v>Маржа SKU/коллекции; производство; склад; продажи</x:v>
      </x:c>
      <x:c r="J13" s="207" t="str">
        <x:v>Себестоимость Жукова.xlsx / 2025 / строка 1213 / 2100.00; Себестоимость Жукова.xlsx / 2025 / строка 1255 / 41115.00; Себестоимость Меркушина.xlsx / Капсульные коллекции  / строка 39 / 33098.25; Себестоимость Меркушина.xlsx / Капсульные коллекции  / строка 46 / 33098.25; себестоимость Мокеева 2025.xlsx / себестоимость 2025 / строка 305 / 36549.88; себестоимость Мокеева 2025.xlsx / себестоимость 2025 / строка 321 / 43566.91; себестоимость Мокеева 2025.xlsx / себестоимость 2025 / строка 326 / 50392.91; себестоимость Мокеева 2025.xlsx / себестоимость 2025 / строка 330 / 51747.95</x:v>
      </x:c>
      <x:c r="K13" s="207" t="str"/>
      <x:c r="L13" s="207" t="str"/>
      <x:c r="M13" s="207" t="str">
        <x:v>Не рассмотрено</x:v>
      </x:c>
      <x:c r="N13" s="207" t="str"/>
      <x:c r="O13" s="207" t="str">
        <x:v>17</x:v>
      </x:c>
      <x:c r="P13" s="207" t="n">
        <x:v>3</x:v>
      </x:c>
      <x:c r="Q13" s="208" t="str">
        <x:v>Wave 2 (31–60 дней)</x:v>
      </x:c>
    </x:row>
    <x:row r="14">
      <x:c r="A14" s="206" t="str">
        <x:v>DEC-00010</x:v>
      </x:c>
      <x:c r="B14" s="207" t="str">
        <x:v>SKU alias</x:v>
      </x:c>
      <x:c r="C14" s="207" t="str">
        <x:v>MAP-0010</x:v>
      </x:c>
      <x:c r="D14" s="207" t="str">
        <x:v>T-2702 ↔ 0-2702</x:v>
      </x:c>
      <x:c r="E14" s="207" t="str">
        <x:v>Совпадает номер и вариант после дефиса; отличается префикс</x:v>
      </x:c>
      <x:c r="F14" s="207" t="str">
        <x:v>Подтвердить/отклонить и указать canonical_sku + период</x:v>
      </x:c>
      <x:c r="G14" s="207" t="str">
        <x:v>Продуктовый блок + коммерция</x:v>
      </x:c>
      <x:c r="H14" s="207" t="str">
        <x:v>Высокий</x:v>
      </x:c>
      <x:c r="I14" s="207" t="str">
        <x:v>Маржа SKU/коллекции; производство; склад; продажи</x:v>
      </x:c>
      <x:c r="J14" s="207" t="str">
        <x:v>Себестоимость Жукова.xlsx / 2025 / строка 152 / 18790.00</x:v>
      </x:c>
      <x:c r="K14" s="207" t="str"/>
      <x:c r="L14" s="207" t="str"/>
      <x:c r="M14" s="207" t="str">
        <x:v>Не рассмотрено</x:v>
      </x:c>
      <x:c r="N14" s="207" t="str"/>
      <x:c r="O14" s="207" t="str">
        <x:v>17</x:v>
      </x:c>
      <x:c r="P14" s="207" t="n">
        <x:v>3</x:v>
      </x:c>
      <x:c r="Q14" s="208" t="str">
        <x:v>Wave 2 (31–60 дней)</x:v>
      </x:c>
    </x:row>
    <x:row r="15">
      <x:c r="A15" s="206" t="str">
        <x:v>DEC-00011</x:v>
      </x:c>
      <x:c r="B15" s="207" t="str">
        <x:v>SKU alias</x:v>
      </x:c>
      <x:c r="C15" s="207" t="str">
        <x:v>MAP-0011</x:v>
      </x:c>
      <x:c r="D15" s="207" t="str">
        <x:v>T-3092A ↔ 0-3092A</x:v>
      </x:c>
      <x:c r="E15" s="207" t="str">
        <x:v>Совпадает номер и вариант после дефиса; отличается префикс</x:v>
      </x:c>
      <x:c r="F15" s="207" t="str">
        <x:v>Подтвердить/отклонить и указать canonical_sku + период</x:v>
      </x:c>
      <x:c r="G15" s="207" t="str">
        <x:v>Продуктовый блок + коммерция</x:v>
      </x:c>
      <x:c r="H15" s="207" t="str">
        <x:v>Высокий</x:v>
      </x:c>
      <x:c r="I15" s="207" t="str">
        <x:v>Маржа SKU/коллекции; производство; склад; продажи</x:v>
      </x:c>
      <x:c r="J15" s="207" t="str">
        <x:v>результат НГ 2024.xlsx / прайс / строка 200; результат НГ 2024.xlsx / прайс / строка 208</x:v>
      </x:c>
      <x:c r="K15" s="207" t="str"/>
      <x:c r="L15" s="207" t="str"/>
      <x:c r="M15" s="207" t="str">
        <x:v>Не рассмотрено</x:v>
      </x:c>
      <x:c r="N15" s="207" t="str"/>
      <x:c r="O15" s="207" t="str">
        <x:v>17</x:v>
      </x:c>
      <x:c r="P15" s="207" t="n">
        <x:v>3</x:v>
      </x:c>
      <x:c r="Q15" s="208" t="str">
        <x:v>Wave 2 (31–60 дней)</x:v>
      </x:c>
    </x:row>
    <x:row r="16">
      <x:c r="A16" s="206" t="str">
        <x:v>DEC-00012</x:v>
      </x:c>
      <x:c r="B16" s="207" t="str">
        <x:v>SKU alias</x:v>
      </x:c>
      <x:c r="C16" s="207" t="str">
        <x:v>MAP-0012</x:v>
      </x:c>
      <x:c r="D16" s="207" t="str">
        <x:v>T-3092A ↔ 0-3092A</x:v>
      </x:c>
      <x:c r="E16" s="207" t="str">
        <x:v>Совпадает номер и вариант после дефиса; отличается префикс</x:v>
      </x:c>
      <x:c r="F16" s="207" t="str">
        <x:v>Подтвердить/отклонить и указать canonical_sku + период</x:v>
      </x:c>
      <x:c r="G16" s="207" t="str">
        <x:v>Продуктовый блок + коммерция</x:v>
      </x:c>
      <x:c r="H16" s="207" t="str">
        <x:v>Высокий</x:v>
      </x:c>
      <x:c r="I16" s="207" t="str">
        <x:v>Маржа SKU/коллекции; производство; склад; продажи</x:v>
      </x:c>
      <x:c r="J16" s="207" t="str">
        <x:v>Себестоимость Жукова.xlsx / 2024 / строка 328 / 40872.00; Себестоимость Жукова.xlsx / 2024 / строка 638 / 33312.00</x:v>
      </x:c>
      <x:c r="K16" s="207" t="str"/>
      <x:c r="L16" s="207" t="str"/>
      <x:c r="M16" s="207" t="str">
        <x:v>Не рассмотрено</x:v>
      </x:c>
      <x:c r="N16" s="207" t="str"/>
      <x:c r="O16" s="207" t="str">
        <x:v>17</x:v>
      </x:c>
      <x:c r="P16" s="207" t="n">
        <x:v>3</x:v>
      </x:c>
      <x:c r="Q16" s="208" t="str">
        <x:v>Wave 2 (31–60 дней)</x:v>
      </x:c>
    </x:row>
    <x:row r="17">
      <x:c r="A17" s="206" t="str">
        <x:v>DEC-00013</x:v>
      </x:c>
      <x:c r="B17" s="207" t="str">
        <x:v>SKU alias</x:v>
      </x:c>
      <x:c r="C17" s="207" t="str">
        <x:v>MAP-0013</x:v>
      </x:c>
      <x:c r="D17" s="207" t="str">
        <x:v>T-2872 ↔ 0-2872</x:v>
      </x:c>
      <x:c r="E17" s="207" t="str">
        <x:v>Совпадает номер и вариант после дефиса; отличается префикс</x:v>
      </x:c>
      <x:c r="F17" s="207" t="str">
        <x:v>Подтвердить/отклонить и указать canonical_sku + период</x:v>
      </x:c>
      <x:c r="G17" s="207" t="str">
        <x:v>Продуктовый блок + коммерция</x:v>
      </x:c>
      <x:c r="H17" s="207" t="str">
        <x:v>Высокий</x:v>
      </x:c>
      <x:c r="I17" s="207" t="str">
        <x:v>Маржа SKU/коллекции; производство; склад; продажи</x:v>
      </x:c>
      <x:c r="J17" s="207" t="str">
        <x:v>результат круиз 09.04.25.xlsx / прайс / строка 1306; результат круиз 14.04.26.xlsx / прайс / строка 42; результат круиз 22.04.24.xlsx / прайс / строка 399</x:v>
      </x:c>
      <x:c r="K17" s="207" t="str"/>
      <x:c r="L17" s="207" t="str"/>
      <x:c r="M17" s="207" t="str">
        <x:v>Не рассмотрено</x:v>
      </x:c>
      <x:c r="N17" s="207" t="str"/>
      <x:c r="O17" s="207" t="str">
        <x:v>17</x:v>
      </x:c>
      <x:c r="P17" s="207" t="n">
        <x:v>3</x:v>
      </x:c>
      <x:c r="Q17" s="208" t="str">
        <x:v>Wave 2 (31–60 дней)</x:v>
      </x:c>
    </x:row>
    <x:row r="18">
      <x:c r="A18" s="206" t="str">
        <x:v>DEC-00014</x:v>
      </x:c>
      <x:c r="B18" s="207" t="str">
        <x:v>SKU alias</x:v>
      </x:c>
      <x:c r="C18" s="207" t="str">
        <x:v>MAP-0014</x:v>
      </x:c>
      <x:c r="D18" s="207" t="str">
        <x:v>T-2703 ↔ 0-2703</x:v>
      </x:c>
      <x:c r="E18" s="207" t="str">
        <x:v>Совпадает номер и вариант после дефиса; отличается префикс</x:v>
      </x:c>
      <x:c r="F18" s="207" t="str">
        <x:v>Подтвердить/отклонить и указать canonical_sku + период</x:v>
      </x:c>
      <x:c r="G18" s="207" t="str">
        <x:v>Продуктовый блок + коммерция</x:v>
      </x:c>
      <x:c r="H18" s="207" t="str">
        <x:v>Высокий</x:v>
      </x:c>
      <x:c r="I18" s="207" t="str">
        <x:v>Маржа SKU/коллекции; производство; склад; продажи</x:v>
      </x:c>
      <x:c r="J18" s="207" t="str">
        <x:v>Себестоимость Жукова.xlsx / 2025 / строка 1333 / 14975.00</x:v>
      </x:c>
      <x:c r="K18" s="207" t="str"/>
      <x:c r="L18" s="207" t="str"/>
      <x:c r="M18" s="207" t="str">
        <x:v>Не рассмотрено</x:v>
      </x:c>
      <x:c r="N18" s="207" t="str"/>
      <x:c r="O18" s="207" t="str">
        <x:v>17</x:v>
      </x:c>
      <x:c r="P18" s="207" t="n">
        <x:v>3</x:v>
      </x:c>
      <x:c r="Q18" s="208" t="str">
        <x:v>Wave 2 (31–60 дней)</x:v>
      </x:c>
    </x:row>
    <x:row r="19">
      <x:c r="A19" s="206" t="str">
        <x:v>DEC-00015</x:v>
      </x:c>
      <x:c r="B19" s="207" t="str">
        <x:v>SKU alias</x:v>
      </x:c>
      <x:c r="C19" s="207" t="str">
        <x:v>MAP-0015</x:v>
      </x:c>
      <x:c r="D19" s="207" t="str">
        <x:v>T-2974A ↔ 0-2974A</x:v>
      </x:c>
      <x:c r="E19" s="207" t="str">
        <x:v>Совпадает номер и вариант после дефиса; отличается префикс</x:v>
      </x:c>
      <x:c r="F19" s="207" t="str">
        <x:v>Подтвердить/отклонить и указать canonical_sku + период</x:v>
      </x:c>
      <x:c r="G19" s="207" t="str">
        <x:v>Продуктовый блок + коммерция</x:v>
      </x:c>
      <x:c r="H19" s="207" t="str">
        <x:v>Высокий</x:v>
      </x:c>
      <x:c r="I19" s="207" t="str">
        <x:v>Маржа SKU/коллекции; производство; склад; продажи</x:v>
      </x:c>
      <x:c r="J19" s="207" t="str">
        <x:v>результат круиз 09.04.25.xlsx / прайс / строка 1347; результат круиз 22.04.24.xlsx / прайс / строка 912</x:v>
      </x:c>
      <x:c r="K19" s="207" t="str"/>
      <x:c r="L19" s="207" t="str"/>
      <x:c r="M19" s="207" t="str">
        <x:v>Не рассмотрено</x:v>
      </x:c>
      <x:c r="N19" s="207" t="str"/>
      <x:c r="O19" s="207" t="str">
        <x:v>17</x:v>
      </x:c>
      <x:c r="P19" s="207" t="n">
        <x:v>3</x:v>
      </x:c>
      <x:c r="Q19" s="208" t="str">
        <x:v>Wave 2 (31–60 дней)</x:v>
      </x:c>
    </x:row>
    <x:row r="20">
      <x:c r="A20" s="206" t="str">
        <x:v>DEC-00016</x:v>
      </x:c>
      <x:c r="B20" s="207" t="str">
        <x:v>SKU alias</x:v>
      </x:c>
      <x:c r="C20" s="207" t="str">
        <x:v>MAP-0016</x:v>
      </x:c>
      <x:c r="D20" s="207" t="str">
        <x:v>T-2754A ↔ 0-2754A</x:v>
      </x:c>
      <x:c r="E20" s="207" t="str">
        <x:v>Совпадает номер и вариант после дефиса; отличается префикс</x:v>
      </x:c>
      <x:c r="F20" s="207" t="str">
        <x:v>Подтвердить/отклонить и указать canonical_sku + период</x:v>
      </x:c>
      <x:c r="G20" s="207" t="str">
        <x:v>Продуктовый блок + коммерция</x:v>
      </x:c>
      <x:c r="H20" s="207" t="str">
        <x:v>Высокий</x:v>
      </x:c>
      <x:c r="I20" s="207" t="str">
        <x:v>Маржа SKU/коллекции; производство; склад; продажи</x:v>
      </x:c>
      <x:c r="J20" s="207" t="str">
        <x:v>результат круиз 09.04.25.xlsx / прайс / строка 1533</x:v>
      </x:c>
      <x:c r="K20" s="207" t="str"/>
      <x:c r="L20" s="207" t="str"/>
      <x:c r="M20" s="207" t="str">
        <x:v>Не рассмотрено</x:v>
      </x:c>
      <x:c r="N20" s="207" t="str"/>
      <x:c r="O20" s="207" t="str">
        <x:v>17</x:v>
      </x:c>
      <x:c r="P20" s="207" t="n">
        <x:v>3</x:v>
      </x:c>
      <x:c r="Q20" s="208" t="str">
        <x:v>Wave 2 (31–60 дней)</x:v>
      </x:c>
    </x:row>
    <x:row r="21">
      <x:c r="A21" s="206" t="str">
        <x:v>DEC-00017</x:v>
      </x:c>
      <x:c r="B21" s="207" t="str">
        <x:v>SKU alias</x:v>
      </x:c>
      <x:c r="C21" s="207" t="str">
        <x:v>MAP-0017</x:v>
      </x:c>
      <x:c r="D21" s="207" t="str">
        <x:v>T-2754A ↔ 0-2754A</x:v>
      </x:c>
      <x:c r="E21" s="207" t="str">
        <x:v>Совпадает номер и вариант после дефиса; отличается префикс</x:v>
      </x:c>
      <x:c r="F21" s="207" t="str">
        <x:v>Подтвердить/отклонить и указать canonical_sku + период</x:v>
      </x:c>
      <x:c r="G21" s="207" t="str">
        <x:v>Продуктовый блок + коммерция</x:v>
      </x:c>
      <x:c r="H21" s="207" t="str">
        <x:v>Высокий</x:v>
      </x:c>
      <x:c r="I21" s="207" t="str">
        <x:v>Маржа SKU/коллекции; производство; склад; продажи</x:v>
      </x:c>
      <x:c r="J21" s="207" t="str">
        <x:v>себестоимость Мокеева 2025.xlsx / себестоимость 2025 / строка 201 / 21551.00; себестоимость Мокеева 2025.xlsx / себестоимость 2025 / строка 202 / 21551.00; себестоимость Мокеева 2025.xlsx / себестоимость 2025 / строка 203 / 21271.00; себестоимость Мокеева 2025.xlsx / себестоимость 2025 / строка 208 / 22960.00; себестоимость Мокеева 2025.xlsx / себестоимость 2025 / строка 209 / 22960.00</x:v>
      </x:c>
      <x:c r="K21" s="207" t="str"/>
      <x:c r="L21" s="207" t="str"/>
      <x:c r="M21" s="207" t="str">
        <x:v>Не рассмотрено</x:v>
      </x:c>
      <x:c r="N21" s="207" t="str"/>
      <x:c r="O21" s="207" t="str">
        <x:v>17</x:v>
      </x:c>
      <x:c r="P21" s="207" t="n">
        <x:v>3</x:v>
      </x:c>
      <x:c r="Q21" s="208" t="str">
        <x:v>Wave 2 (31–60 дней)</x:v>
      </x:c>
    </x:row>
    <x:row r="22">
      <x:c r="A22" s="206" t="str">
        <x:v>DEC-00018</x:v>
      </x:c>
      <x:c r="B22" s="207" t="str">
        <x:v>SKU alias</x:v>
      </x:c>
      <x:c r="C22" s="207" t="str">
        <x:v>MAP-0018</x:v>
      </x:c>
      <x:c r="D22" s="207" t="str">
        <x:v>T-3023 ↔ 0-3023</x:v>
      </x:c>
      <x:c r="E22" s="207" t="str">
        <x:v>Совпадает номер и вариант после дефиса; отличается префикс</x:v>
      </x:c>
      <x:c r="F22" s="207" t="str">
        <x:v>Подтвердить/отклонить и указать canonical_sku + период</x:v>
      </x:c>
      <x:c r="G22" s="207" t="str">
        <x:v>Продуктовый блок + коммерция</x:v>
      </x:c>
      <x:c r="H22" s="207" t="str">
        <x:v>Высокий</x:v>
      </x:c>
      <x:c r="I22" s="207" t="str">
        <x:v>Маржа SKU/коллекции; производство; склад; продажи</x:v>
      </x:c>
      <x:c r="J22" s="207" t="str">
        <x:v>результат НГ 2024.xlsx / прайс / строка 662; результат капсула 2024.xlsx / прайс / строка 347</x:v>
      </x:c>
      <x:c r="K22" s="207" t="str"/>
      <x:c r="L22" s="207" t="str"/>
      <x:c r="M22" s="207" t="str">
        <x:v>Не рассмотрено</x:v>
      </x:c>
      <x:c r="N22" s="207" t="str"/>
      <x:c r="O22" s="207" t="str">
        <x:v>17</x:v>
      </x:c>
      <x:c r="P22" s="207" t="n">
        <x:v>3</x:v>
      </x:c>
      <x:c r="Q22" s="208" t="str">
        <x:v>Wave 2 (31–60 дней)</x:v>
      </x:c>
    </x:row>
    <x:row r="23">
      <x:c r="A23" s="206" t="str">
        <x:v>DEC-00019</x:v>
      </x:c>
      <x:c r="B23" s="207" t="str">
        <x:v>SKU alias</x:v>
      </x:c>
      <x:c r="C23" s="207" t="str">
        <x:v>MAP-0019</x:v>
      </x:c>
      <x:c r="D23" s="207" t="str">
        <x:v>T-2792 ↔ 0-2792</x:v>
      </x:c>
      <x:c r="E23" s="207" t="str">
        <x:v>Совпадает номер и вариант после дефиса; отличается префикс</x:v>
      </x:c>
      <x:c r="F23" s="207" t="str">
        <x:v>Подтвердить/отклонить и указать canonical_sku + период</x:v>
      </x:c>
      <x:c r="G23" s="207" t="str">
        <x:v>Продуктовый блок + коммерция</x:v>
      </x:c>
      <x:c r="H23" s="207" t="str">
        <x:v>Высокий</x:v>
      </x:c>
      <x:c r="I23" s="207" t="str">
        <x:v>Маржа SKU/коллекции; производство; склад; продажи</x:v>
      </x:c>
      <x:c r="J23" s="207" t="str">
        <x:v>результат круиз 22.04.24.xlsx / прайс / строка 76</x:v>
      </x:c>
      <x:c r="K23" s="207" t="str"/>
      <x:c r="L23" s="207" t="str"/>
      <x:c r="M23" s="207" t="str">
        <x:v>Не рассмотрено</x:v>
      </x:c>
      <x:c r="N23" s="207" t="str"/>
      <x:c r="O23" s="207" t="str">
        <x:v>17</x:v>
      </x:c>
      <x:c r="P23" s="207" t="n">
        <x:v>3</x:v>
      </x:c>
      <x:c r="Q23" s="208" t="str">
        <x:v>Wave 2 (31–60 дней)</x:v>
      </x:c>
    </x:row>
    <x:row r="24">
      <x:c r="A24" s="206" t="str">
        <x:v>DEC-00020</x:v>
      </x:c>
      <x:c r="B24" s="207" t="str">
        <x:v>SKU alias</x:v>
      </x:c>
      <x:c r="C24" s="207" t="str">
        <x:v>MAP-0020</x:v>
      </x:c>
      <x:c r="D24" s="207" t="str">
        <x:v>T-2984 ↔ 0-2984</x:v>
      </x:c>
      <x:c r="E24" s="207" t="str">
        <x:v>Совпадает номер и вариант после дефиса; отличается префикс</x:v>
      </x:c>
      <x:c r="F24" s="207" t="str">
        <x:v>Подтвердить/отклонить и указать canonical_sku + период</x:v>
      </x:c>
      <x:c r="G24" s="207" t="str">
        <x:v>Продуктовый блок + коммерция</x:v>
      </x:c>
      <x:c r="H24" s="207" t="str">
        <x:v>Высокий</x:v>
      </x:c>
      <x:c r="I24" s="207" t="str">
        <x:v>Маржа SKU/коллекции; производство; склад; продажи</x:v>
      </x:c>
      <x:c r="J24" s="207" t="str">
        <x:v>результат НГ 2024.xlsx / прайс / строка 393; результат капсула 2024.xlsx / прайс / строка 10</x:v>
      </x:c>
      <x:c r="K24" s="207" t="str"/>
      <x:c r="L24" s="207" t="str"/>
      <x:c r="M24" s="207" t="str">
        <x:v>Не рассмотрено</x:v>
      </x:c>
      <x:c r="N24" s="207" t="str"/>
      <x:c r="O24" s="207" t="str">
        <x:v>17</x:v>
      </x:c>
      <x:c r="P24" s="207" t="n">
        <x:v>3</x:v>
      </x:c>
      <x:c r="Q24" s="208" t="str">
        <x:v>Wave 2 (31–60 дней)</x:v>
      </x:c>
    </x:row>
    <x:row r="25">
      <x:c r="A25" s="206" t="str">
        <x:v>DEC-00021</x:v>
      </x:c>
      <x:c r="B25" s="207" t="str">
        <x:v>SKU alias</x:v>
      </x:c>
      <x:c r="C25" s="207" t="str">
        <x:v>MAP-0021</x:v>
      </x:c>
      <x:c r="D25" s="207" t="str">
        <x:v>T-3090 ↔ 0-3090</x:v>
      </x:c>
      <x:c r="E25" s="207" t="str">
        <x:v>Совпадает номер и вариант после дефиса; отличается префикс</x:v>
      </x:c>
      <x:c r="F25" s="207" t="str">
        <x:v>Подтвердить/отклонить и указать canonical_sku + период</x:v>
      </x:c>
      <x:c r="G25" s="207" t="str">
        <x:v>Продуктовый блок + коммерция</x:v>
      </x:c>
      <x:c r="H25" s="207" t="str">
        <x:v>Высокий</x:v>
      </x:c>
      <x:c r="I25" s="207" t="str">
        <x:v>Маржа SKU/коллекции; производство; склад; продажи</x:v>
      </x:c>
      <x:c r="J25" s="207" t="str">
        <x:v>результат НГ 2024.xlsx / прайс / строка 152</x:v>
      </x:c>
      <x:c r="K25" s="207" t="str"/>
      <x:c r="L25" s="207" t="str"/>
      <x:c r="M25" s="207" t="str">
        <x:v>Не рассмотрено</x:v>
      </x:c>
      <x:c r="N25" s="207" t="str"/>
      <x:c r="O25" s="207" t="str">
        <x:v>17</x:v>
      </x:c>
      <x:c r="P25" s="207" t="n">
        <x:v>3</x:v>
      </x:c>
      <x:c r="Q25" s="208" t="str">
        <x:v>Wave 2 (31–60 дней)</x:v>
      </x:c>
    </x:row>
    <x:row r="26">
      <x:c r="A26" s="206" t="str">
        <x:v>DEC-00022</x:v>
      </x:c>
      <x:c r="B26" s="207" t="str">
        <x:v>SKU alias</x:v>
      </x:c>
      <x:c r="C26" s="207" t="str">
        <x:v>MAP-0022</x:v>
      </x:c>
      <x:c r="D26" s="207" t="str">
        <x:v>T-3090 ↔ 0-3090</x:v>
      </x:c>
      <x:c r="E26" s="207" t="str">
        <x:v>Совпадает номер и вариант после дефиса; отличается префикс</x:v>
      </x:c>
      <x:c r="F26" s="207" t="str">
        <x:v>Подтвердить/отклонить и указать canonical_sku + период</x:v>
      </x:c>
      <x:c r="G26" s="207" t="str">
        <x:v>Продуктовый блок + коммерция</x:v>
      </x:c>
      <x:c r="H26" s="207" t="str">
        <x:v>Высокий</x:v>
      </x:c>
      <x:c r="I26" s="207" t="str">
        <x:v>Маржа SKU/коллекции; производство; склад; продажи</x:v>
      </x:c>
      <x:c r="J26" s="207" t="str">
        <x:v>Себестоимость Жукова.xlsx / 2024 / строка 308 / 42027.00</x:v>
      </x:c>
      <x:c r="K26" s="207" t="str"/>
      <x:c r="L26" s="207" t="str"/>
      <x:c r="M26" s="207" t="str">
        <x:v>Не рассмотрено</x:v>
      </x:c>
      <x:c r="N26" s="207" t="str"/>
      <x:c r="O26" s="207" t="str">
        <x:v>17</x:v>
      </x:c>
      <x:c r="P26" s="207" t="n">
        <x:v>3</x:v>
      </x:c>
      <x:c r="Q26" s="208" t="str">
        <x:v>Wave 2 (31–60 дней)</x:v>
      </x:c>
    </x:row>
    <x:row r="27">
      <x:c r="A27" s="206" t="str">
        <x:v>DEC-00023</x:v>
      </x:c>
      <x:c r="B27" s="207" t="str">
        <x:v>SKU alias</x:v>
      </x:c>
      <x:c r="C27" s="207" t="str">
        <x:v>MAP-0023</x:v>
      </x:c>
      <x:c r="D27" s="207" t="str">
        <x:v>T-2873 ↔ 0-2873</x:v>
      </x:c>
      <x:c r="E27" s="207" t="str">
        <x:v>Совпадает номер и вариант после дефиса; отличается префикс</x:v>
      </x:c>
      <x:c r="F27" s="207" t="str">
        <x:v>Подтвердить/отклонить и указать canonical_sku + период</x:v>
      </x:c>
      <x:c r="G27" s="207" t="str">
        <x:v>Продуктовый блок + коммерция</x:v>
      </x:c>
      <x:c r="H27" s="207" t="str">
        <x:v>Высокий</x:v>
      </x:c>
      <x:c r="I27" s="207" t="str">
        <x:v>Маржа SKU/коллекции; производство; склад; продажи</x:v>
      </x:c>
      <x:c r="J27" s="207" t="str">
        <x:v>результат круиз 09.04.25.xlsx / прайс / строка 1310; результат круиз 14.04.26.xlsx / прайс / строка 52; результат круиз 22.04.24.xlsx / прайс / строка 409</x:v>
      </x:c>
      <x:c r="K27" s="207" t="str"/>
      <x:c r="L27" s="207" t="str"/>
      <x:c r="M27" s="207" t="str">
        <x:v>Не рассмотрено</x:v>
      </x:c>
      <x:c r="N27" s="207" t="str"/>
      <x:c r="O27" s="207" t="str">
        <x:v>17</x:v>
      </x:c>
      <x:c r="P27" s="207" t="n">
        <x:v>3</x:v>
      </x:c>
      <x:c r="Q27" s="208" t="str">
        <x:v>Wave 2 (31–60 дней)</x:v>
      </x:c>
    </x:row>
    <x:row r="28">
      <x:c r="A28" s="206" t="str">
        <x:v>DEC-00024</x:v>
      </x:c>
      <x:c r="B28" s="207" t="str">
        <x:v>SKU alias</x:v>
      </x:c>
      <x:c r="C28" s="207" t="str">
        <x:v>MAP-0024</x:v>
      </x:c>
      <x:c r="D28" s="207" t="str">
        <x:v>T-2873 ↔ 0-2873</x:v>
      </x:c>
      <x:c r="E28" s="207" t="str">
        <x:v>Совпадает номер и вариант после дефиса; отличается префикс</x:v>
      </x:c>
      <x:c r="F28" s="207" t="str">
        <x:v>Подтвердить/отклонить и указать canonical_sku + период</x:v>
      </x:c>
      <x:c r="G28" s="207" t="str">
        <x:v>Продуктовый блок + коммерция</x:v>
      </x:c>
      <x:c r="H28" s="207" t="str">
        <x:v>Высокий</x:v>
      </x:c>
      <x:c r="I28" s="207" t="str">
        <x:v>Маржа SKU/коллекции; производство; склад; продажи</x:v>
      </x:c>
      <x:c r="J28" s="207" t="str">
        <x:v>Себестоимость Жукова.xlsx / 2025 / строка 2501 / 10003.00; себестоимость Мокеева 2025.xlsx / себестоимость 2025 / строка 172 / 43471.00</x:v>
      </x:c>
      <x:c r="K28" s="207" t="str"/>
      <x:c r="L28" s="207" t="str"/>
      <x:c r="M28" s="207" t="str">
        <x:v>Не рассмотрено</x:v>
      </x:c>
      <x:c r="N28" s="207" t="str"/>
      <x:c r="O28" s="207" t="str">
        <x:v>17</x:v>
      </x:c>
      <x:c r="P28" s="207" t="n">
        <x:v>3</x:v>
      </x:c>
      <x:c r="Q28" s="208" t="str">
        <x:v>Wave 2 (31–60 дней)</x:v>
      </x:c>
    </x:row>
    <x:row r="29">
      <x:c r="A29" s="206" t="str">
        <x:v>DEC-00025</x:v>
      </x:c>
      <x:c r="B29" s="207" t="str">
        <x:v>SKU alias</x:v>
      </x:c>
      <x:c r="C29" s="207" t="str">
        <x:v>MAP-0025</x:v>
      </x:c>
      <x:c r="D29" s="207" t="str">
        <x:v>T-2541 ↔ 0-2541</x:v>
      </x:c>
      <x:c r="E29" s="207" t="str">
        <x:v>Совпадает номер и вариант после дефиса; отличается префикс</x:v>
      </x:c>
      <x:c r="F29" s="207" t="str">
        <x:v>Подтвердить/отклонить и указать canonical_sku + период</x:v>
      </x:c>
      <x:c r="G29" s="207" t="str">
        <x:v>Продуктовый блок + коммерция</x:v>
      </x:c>
      <x:c r="H29" s="207" t="str">
        <x:v>Высокий</x:v>
      </x:c>
      <x:c r="I29" s="207" t="str">
        <x:v>Маржа SKU/коллекции; производство; склад; продажи</x:v>
      </x:c>
      <x:c r="J29" s="207" t="str">
        <x:v>Себестоимость Жукова.xlsx / 2025 / строка 717 / 10338.00; Себестоимость Жукова.xlsx / 2026 / строка 1767 / 2200.00</x:v>
      </x:c>
      <x:c r="K29" s="207" t="str"/>
      <x:c r="L29" s="207" t="str"/>
      <x:c r="M29" s="207" t="str">
        <x:v>Не рассмотрено</x:v>
      </x:c>
      <x:c r="N29" s="207" t="str"/>
      <x:c r="O29" s="207" t="str">
        <x:v>17</x:v>
      </x:c>
      <x:c r="P29" s="207" t="n">
        <x:v>3</x:v>
      </x:c>
      <x:c r="Q29" s="208" t="str">
        <x:v>Wave 2 (31–60 дней)</x:v>
      </x:c>
    </x:row>
    <x:row r="30">
      <x:c r="A30" s="206" t="str">
        <x:v>DEC-00026</x:v>
      </x:c>
      <x:c r="B30" s="207" t="str">
        <x:v>SKU alias</x:v>
      </x:c>
      <x:c r="C30" s="207" t="str">
        <x:v>MAP-0026</x:v>
      </x:c>
      <x:c r="D30" s="207" t="str">
        <x:v>T-2985 ↔ 0-2985</x:v>
      </x:c>
      <x:c r="E30" s="207" t="str">
        <x:v>Совпадает номер и вариант после дефиса; отличается префикс</x:v>
      </x:c>
      <x:c r="F30" s="207" t="str">
        <x:v>Подтвердить/отклонить и указать canonical_sku + период</x:v>
      </x:c>
      <x:c r="G30" s="207" t="str">
        <x:v>Продуктовый блок + коммерция</x:v>
      </x:c>
      <x:c r="H30" s="207" t="str">
        <x:v>Высокий</x:v>
      </x:c>
      <x:c r="I30" s="207" t="str">
        <x:v>Маржа SKU/коллекции; производство; склад; продажи</x:v>
      </x:c>
      <x:c r="J30" s="207" t="str">
        <x:v>результат НГ 2024.xlsx / прайс / строка 401; результат капсула 2024.xlsx / прайс / строка 18</x:v>
      </x:c>
      <x:c r="K30" s="207" t="str"/>
      <x:c r="L30" s="207" t="str"/>
      <x:c r="M30" s="207" t="str">
        <x:v>Не рассмотрено</x:v>
      </x:c>
      <x:c r="N30" s="207" t="str"/>
      <x:c r="O30" s="207" t="str">
        <x:v>17</x:v>
      </x:c>
      <x:c r="P30" s="207" t="n">
        <x:v>3</x:v>
      </x:c>
      <x:c r="Q30" s="208" t="str">
        <x:v>Wave 2 (31–60 дней)</x:v>
      </x:c>
    </x:row>
    <x:row r="31">
      <x:c r="A31" s="206" t="str">
        <x:v>DEC-00027</x:v>
      </x:c>
      <x:c r="B31" s="207" t="str">
        <x:v>SKU alias</x:v>
      </x:c>
      <x:c r="C31" s="207" t="str">
        <x:v>MAP-0027</x:v>
      </x:c>
      <x:c r="D31" s="207" t="str">
        <x:v>T-2985 ↔ 0-2985</x:v>
      </x:c>
      <x:c r="E31" s="207" t="str">
        <x:v>Совпадает номер и вариант после дефиса; отличается префикс</x:v>
      </x:c>
      <x:c r="F31" s="207" t="str">
        <x:v>Подтвердить/отклонить и указать canonical_sku + период</x:v>
      </x:c>
      <x:c r="G31" s="207" t="str">
        <x:v>Продуктовый блок + коммерция</x:v>
      </x:c>
      <x:c r="H31" s="207" t="str">
        <x:v>Высокий</x:v>
      </x:c>
      <x:c r="I31" s="207" t="str">
        <x:v>Маржа SKU/коллекции; производство; склад; продажи</x:v>
      </x:c>
      <x:c r="J31" s="207" t="str">
        <x:v>Себестоимость Жукова.xlsx / 2026 / строка 1087 / 28510.00</x:v>
      </x:c>
      <x:c r="K31" s="207" t="str"/>
      <x:c r="L31" s="207" t="str"/>
      <x:c r="M31" s="207" t="str">
        <x:v>Не рассмотрено</x:v>
      </x:c>
      <x:c r="N31" s="207" t="str"/>
      <x:c r="O31" s="207" t="str">
        <x:v>17</x:v>
      </x:c>
      <x:c r="P31" s="207" t="n">
        <x:v>3</x:v>
      </x:c>
      <x:c r="Q31" s="208" t="str">
        <x:v>Wave 2 (31–60 дней)</x:v>
      </x:c>
    </x:row>
    <x:row r="32">
      <x:c r="A32" s="206" t="str">
        <x:v>DEC-00028</x:v>
      </x:c>
      <x:c r="B32" s="207" t="str">
        <x:v>SKU alias</x:v>
      </x:c>
      <x:c r="C32" s="207" t="str">
        <x:v>MAP-0028</x:v>
      </x:c>
      <x:c r="D32" s="207" t="str">
        <x:v>T-2862 ↔ 0-2862</x:v>
      </x:c>
      <x:c r="E32" s="207" t="str">
        <x:v>Совпадает номер и вариант после дефиса; отличается префикс</x:v>
      </x:c>
      <x:c r="F32" s="207" t="str">
        <x:v>Подтвердить/отклонить и указать canonical_sku + период</x:v>
      </x:c>
      <x:c r="G32" s="207" t="str">
        <x:v>Продуктовый блок + коммерция</x:v>
      </x:c>
      <x:c r="H32" s="207" t="str">
        <x:v>Высокий</x:v>
      </x:c>
      <x:c r="I32" s="207" t="str">
        <x:v>Маржа SKU/коллекции; производство; склад; продажи</x:v>
      </x:c>
      <x:c r="J32" s="207" t="str">
        <x:v>результат круиз 09.04.25.xlsx / прайс / строка 1298; результат круиз 22.04.24.xlsx / прайс / строка 281</x:v>
      </x:c>
      <x:c r="K32" s="207" t="str"/>
      <x:c r="L32" s="207" t="str"/>
      <x:c r="M32" s="207" t="str">
        <x:v>Не рассмотрено</x:v>
      </x:c>
      <x:c r="N32" s="207" t="str"/>
      <x:c r="O32" s="207" t="str">
        <x:v>17</x:v>
      </x:c>
      <x:c r="P32" s="207" t="n">
        <x:v>3</x:v>
      </x:c>
      <x:c r="Q32" s="208" t="str">
        <x:v>Wave 2 (31–60 дней)</x:v>
      </x:c>
    </x:row>
    <x:row r="33">
      <x:c r="A33" s="206" t="str">
        <x:v>DEC-00029</x:v>
      </x:c>
      <x:c r="B33" s="207" t="str">
        <x:v>SKU alias</x:v>
      </x:c>
      <x:c r="C33" s="207" t="str">
        <x:v>MAP-0029</x:v>
      </x:c>
      <x:c r="D33" s="207" t="str">
        <x:v>T-2546 ↔ 0-2546</x:v>
      </x:c>
      <x:c r="E33" s="207" t="str">
        <x:v>Совпадает номер и вариант после дефиса; отличается префикс</x:v>
      </x:c>
      <x:c r="F33" s="207" t="str">
        <x:v>Подтвердить/отклонить и указать canonical_sku + период</x:v>
      </x:c>
      <x:c r="G33" s="207" t="str">
        <x:v>Продуктовый блок + коммерция</x:v>
      </x:c>
      <x:c r="H33" s="207" t="str">
        <x:v>Высокий</x:v>
      </x:c>
      <x:c r="I33" s="207" t="str">
        <x:v>Маржа SKU/коллекции; производство; склад; продажи</x:v>
      </x:c>
      <x:c r="J33" s="207" t="str">
        <x:v>результат круиз 09.04.25.xlsx / прайс / строка 1234</x:v>
      </x:c>
      <x:c r="K33" s="207" t="str"/>
      <x:c r="L33" s="207" t="str"/>
      <x:c r="M33" s="207" t="str">
        <x:v>Не рассмотрено</x:v>
      </x:c>
      <x:c r="N33" s="207" t="str"/>
      <x:c r="O33" s="207" t="str">
        <x:v>17</x:v>
      </x:c>
      <x:c r="P33" s="207" t="n">
        <x:v>3</x:v>
      </x:c>
      <x:c r="Q33" s="208" t="str">
        <x:v>Wave 2 (31–60 дней)</x:v>
      </x:c>
    </x:row>
    <x:row r="34">
      <x:c r="A34" s="206" t="str">
        <x:v>DEC-00030</x:v>
      </x:c>
      <x:c r="B34" s="207" t="str">
        <x:v>SKU alias</x:v>
      </x:c>
      <x:c r="C34" s="207" t="str">
        <x:v>MAP-0030</x:v>
      </x:c>
      <x:c r="D34" s="207" t="str">
        <x:v>T-2546 ↔ 0-2546</x:v>
      </x:c>
      <x:c r="E34" s="207" t="str">
        <x:v>Совпадает номер и вариант после дефиса; отличается префикс</x:v>
      </x:c>
      <x:c r="F34" s="207" t="str">
        <x:v>Подтвердить/отклонить и указать canonical_sku + период</x:v>
      </x:c>
      <x:c r="G34" s="207" t="str">
        <x:v>Продуктовый блок + коммерция</x:v>
      </x:c>
      <x:c r="H34" s="207" t="str">
        <x:v>Высокий</x:v>
      </x:c>
      <x:c r="I34" s="207" t="str">
        <x:v>Маржа SKU/коллекции; производство; склад; продажи</x:v>
      </x:c>
      <x:c r="J34" s="207" t="str">
        <x:v>Себестоимость Жукова.xlsx / 2025 / строка 306 / 20196.67</x:v>
      </x:c>
      <x:c r="K34" s="207" t="str"/>
      <x:c r="L34" s="207" t="str"/>
      <x:c r="M34" s="207" t="str">
        <x:v>Не рассмотрено</x:v>
      </x:c>
      <x:c r="N34" s="207" t="str"/>
      <x:c r="O34" s="207" t="str">
        <x:v>17</x:v>
      </x:c>
      <x:c r="P34" s="207" t="n">
        <x:v>3</x:v>
      </x:c>
      <x:c r="Q34" s="208" t="str">
        <x:v>Wave 2 (31–60 дней)</x:v>
      </x:c>
    </x:row>
    <x:row r="35">
      <x:c r="A35" s="206" t="str">
        <x:v>DEC-00031</x:v>
      </x:c>
      <x:c r="B35" s="207" t="str">
        <x:v>SKU alias</x:v>
      </x:c>
      <x:c r="C35" s="207" t="str">
        <x:v>MAP-0031</x:v>
      </x:c>
      <x:c r="D35" s="207" t="str">
        <x:v>T-2804 ↔ 0-2804</x:v>
      </x:c>
      <x:c r="E35" s="207" t="str">
        <x:v>Совпадает номер и вариант после дефиса; отличается префикс</x:v>
      </x:c>
      <x:c r="F35" s="207" t="str">
        <x:v>Подтвердить/отклонить и указать canonical_sku + период</x:v>
      </x:c>
      <x:c r="G35" s="207" t="str">
        <x:v>Продуктовый блок + коммерция</x:v>
      </x:c>
      <x:c r="H35" s="207" t="str">
        <x:v>Высокий</x:v>
      </x:c>
      <x:c r="I35" s="207" t="str">
        <x:v>Маржа SKU/коллекции; производство; склад; продажи</x:v>
      </x:c>
      <x:c r="J35" s="207" t="str">
        <x:v>результат круиз 22.04.24.xlsx / прайс / строка 92</x:v>
      </x:c>
      <x:c r="K35" s="207" t="str"/>
      <x:c r="L35" s="207" t="str"/>
      <x:c r="M35" s="207" t="str">
        <x:v>Не рассмотрено</x:v>
      </x:c>
      <x:c r="N35" s="207" t="str"/>
      <x:c r="O35" s="207" t="str">
        <x:v>17</x:v>
      </x:c>
      <x:c r="P35" s="207" t="n">
        <x:v>3</x:v>
      </x:c>
      <x:c r="Q35" s="208" t="str">
        <x:v>Wave 2 (31–60 дней)</x:v>
      </x:c>
    </x:row>
    <x:row r="36">
      <x:c r="A36" s="206" t="str">
        <x:v>DEC-00032</x:v>
      </x:c>
      <x:c r="B36" s="207" t="str">
        <x:v>SKU alias</x:v>
      </x:c>
      <x:c r="C36" s="207" t="str">
        <x:v>MAP-0032</x:v>
      </x:c>
      <x:c r="D36" s="207" t="str">
        <x:v>T-1418 ↔ 0-1418</x:v>
      </x:c>
      <x:c r="E36" s="207" t="str">
        <x:v>Совпадает номер и вариант после дефиса; отличается префикс</x:v>
      </x:c>
      <x:c r="F36" s="207" t="str">
        <x:v>Подтвердить/отклонить и указать canonical_sku + период</x:v>
      </x:c>
      <x:c r="G36" s="207" t="str">
        <x:v>Продуктовый блок + коммерция</x:v>
      </x:c>
      <x:c r="H36" s="207" t="str">
        <x:v>Высокий</x:v>
      </x:c>
      <x:c r="I36" s="207" t="str">
        <x:v>Маржа SKU/коллекции; производство; склад; продажи</x:v>
      </x:c>
      <x:c r="J36" s="207" t="str">
        <x:v>Себестоимость Жукова.xlsx / 2024 / строка 15 / 6986.00; Себестоимость Жукова.xlsx / 2024 / строка 474 / 9332.00; Себестоимость Жукова.xlsx / 2025 / строка 1893 / 8837.00; Себестоимость Жукова.xlsx / 2025 / строка 316 / 9607.00</x:v>
      </x:c>
      <x:c r="K36" s="207" t="str"/>
      <x:c r="L36" s="207" t="str"/>
      <x:c r="M36" s="207" t="str">
        <x:v>Не рассмотрено</x:v>
      </x:c>
      <x:c r="N36" s="207" t="str"/>
      <x:c r="O36" s="207" t="str">
        <x:v>17</x:v>
      </x:c>
      <x:c r="P36" s="207" t="n">
        <x:v>3</x:v>
      </x:c>
      <x:c r="Q36" s="208" t="str">
        <x:v>Wave 2 (31–60 дней)</x:v>
      </x:c>
    </x:row>
    <x:row r="37">
      <x:c r="A37" s="206" t="str">
        <x:v>DEC-00033</x:v>
      </x:c>
      <x:c r="B37" s="207" t="str">
        <x:v>SKU alias</x:v>
      </x:c>
      <x:c r="C37" s="207" t="str">
        <x:v>MAP-0033</x:v>
      </x:c>
      <x:c r="D37" s="207" t="str">
        <x:v>T-2788 ↔ 0-2788</x:v>
      </x:c>
      <x:c r="E37" s="207" t="str">
        <x:v>Совпадает номер и вариант после дефиса; отличается префикс</x:v>
      </x:c>
      <x:c r="F37" s="207" t="str">
        <x:v>Подтвердить/отклонить и указать canonical_sku + период</x:v>
      </x:c>
      <x:c r="G37" s="207" t="str">
        <x:v>Продуктовый блок + коммерция</x:v>
      </x:c>
      <x:c r="H37" s="207" t="str">
        <x:v>Высокий</x:v>
      </x:c>
      <x:c r="I37" s="207" t="str">
        <x:v>Маржа SKU/коллекции; производство; склад; продажи</x:v>
      </x:c>
      <x:c r="J37" s="207" t="str">
        <x:v>результат круиз 22.04.24.xlsx / прайс / строка 43</x:v>
      </x:c>
      <x:c r="K37" s="207" t="str"/>
      <x:c r="L37" s="207" t="str"/>
      <x:c r="M37" s="207" t="str">
        <x:v>Не рассмотрено</x:v>
      </x:c>
      <x:c r="N37" s="207" t="str"/>
      <x:c r="O37" s="207" t="str">
        <x:v>17</x:v>
      </x:c>
      <x:c r="P37" s="207" t="n">
        <x:v>3</x:v>
      </x:c>
      <x:c r="Q37" s="208" t="str">
        <x:v>Wave 2 (31–60 дней)</x:v>
      </x:c>
    </x:row>
    <x:row r="38">
      <x:c r="A38" s="206" t="str">
        <x:v>DEC-00034</x:v>
      </x:c>
      <x:c r="B38" s="207" t="str">
        <x:v>SKU alias</x:v>
      </x:c>
      <x:c r="C38" s="207" t="str">
        <x:v>MAP-0034</x:v>
      </x:c>
      <x:c r="D38" s="207" t="str">
        <x:v>T-2788 ↔ 0-2788</x:v>
      </x:c>
      <x:c r="E38" s="207" t="str">
        <x:v>Совпадает номер и вариант после дефиса; отличается префикс</x:v>
      </x:c>
      <x:c r="F38" s="207" t="str">
        <x:v>Подтвердить/отклонить и указать canonical_sku + период</x:v>
      </x:c>
      <x:c r="G38" s="207" t="str">
        <x:v>Продуктовый блок + коммерция</x:v>
      </x:c>
      <x:c r="H38" s="207" t="str">
        <x:v>Высокий</x:v>
      </x:c>
      <x:c r="I38" s="207" t="str">
        <x:v>Маржа SKU/коллекции; производство; склад; продажи</x:v>
      </x:c>
      <x:c r="J38" s="207" t="str">
        <x:v>Себестоимость Жукова.xlsx / 2025 / строка 272 / 1200.00</x:v>
      </x:c>
      <x:c r="K38" s="207" t="str"/>
      <x:c r="L38" s="207" t="str"/>
      <x:c r="M38" s="207" t="str">
        <x:v>Не рассмотрено</x:v>
      </x:c>
      <x:c r="N38" s="207" t="str"/>
      <x:c r="O38" s="207" t="str">
        <x:v>17</x:v>
      </x:c>
      <x:c r="P38" s="207" t="n">
        <x:v>3</x:v>
      </x:c>
      <x:c r="Q38" s="208" t="str">
        <x:v>Wave 2 (31–60 дней)</x:v>
      </x:c>
    </x:row>
    <x:row r="39">
      <x:c r="A39" s="206" t="str">
        <x:v>DEC-00035</x:v>
      </x:c>
      <x:c r="B39" s="207" t="str">
        <x:v>SKU alias</x:v>
      </x:c>
      <x:c r="C39" s="207" t="str">
        <x:v>MAP-0035</x:v>
      </x:c>
      <x:c r="D39" s="207" t="str">
        <x:v>T-3079 ↔ 0-3079</x:v>
      </x:c>
      <x:c r="E39" s="207" t="str">
        <x:v>Совпадает номер и вариант после дефиса; отличается префикс</x:v>
      </x:c>
      <x:c r="F39" s="207" t="str">
        <x:v>Подтвердить/отклонить и указать canonical_sku + период</x:v>
      </x:c>
      <x:c r="G39" s="207" t="str">
        <x:v>Продуктовый блок + коммерция</x:v>
      </x:c>
      <x:c r="H39" s="207" t="str">
        <x:v>Высокий</x:v>
      </x:c>
      <x:c r="I39" s="207" t="str">
        <x:v>Маржа SKU/коллекции; производство; склад; продажи</x:v>
      </x:c>
      <x:c r="J39" s="207" t="str">
        <x:v>результат НГ 2024.xlsx / прайс / строка 10; результат НГ 2024.xlsx / прайс / строка 2</x:v>
      </x:c>
      <x:c r="K39" s="207" t="str"/>
      <x:c r="L39" s="207" t="str"/>
      <x:c r="M39" s="207" t="str">
        <x:v>Не рассмотрено</x:v>
      </x:c>
      <x:c r="N39" s="207" t="str"/>
      <x:c r="O39" s="207" t="str">
        <x:v>17</x:v>
      </x:c>
      <x:c r="P39" s="207" t="n">
        <x:v>3</x:v>
      </x:c>
      <x:c r="Q39" s="208" t="str">
        <x:v>Wave 2 (31–60 дней)</x:v>
      </x:c>
    </x:row>
    <x:row r="40">
      <x:c r="A40" s="206" t="str">
        <x:v>DEC-00036</x:v>
      </x:c>
      <x:c r="B40" s="207" t="str">
        <x:v>SKU alias</x:v>
      </x:c>
      <x:c r="C40" s="207" t="str">
        <x:v>MAP-0036</x:v>
      </x:c>
      <x:c r="D40" s="207" t="str">
        <x:v>T-3079 ↔ 0-3079</x:v>
      </x:c>
      <x:c r="E40" s="207" t="str">
        <x:v>Совпадает номер и вариант после дефиса; отличается префикс</x:v>
      </x:c>
      <x:c r="F40" s="207" t="str">
        <x:v>Подтвердить/отклонить и указать canonical_sku + период</x:v>
      </x:c>
      <x:c r="G40" s="207" t="str">
        <x:v>Продуктовый блок + коммерция</x:v>
      </x:c>
      <x:c r="H40" s="207" t="str">
        <x:v>Высокий</x:v>
      </x:c>
      <x:c r="I40" s="207" t="str">
        <x:v>Маржа SKU/коллекции; производство; склад; продажи</x:v>
      </x:c>
      <x:c r="J40" s="207" t="str">
        <x:v>Себестоимость Жукова.xlsx / 2024 / строка 360 / 17922.00; Себестоимость Жукова.xlsx / 2024 / строка 604 / 11647.00</x:v>
      </x:c>
      <x:c r="K40" s="207" t="str"/>
      <x:c r="L40" s="207" t="str"/>
      <x:c r="M40" s="207" t="str">
        <x:v>Не рассмотрено</x:v>
      </x:c>
      <x:c r="N40" s="207" t="str"/>
      <x:c r="O40" s="207" t="str">
        <x:v>17</x:v>
      </x:c>
      <x:c r="P40" s="207" t="n">
        <x:v>3</x:v>
      </x:c>
      <x:c r="Q40" s="208" t="str">
        <x:v>Wave 2 (31–60 дней)</x:v>
      </x:c>
    </x:row>
    <x:row r="41">
      <x:c r="A41" s="206" t="str">
        <x:v>DEC-00037</x:v>
      </x:c>
      <x:c r="B41" s="207" t="str">
        <x:v>SKU alias</x:v>
      </x:c>
      <x:c r="C41" s="207" t="str">
        <x:v>MAP-0037</x:v>
      </x:c>
      <x:c r="D41" s="207" t="str">
        <x:v>T-3122 ↔ 0-3122</x:v>
      </x:c>
      <x:c r="E41" s="207" t="str">
        <x:v>Совпадает номер и вариант после дефиса; отличается префикс</x:v>
      </x:c>
      <x:c r="F41" s="207" t="str">
        <x:v>Подтвердить/отклонить и указать canonical_sku + период</x:v>
      </x:c>
      <x:c r="G41" s="207" t="str">
        <x:v>Продуктовый блок + коммерция</x:v>
      </x:c>
      <x:c r="H41" s="207" t="str">
        <x:v>Высокий</x:v>
      </x:c>
      <x:c r="I41" s="207" t="str">
        <x:v>Маржа SKU/коллекции; производство; склад; продажи</x:v>
      </x:c>
      <x:c r="J41" s="207" t="str">
        <x:v>результат круиз 09.04.25.xlsx / прайс / строка 221</x:v>
      </x:c>
      <x:c r="K41" s="207" t="str"/>
      <x:c r="L41" s="207" t="str"/>
      <x:c r="M41" s="207" t="str">
        <x:v>Не рассмотрено</x:v>
      </x:c>
      <x:c r="N41" s="207" t="str"/>
      <x:c r="O41" s="207" t="str">
        <x:v>17</x:v>
      </x:c>
      <x:c r="P41" s="207" t="n">
        <x:v>3</x:v>
      </x:c>
      <x:c r="Q41" s="208" t="str">
        <x:v>Wave 2 (31–60 дней)</x:v>
      </x:c>
    </x:row>
    <x:row r="42">
      <x:c r="A42" s="206" t="str">
        <x:v>DEC-00038</x:v>
      </x:c>
      <x:c r="B42" s="207" t="str">
        <x:v>SKU alias</x:v>
      </x:c>
      <x:c r="C42" s="207" t="str">
        <x:v>MAP-0038</x:v>
      </x:c>
      <x:c r="D42" s="207" t="str">
        <x:v>T-3122 ↔ 0-3122</x:v>
      </x:c>
      <x:c r="E42" s="207" t="str">
        <x:v>Совпадает номер и вариант после дефиса; отличается префикс</x:v>
      </x:c>
      <x:c r="F42" s="207" t="str">
        <x:v>Подтвердить/отклонить и указать canonical_sku + период</x:v>
      </x:c>
      <x:c r="G42" s="207" t="str">
        <x:v>Продуктовый блок + коммерция</x:v>
      </x:c>
      <x:c r="H42" s="207" t="str">
        <x:v>Высокий</x:v>
      </x:c>
      <x:c r="I42" s="207" t="str">
        <x:v>Маржа SKU/коллекции; производство; склад; продажи</x:v>
      </x:c>
      <x:c r="J42" s="207" t="str">
        <x:v>Себестоимость Жукова.xlsx / 2025 / строка 404 / 19639.00; Себестоимость Жукова.xlsx / 2025 / строка 583 / 1300.00</x:v>
      </x:c>
      <x:c r="K42" s="207" t="str"/>
      <x:c r="L42" s="207" t="str"/>
      <x:c r="M42" s="207" t="str">
        <x:v>Не рассмотрено</x:v>
      </x:c>
      <x:c r="N42" s="207" t="str"/>
      <x:c r="O42" s="207" t="str">
        <x:v>17</x:v>
      </x:c>
      <x:c r="P42" s="207" t="n">
        <x:v>3</x:v>
      </x:c>
      <x:c r="Q42" s="208" t="str">
        <x:v>Wave 2 (31–60 дней)</x:v>
      </x:c>
    </x:row>
    <x:row r="43">
      <x:c r="A43" s="206" t="str">
        <x:v>DEC-00039</x:v>
      </x:c>
      <x:c r="B43" s="207" t="str">
        <x:v>SKU alias</x:v>
      </x:c>
      <x:c r="C43" s="207" t="str">
        <x:v>MAP-0039</x:v>
      </x:c>
      <x:c r="D43" s="207" t="str">
        <x:v>T-2472 ↔ 0-2472</x:v>
      </x:c>
      <x:c r="E43" s="207" t="str">
        <x:v>Совпадает номер и вариант после дефиса; отличается префикс</x:v>
      </x:c>
      <x:c r="F43" s="207" t="str">
        <x:v>Подтвердить/отклонить и указать canonical_sku + период</x:v>
      </x:c>
      <x:c r="G43" s="207" t="str">
        <x:v>Продуктовый блок + коммерция</x:v>
      </x:c>
      <x:c r="H43" s="207" t="str">
        <x:v>Высокий</x:v>
      </x:c>
      <x:c r="I43" s="207" t="str">
        <x:v>Маржа SKU/коллекции; производство; склад; продажи</x:v>
      </x:c>
      <x:c r="J43" s="207" t="str">
        <x:v>Себестоимость Жукова.xlsx / 2024 / строка 47 / 7441.00</x:v>
      </x:c>
      <x:c r="K43" s="207" t="str"/>
      <x:c r="L43" s="207" t="str"/>
      <x:c r="M43" s="207" t="str">
        <x:v>Не рассмотрено</x:v>
      </x:c>
      <x:c r="N43" s="207" t="str"/>
      <x:c r="O43" s="207" t="str">
        <x:v>17</x:v>
      </x:c>
      <x:c r="P43" s="207" t="n">
        <x:v>3</x:v>
      </x:c>
      <x:c r="Q43" s="208" t="str">
        <x:v>Wave 2 (31–60 дней)</x:v>
      </x:c>
    </x:row>
    <x:row r="44">
      <x:c r="A44" s="206" t="str">
        <x:v>DEC-00040</x:v>
      </x:c>
      <x:c r="B44" s="207" t="str">
        <x:v>SKU alias</x:v>
      </x:c>
      <x:c r="C44" s="207" t="str">
        <x:v>MAP-0040</x:v>
      </x:c>
      <x:c r="D44" s="207" t="str">
        <x:v>T-2988 ↔ 0-2988</x:v>
      </x:c>
      <x:c r="E44" s="207" t="str">
        <x:v>Совпадает номер и вариант после дефиса; отличается префикс</x:v>
      </x:c>
      <x:c r="F44" s="207" t="str">
        <x:v>Подтвердить/отклонить и указать canonical_sku + период</x:v>
      </x:c>
      <x:c r="G44" s="207" t="str">
        <x:v>Продуктовый блок + коммерция</x:v>
      </x:c>
      <x:c r="H44" s="207" t="str">
        <x:v>Высокий</x:v>
      </x:c>
      <x:c r="I44" s="207" t="str">
        <x:v>Маржа SKU/коллекции; производство; склад; продажи</x:v>
      </x:c>
      <x:c r="J44" s="207" t="str">
        <x:v>результат НГ 2024.xlsx / прайс / строка 425; результат капсула 2024.xlsx / прайс / строка 42</x:v>
      </x:c>
      <x:c r="K44" s="207" t="str"/>
      <x:c r="L44" s="207" t="str"/>
      <x:c r="M44" s="207" t="str">
        <x:v>Не рассмотрено</x:v>
      </x:c>
      <x:c r="N44" s="207" t="str"/>
      <x:c r="O44" s="207" t="str">
        <x:v>17</x:v>
      </x:c>
      <x:c r="P44" s="207" t="n">
        <x:v>3</x:v>
      </x:c>
      <x:c r="Q44" s="208" t="str">
        <x:v>Wave 2 (31–60 дней)</x:v>
      </x:c>
    </x:row>
    <x:row r="45">
      <x:c r="A45" s="206" t="str">
        <x:v>DEC-00041</x:v>
      </x:c>
      <x:c r="B45" s="207" t="str">
        <x:v>SKU alias</x:v>
      </x:c>
      <x:c r="C45" s="207" t="str">
        <x:v>MAP-0041</x:v>
      </x:c>
      <x:c r="D45" s="207" t="str">
        <x:v>T-3014A ↔ 0-3014A</x:v>
      </x:c>
      <x:c r="E45" s="207" t="str">
        <x:v>Совпадает номер и вариант после дефиса; отличается префикс</x:v>
      </x:c>
      <x:c r="F45" s="207" t="str">
        <x:v>Подтвердить/отклонить и указать canonical_sku + период</x:v>
      </x:c>
      <x:c r="G45" s="207" t="str">
        <x:v>Продуктовый блок + коммерция</x:v>
      </x:c>
      <x:c r="H45" s="207" t="str">
        <x:v>Высокий</x:v>
      </x:c>
      <x:c r="I45" s="207" t="str">
        <x:v>Маржа SKU/коллекции; производство; склад; продажи</x:v>
      </x:c>
      <x:c r="J45" s="207" t="str">
        <x:v>результат НГ 2024.xlsx / прайс / строка 613; результат капсула 2024.xlsx / прайс / строка 264</x:v>
      </x:c>
      <x:c r="K45" s="207" t="str"/>
      <x:c r="L45" s="207" t="str"/>
      <x:c r="M45" s="207" t="str">
        <x:v>Не рассмотрено</x:v>
      </x:c>
      <x:c r="N45" s="207" t="str"/>
      <x:c r="O45" s="207" t="str">
        <x:v>17</x:v>
      </x:c>
      <x:c r="P45" s="207" t="n">
        <x:v>3</x:v>
      </x:c>
      <x:c r="Q45" s="208" t="str">
        <x:v>Wave 2 (31–60 дней)</x:v>
      </x:c>
    </x:row>
    <x:row r="46">
      <x:c r="A46" s="206" t="str">
        <x:v>DEC-00042</x:v>
      </x:c>
      <x:c r="B46" s="207" t="str">
        <x:v>SKU alias</x:v>
      </x:c>
      <x:c r="C46" s="207" t="str">
        <x:v>MAP-0042</x:v>
      </x:c>
      <x:c r="D46" s="207" t="str">
        <x:v>T-1960 ↔ 0-1960</x:v>
      </x:c>
      <x:c r="E46" s="207" t="str">
        <x:v>Совпадает номер и вариант после дефиса; отличается префикс</x:v>
      </x:c>
      <x:c r="F46" s="207" t="str">
        <x:v>Подтвердить/отклонить и указать canonical_sku + период</x:v>
      </x:c>
      <x:c r="G46" s="207" t="str">
        <x:v>Продуктовый блок + коммерция</x:v>
      </x:c>
      <x:c r="H46" s="207" t="str">
        <x:v>Высокий</x:v>
      </x:c>
      <x:c r="I46" s="207" t="str">
        <x:v>Маржа SKU/коллекции; производство; склад; продажи</x:v>
      </x:c>
      <x:c r="J46" s="207" t="str">
        <x:v>Себестоимость Жукова.xlsx / 2024 / строка 458 / 8656.00</x:v>
      </x:c>
      <x:c r="K46" s="207" t="str"/>
      <x:c r="L46" s="207" t="str"/>
      <x:c r="M46" s="207" t="str">
        <x:v>Не рассмотрено</x:v>
      </x:c>
      <x:c r="N46" s="207" t="str"/>
      <x:c r="O46" s="207" t="str">
        <x:v>17</x:v>
      </x:c>
      <x:c r="P46" s="207" t="n">
        <x:v>3</x:v>
      </x:c>
      <x:c r="Q46" s="208" t="str">
        <x:v>Wave 2 (31–60 дней)</x:v>
      </x:c>
    </x:row>
    <x:row r="47">
      <x:c r="A47" s="206" t="str">
        <x:v>DEC-00043</x:v>
      </x:c>
      <x:c r="B47" s="207" t="str">
        <x:v>SKU alias</x:v>
      </x:c>
      <x:c r="C47" s="207" t="str">
        <x:v>MAP-0043</x:v>
      </x:c>
      <x:c r="D47" s="207" t="str">
        <x:v>T-3118A ↔ 0-3118A</x:v>
      </x:c>
      <x:c r="E47" s="207" t="str">
        <x:v>Совпадает номер и вариант после дефиса; отличается префикс</x:v>
      </x:c>
      <x:c r="F47" s="207" t="str">
        <x:v>Подтвердить/отклонить и указать canonical_sku + период</x:v>
      </x:c>
      <x:c r="G47" s="207" t="str">
        <x:v>Продуктовый блок + коммерция</x:v>
      </x:c>
      <x:c r="H47" s="207" t="str">
        <x:v>Высокий</x:v>
      </x:c>
      <x:c r="I47" s="207" t="str">
        <x:v>Маржа SKU/коллекции; производство; склад; продажи</x:v>
      </x:c>
      <x:c r="J47" s="207" t="str">
        <x:v>результат круиз 09.04.25.xlsx / прайс / строка 156</x:v>
      </x:c>
      <x:c r="K47" s="207" t="str"/>
      <x:c r="L47" s="207" t="str"/>
      <x:c r="M47" s="207" t="str">
        <x:v>Не рассмотрено</x:v>
      </x:c>
      <x:c r="N47" s="207" t="str"/>
      <x:c r="O47" s="207" t="str">
        <x:v>17</x:v>
      </x:c>
      <x:c r="P47" s="207" t="n">
        <x:v>3</x:v>
      </x:c>
      <x:c r="Q47" s="208" t="str">
        <x:v>Wave 2 (31–60 дней)</x:v>
      </x:c>
    </x:row>
    <x:row r="48">
      <x:c r="A48" s="206" t="str">
        <x:v>DEC-00044</x:v>
      </x:c>
      <x:c r="B48" s="207" t="str">
        <x:v>SKU alias</x:v>
      </x:c>
      <x:c r="C48" s="207" t="str">
        <x:v>MAP-0044</x:v>
      </x:c>
      <x:c r="D48" s="207" t="str">
        <x:v>T-3049 ↔ 0-3049</x:v>
      </x:c>
      <x:c r="E48" s="207" t="str">
        <x:v>Совпадает номер и вариант после дефиса; отличается префикс</x:v>
      </x:c>
      <x:c r="F48" s="207" t="str">
        <x:v>Подтвердить/отклонить и указать canonical_sku + период</x:v>
      </x:c>
      <x:c r="G48" s="207" t="str">
        <x:v>Продуктовый блок + коммерция</x:v>
      </x:c>
      <x:c r="H48" s="207" t="str">
        <x:v>Высокий</x:v>
      </x:c>
      <x:c r="I48" s="207" t="str">
        <x:v>Маржа SKU/коллекции; производство; склад; продажи</x:v>
      </x:c>
      <x:c r="J48" s="207" t="str">
        <x:v>Себестоимость Жукова.xlsx / 2025 / строка 120 / 22401.00; Себестоимость Жукова.xlsx / 2025 / строка 664 / 3080.00</x:v>
      </x:c>
      <x:c r="K48" s="207" t="str"/>
      <x:c r="L48" s="207" t="str"/>
      <x:c r="M48" s="207" t="str">
        <x:v>Не рассмотрено</x:v>
      </x:c>
      <x:c r="N48" s="207" t="str"/>
      <x:c r="O48" s="207" t="str">
        <x:v>17</x:v>
      </x:c>
      <x:c r="P48" s="207" t="n">
        <x:v>3</x:v>
      </x:c>
      <x:c r="Q48" s="208" t="str">
        <x:v>Wave 2 (31–60 дней)</x:v>
      </x:c>
    </x:row>
    <x:row r="49">
      <x:c r="A49" s="206" t="str">
        <x:v>DEC-00045</x:v>
      </x:c>
      <x:c r="B49" s="207" t="str">
        <x:v>SKU alias</x:v>
      </x:c>
      <x:c r="C49" s="207" t="str">
        <x:v>MAP-0045</x:v>
      </x:c>
      <x:c r="D49" s="207" t="str">
        <x:v>T-3118A ↔ 0-3118A</x:v>
      </x:c>
      <x:c r="E49" s="207" t="str">
        <x:v>Совпадает номер и вариант после дефиса; отличается префикс</x:v>
      </x:c>
      <x:c r="F49" s="207" t="str">
        <x:v>Подтвердить/отклонить и указать canonical_sku + период</x:v>
      </x:c>
      <x:c r="G49" s="207" t="str">
        <x:v>Продуктовый блок + коммерция</x:v>
      </x:c>
      <x:c r="H49" s="207" t="str">
        <x:v>Высокий</x:v>
      </x:c>
      <x:c r="I49" s="207" t="str">
        <x:v>Маржа SKU/коллекции; производство; склад; продажи</x:v>
      </x:c>
      <x:c r="J49" s="207" t="str">
        <x:v>Себестоимость Жукова.xlsx / 2025 / строка 460 / 23090.00</x:v>
      </x:c>
      <x:c r="K49" s="207" t="str"/>
      <x:c r="L49" s="207" t="str"/>
      <x:c r="M49" s="207" t="str">
        <x:v>Не рассмотрено</x:v>
      </x:c>
      <x:c r="N49" s="207" t="str"/>
      <x:c r="O49" s="207" t="str">
        <x:v>17</x:v>
      </x:c>
      <x:c r="P49" s="207" t="n">
        <x:v>3</x:v>
      </x:c>
      <x:c r="Q49" s="208" t="str">
        <x:v>Wave 2 (31–60 дней)</x:v>
      </x:c>
    </x:row>
    <x:row r="50">
      <x:c r="A50" s="206" t="str">
        <x:v>DEC-00046</x:v>
      </x:c>
      <x:c r="B50" s="207" t="str">
        <x:v>SKU alias</x:v>
      </x:c>
      <x:c r="C50" s="207" t="str">
        <x:v>MAP-0046</x:v>
      </x:c>
      <x:c r="D50" s="207" t="str">
        <x:v>T-3088 ↔ 0-3088</x:v>
      </x:c>
      <x:c r="E50" s="207" t="str">
        <x:v>Совпадает номер и вариант после дефиса; отличается префикс</x:v>
      </x:c>
      <x:c r="F50" s="207" t="str">
        <x:v>Подтвердить/отклонить и указать canonical_sku + период</x:v>
      </x:c>
      <x:c r="G50" s="207" t="str">
        <x:v>Продуктовый блок + коммерция</x:v>
      </x:c>
      <x:c r="H50" s="207" t="str">
        <x:v>Высокий</x:v>
      </x:c>
      <x:c r="I50" s="207" t="str">
        <x:v>Маржа SKU/коллекции; производство; склад; продажи</x:v>
      </x:c>
      <x:c r="J50" s="207" t="str">
        <x:v>результат НГ 2024.xlsx / прайс / строка 136</x:v>
      </x:c>
      <x:c r="K50" s="207" t="str"/>
      <x:c r="L50" s="207" t="str"/>
      <x:c r="M50" s="207" t="str">
        <x:v>Не рассмотрено</x:v>
      </x:c>
      <x:c r="N50" s="207" t="str"/>
      <x:c r="O50" s="207" t="str">
        <x:v>17</x:v>
      </x:c>
      <x:c r="P50" s="207" t="n">
        <x:v>3</x:v>
      </x:c>
      <x:c r="Q50" s="208" t="str">
        <x:v>Wave 2 (31–60 дней)</x:v>
      </x:c>
    </x:row>
    <x:row r="51">
      <x:c r="A51" s="206" t="str">
        <x:v>DEC-00047</x:v>
      </x:c>
      <x:c r="B51" s="207" t="str">
        <x:v>SKU alias</x:v>
      </x:c>
      <x:c r="C51" s="207" t="str">
        <x:v>MAP-0047</x:v>
      </x:c>
      <x:c r="D51" s="207" t="str">
        <x:v>T-3088 ↔ 0-3088</x:v>
      </x:c>
      <x:c r="E51" s="207" t="str">
        <x:v>Совпадает номер и вариант после дефиса; отличается префикс</x:v>
      </x:c>
      <x:c r="F51" s="207" t="str">
        <x:v>Подтвердить/отклонить и указать canonical_sku + период</x:v>
      </x:c>
      <x:c r="G51" s="207" t="str">
        <x:v>Продуктовый блок + коммерция</x:v>
      </x:c>
      <x:c r="H51" s="207" t="str">
        <x:v>Высокий</x:v>
      </x:c>
      <x:c r="I51" s="207" t="str">
        <x:v>Маржа SKU/коллекции; производство; склад; продажи</x:v>
      </x:c>
      <x:c r="J51" s="207" t="str">
        <x:v>Себестоимость Жукова.xlsx / 2024 / строка 320 / 83856.00</x:v>
      </x:c>
      <x:c r="K51" s="207" t="str"/>
      <x:c r="L51" s="207" t="str"/>
      <x:c r="M51" s="207" t="str">
        <x:v>Не рассмотрено</x:v>
      </x:c>
      <x:c r="N51" s="207" t="str"/>
      <x:c r="O51" s="207" t="str">
        <x:v>17</x:v>
      </x:c>
      <x:c r="P51" s="207" t="n">
        <x:v>3</x:v>
      </x:c>
      <x:c r="Q51" s="208" t="str">
        <x:v>Wave 2 (31–60 дней)</x:v>
      </x:c>
    </x:row>
    <x:row r="52">
      <x:c r="A52" s="206" t="str">
        <x:v>DEC-00048</x:v>
      </x:c>
      <x:c r="B52" s="207" t="str">
        <x:v>SKU alias</x:v>
      </x:c>
      <x:c r="C52" s="207" t="str">
        <x:v>MAP-0048</x:v>
      </x:c>
      <x:c r="D52" s="207" t="str">
        <x:v>T-2470 ↔ 0-2470</x:v>
      </x:c>
      <x:c r="E52" s="207" t="str">
        <x:v>Совпадает номер и вариант после дефиса; отличается префикс</x:v>
      </x:c>
      <x:c r="F52" s="207" t="str">
        <x:v>Подтвердить/отклонить и указать canonical_sku + период</x:v>
      </x:c>
      <x:c r="G52" s="207" t="str">
        <x:v>Продуктовый блок + коммерция</x:v>
      </x:c>
      <x:c r="H52" s="207" t="str">
        <x:v>Высокий</x:v>
      </x:c>
      <x:c r="I52" s="207" t="str">
        <x:v>Маржа SKU/коллекции; производство; склад; продажи</x:v>
      </x:c>
      <x:c r="J52" s="207" t="str">
        <x:v>Себестоимость Жукова.xlsx / 2024 / строка 43 / 7178.00; Себестоимость Жукова.xlsx / 2024 / строка 694 / 6623.00; Себестоимость Жукова.xlsx / 2025 / строка 224 / 8673.00; Себестоимость Жукова.xlsx / 2025 / строка 517 / 8673.00; Себестоимость Жукова.xlsx / 2025 / строка 61 / 10023.00</x:v>
      </x:c>
      <x:c r="K52" s="207" t="str"/>
      <x:c r="L52" s="207" t="str"/>
      <x:c r="M52" s="207" t="str">
        <x:v>Не рассмотрено</x:v>
      </x:c>
      <x:c r="N52" s="207" t="str"/>
      <x:c r="O52" s="207" t="str">
        <x:v>17</x:v>
      </x:c>
      <x:c r="P52" s="207" t="n">
        <x:v>3</x:v>
      </x:c>
      <x:c r="Q52" s="208" t="str">
        <x:v>Wave 2 (31–60 дней)</x:v>
      </x:c>
    </x:row>
    <x:row r="53">
      <x:c r="A53" s="206" t="str">
        <x:v>DEC-00049</x:v>
      </x:c>
      <x:c r="B53" s="207" t="str">
        <x:v>SKU alias</x:v>
      </x:c>
      <x:c r="C53" s="207" t="str">
        <x:v>MAP-0049</x:v>
      </x:c>
      <x:c r="D53" s="207" t="str">
        <x:v>T-2359A ↔ 0-2359A</x:v>
      </x:c>
      <x:c r="E53" s="207" t="str">
        <x:v>Совпадает номер и вариант после дефиса; отличается префикс</x:v>
      </x:c>
      <x:c r="F53" s="207" t="str">
        <x:v>Подтвердить/отклонить и указать canonical_sku + период</x:v>
      </x:c>
      <x:c r="G53" s="207" t="str">
        <x:v>Продуктовый блок + коммерция</x:v>
      </x:c>
      <x:c r="H53" s="207" t="str">
        <x:v>Высокий</x:v>
      </x:c>
      <x:c r="I53" s="207" t="str">
        <x:v>Маржа SKU/коллекции; производство; склад; продажи</x:v>
      </x:c>
      <x:c r="J53" s="207" t="str">
        <x:v>Себестоимость Жукова.xlsx / 2024 / строка 698 / 9247.00; Себестоимость Жукова.xlsx / 2025 / строка 216 / 11497.00</x:v>
      </x:c>
      <x:c r="K53" s="207" t="str"/>
      <x:c r="L53" s="207" t="str"/>
      <x:c r="M53" s="207" t="str">
        <x:v>Не рассмотрено</x:v>
      </x:c>
      <x:c r="N53" s="207" t="str"/>
      <x:c r="O53" s="207" t="str">
        <x:v>17</x:v>
      </x:c>
      <x:c r="P53" s="207" t="n">
        <x:v>3</x:v>
      </x:c>
      <x:c r="Q53" s="208" t="str">
        <x:v>Wave 2 (31–60 дней)</x:v>
      </x:c>
    </x:row>
    <x:row r="54">
      <x:c r="A54" s="206" t="str">
        <x:v>DEC-00050</x:v>
      </x:c>
      <x:c r="B54" s="207" t="str">
        <x:v>SKU alias</x:v>
      </x:c>
      <x:c r="C54" s="207" t="str">
        <x:v>MAP-0050</x:v>
      </x:c>
      <x:c r="D54" s="207" t="str">
        <x:v>T-2806 ↔ 0-2806</x:v>
      </x:c>
      <x:c r="E54" s="207" t="str">
        <x:v>Совпадает номер и вариант после дефиса; отличается префикс</x:v>
      </x:c>
      <x:c r="F54" s="207" t="str">
        <x:v>Подтвердить/отклонить и указать canonical_sku + период</x:v>
      </x:c>
      <x:c r="G54" s="207" t="str">
        <x:v>Продуктовый блок + коммерция</x:v>
      </x:c>
      <x:c r="H54" s="207" t="str">
        <x:v>Высокий</x:v>
      </x:c>
      <x:c r="I54" s="207" t="str">
        <x:v>Маржа SKU/коллекции; производство; склад; продажи</x:v>
      </x:c>
      <x:c r="J54" s="207" t="str">
        <x:v>результат круиз 22.04.24.xlsx / прайс / строка 115</x:v>
      </x:c>
      <x:c r="K54" s="207" t="str"/>
      <x:c r="L54" s="207" t="str"/>
      <x:c r="M54" s="207" t="str">
        <x:v>Не рассмотрено</x:v>
      </x:c>
      <x:c r="N54" s="207" t="str"/>
      <x:c r="O54" s="207" t="str">
        <x:v>17</x:v>
      </x:c>
      <x:c r="P54" s="207" t="n">
        <x:v>3</x:v>
      </x:c>
      <x:c r="Q54" s="208" t="str">
        <x:v>Wave 2 (31–60 дней)</x:v>
      </x:c>
    </x:row>
    <x:row r="55">
      <x:c r="A55" s="206" t="str">
        <x:v>DEC-00051</x:v>
      </x:c>
      <x:c r="B55" s="207" t="str">
        <x:v>SKU alias</x:v>
      </x:c>
      <x:c r="C55" s="207" t="str">
        <x:v>MAP-0051</x:v>
      </x:c>
      <x:c r="D55" s="207" t="str">
        <x:v>T-3109B ↔ 0-3109B</x:v>
      </x:c>
      <x:c r="E55" s="207" t="str">
        <x:v>Совпадает номер и вариант после дефиса; отличается префикс</x:v>
      </x:c>
      <x:c r="F55" s="207" t="str">
        <x:v>Подтвердить/отклонить и указать canonical_sku + период</x:v>
      </x:c>
      <x:c r="G55" s="207" t="str">
        <x:v>Продуктовый блок + коммерция</x:v>
      </x:c>
      <x:c r="H55" s="207" t="str">
        <x:v>Высокий</x:v>
      </x:c>
      <x:c r="I55" s="207" t="str">
        <x:v>Маржа SKU/коллекции; производство; склад; продажи</x:v>
      </x:c>
      <x:c r="J55" s="207" t="str">
        <x:v>результат круиз 09.04.25.xlsx / прайс / строка 36</x:v>
      </x:c>
      <x:c r="K55" s="207" t="str"/>
      <x:c r="L55" s="207" t="str"/>
      <x:c r="M55" s="207" t="str">
        <x:v>Не рассмотрено</x:v>
      </x:c>
      <x:c r="N55" s="207" t="str"/>
      <x:c r="O55" s="207" t="str">
        <x:v>17</x:v>
      </x:c>
      <x:c r="P55" s="207" t="n">
        <x:v>3</x:v>
      </x:c>
      <x:c r="Q55" s="208" t="str">
        <x:v>Wave 2 (31–60 дней)</x:v>
      </x:c>
    </x:row>
    <x:row r="56">
      <x:c r="A56" s="206" t="str">
        <x:v>DEC-00052</x:v>
      </x:c>
      <x:c r="B56" s="207" t="str">
        <x:v>SKU alias</x:v>
      </x:c>
      <x:c r="C56" s="207" t="str">
        <x:v>MAP-0052</x:v>
      </x:c>
      <x:c r="D56" s="207" t="str">
        <x:v>T-3109B ↔ 0-3109B</x:v>
      </x:c>
      <x:c r="E56" s="207" t="str">
        <x:v>Совпадает номер и вариант после дефиса; отличается префикс</x:v>
      </x:c>
      <x:c r="F56" s="207" t="str">
        <x:v>Подтвердить/отклонить и указать canonical_sku + период</x:v>
      </x:c>
      <x:c r="G56" s="207" t="str">
        <x:v>Продуктовый блок + коммерция</x:v>
      </x:c>
      <x:c r="H56" s="207" t="str">
        <x:v>Высокий</x:v>
      </x:c>
      <x:c r="I56" s="207" t="str">
        <x:v>Маржа SKU/коллекции; производство; склад; продажи</x:v>
      </x:c>
      <x:c r="J56" s="207" t="str">
        <x:v>себестоимость Мокеева 2025.xlsx / себестоимость 2025 / строка 292 / 33621.00</x:v>
      </x:c>
      <x:c r="K56" s="207" t="str"/>
      <x:c r="L56" s="207" t="str"/>
      <x:c r="M56" s="207" t="str">
        <x:v>Не рассмотрено</x:v>
      </x:c>
      <x:c r="N56" s="207" t="str"/>
      <x:c r="O56" s="207" t="str">
        <x:v>17</x:v>
      </x:c>
      <x:c r="P56" s="207" t="n">
        <x:v>3</x:v>
      </x:c>
      <x:c r="Q56" s="208" t="str">
        <x:v>Wave 2 (31–60 дней)</x:v>
      </x:c>
    </x:row>
    <x:row r="57">
      <x:c r="A57" s="206" t="str">
        <x:v>DEC-00053</x:v>
      </x:c>
      <x:c r="B57" s="207" t="str">
        <x:v>SKU alias</x:v>
      </x:c>
      <x:c r="C57" s="207" t="str">
        <x:v>MAP-0053</x:v>
      </x:c>
      <x:c r="D57" s="207" t="str">
        <x:v>T-2604 ↔ 0-2604</x:v>
      </x:c>
      <x:c r="E57" s="207" t="str">
        <x:v>Совпадает номер и вариант после дефиса; отличается префикс</x:v>
      </x:c>
      <x:c r="F57" s="207" t="str">
        <x:v>Подтвердить/отклонить и указать canonical_sku + период</x:v>
      </x:c>
      <x:c r="G57" s="207" t="str">
        <x:v>Продуктовый блок + коммерция</x:v>
      </x:c>
      <x:c r="H57" s="207" t="str">
        <x:v>Высокий</x:v>
      </x:c>
      <x:c r="I57" s="207" t="str">
        <x:v>Маржа SKU/коллекции; производство; склад; продажи</x:v>
      </x:c>
      <x:c r="J57" s="207" t="str">
        <x:v>результат капсула 2025.xlsx / прайс / строка 2</x:v>
      </x:c>
      <x:c r="K57" s="207" t="str"/>
      <x:c r="L57" s="207" t="str"/>
      <x:c r="M57" s="207" t="str">
        <x:v>Не рассмотрено</x:v>
      </x:c>
      <x:c r="N57" s="207" t="str"/>
      <x:c r="O57" s="207" t="str">
        <x:v>17</x:v>
      </x:c>
      <x:c r="P57" s="207" t="n">
        <x:v>3</x:v>
      </x:c>
      <x:c r="Q57" s="208" t="str">
        <x:v>Wave 2 (31–60 дней)</x:v>
      </x:c>
    </x:row>
    <x:row r="58">
      <x:c r="A58" s="206" t="str">
        <x:v>DEC-00054</x:v>
      </x:c>
      <x:c r="B58" s="207" t="str">
        <x:v>SKU alias</x:v>
      </x:c>
      <x:c r="C58" s="207" t="str">
        <x:v>MAP-0054</x:v>
      </x:c>
      <x:c r="D58" s="207" t="str">
        <x:v>T-2604 ↔ M-2604</x:v>
      </x:c>
      <x:c r="E58" s="207" t="str">
        <x:v>Совпадает номер и вариант после дефиса; отличается префикс</x:v>
      </x:c>
      <x:c r="F58" s="207" t="str">
        <x:v>Подтвердить/отклонить и указать canonical_sku + период</x:v>
      </x:c>
      <x:c r="G58" s="207" t="str">
        <x:v>Продуктовый блок + коммерция</x:v>
      </x:c>
      <x:c r="H58" s="207" t="str">
        <x:v>Высокий</x:v>
      </x:c>
      <x:c r="I58" s="207" t="str">
        <x:v>Маржа SKU/коллекции; производство; склад; продажи</x:v>
      </x:c>
      <x:c r="J58" s="207" t="str">
        <x:v>результат капсула 2024.xlsx / прайс / строка 2</x:v>
      </x:c>
      <x:c r="K58" s="207" t="str"/>
      <x:c r="L58" s="207" t="str"/>
      <x:c r="M58" s="207" t="str">
        <x:v>Не рассмотрено</x:v>
      </x:c>
      <x:c r="N58" s="207" t="str"/>
      <x:c r="O58" s="207" t="str">
        <x:v>17</x:v>
      </x:c>
      <x:c r="P58" s="207" t="n">
        <x:v>3</x:v>
      </x:c>
      <x:c r="Q58" s="208" t="str">
        <x:v>Wave 2 (31–60 дней)</x:v>
      </x:c>
    </x:row>
    <x:row r="59">
      <x:c r="A59" s="206" t="str">
        <x:v>DEC-00055</x:v>
      </x:c>
      <x:c r="B59" s="207" t="str">
        <x:v>SKU alias</x:v>
      </x:c>
      <x:c r="C59" s="207" t="str">
        <x:v>MAP-0055</x:v>
      </x:c>
      <x:c r="D59" s="207" t="str">
        <x:v>T-2604 ↔ 0-2604</x:v>
      </x:c>
      <x:c r="E59" s="207" t="str">
        <x:v>Совпадает номер и вариант после дефиса; отличается префикс</x:v>
      </x:c>
      <x:c r="F59" s="207" t="str">
        <x:v>Подтвердить/отклонить и указать canonical_sku + период</x:v>
      </x:c>
      <x:c r="G59" s="207" t="str">
        <x:v>Продуктовый блок + коммерция</x:v>
      </x:c>
      <x:c r="H59" s="207" t="str">
        <x:v>Высокий</x:v>
      </x:c>
      <x:c r="I59" s="207" t="str">
        <x:v>Маржа SKU/коллекции; производство; склад; продажи</x:v>
      </x:c>
      <x:c r="J59" s="207" t="str">
        <x:v>Себестоимость Жукова.xlsx / 2024 / строка 168 / 5530.00; Себестоимость Жукова.xlsx / 2024 / строка 592 / 5705.00; Себестоимость Жукова.xlsx / 2024 / строка 758 / 2705.00; Себестоимость Жукова.xlsx / 2025 / строка 284 / 5391.00; себестоимость Мокеева 2025.xlsx / себестоимость 2025 / строка 518 / 37562.00; себестоимость Мокеева 2025.xlsx / себестоимость 2025 / строка 527 / 37557.00; себестоимость Мокеева 2025.xlsx / себестоимость 2025 / строка 528 / 41393.00; себестоимость Мокеева 2025.xlsx / себестоимость 2025 / строка 590 / 43019.00; себестоимость Мокеева 2025.xlsx / себестоимость 2025 / строка 607 / 21395.00</x:v>
      </x:c>
      <x:c r="K59" s="207" t="str"/>
      <x:c r="L59" s="207" t="str"/>
      <x:c r="M59" s="207" t="str">
        <x:v>Не рассмотрено</x:v>
      </x:c>
      <x:c r="N59" s="207" t="str"/>
      <x:c r="O59" s="207" t="str">
        <x:v>17</x:v>
      </x:c>
      <x:c r="P59" s="207" t="n">
        <x:v>3</x:v>
      </x:c>
      <x:c r="Q59" s="208" t="str">
        <x:v>Wave 2 (31–60 дней)</x:v>
      </x:c>
    </x:row>
    <x:row r="60">
      <x:c r="A60" s="206" t="str">
        <x:v>DEC-00056</x:v>
      </x:c>
      <x:c r="B60" s="207" t="str">
        <x:v>SKU alias</x:v>
      </x:c>
      <x:c r="C60" s="207" t="str">
        <x:v>MAP-0056</x:v>
      </x:c>
      <x:c r="D60" s="207" t="str">
        <x:v>T-1416 ↔ 0-1416</x:v>
      </x:c>
      <x:c r="E60" s="207" t="str">
        <x:v>Совпадает номер и вариант после дефиса; отличается префикс</x:v>
      </x:c>
      <x:c r="F60" s="207" t="str">
        <x:v>Подтвердить/отклонить и указать canonical_sku + период</x:v>
      </x:c>
      <x:c r="G60" s="207" t="str">
        <x:v>Продуктовый блок + коммерция</x:v>
      </x:c>
      <x:c r="H60" s="207" t="str">
        <x:v>Высокий</x:v>
      </x:c>
      <x:c r="I60" s="207" t="str">
        <x:v>Маржа SKU/коллекции; производство; склад; продажи</x:v>
      </x:c>
      <x:c r="J60" s="207" t="str">
        <x:v>Себестоимость Жукова.xlsx / 2025 / строка 1753 / 6894.00; Себестоимость Жукова.xlsx / 2025 / строка 1885 / 6219.00; Себестоимость Жукова.xlsx / 2025 / строка 2397 / 6894.00; Себестоимость Жукова.xlsx / 2025 / строка 312 / 7344.00; Себестоимость Жукова.xlsx / 2025 / строка 859 / 6894.00; Себестоимость Меркушина.xlsx / Площадки / строка 294 / 5571.46</x:v>
      </x:c>
      <x:c r="K60" s="207" t="str"/>
      <x:c r="L60" s="207" t="str"/>
      <x:c r="M60" s="207" t="str">
        <x:v>Не рассмотрено</x:v>
      </x:c>
      <x:c r="N60" s="207" t="str"/>
      <x:c r="O60" s="207" t="str">
        <x:v>17</x:v>
      </x:c>
      <x:c r="P60" s="207" t="n">
        <x:v>3</x:v>
      </x:c>
      <x:c r="Q60" s="208" t="str">
        <x:v>Wave 2 (31–60 дней)</x:v>
      </x:c>
    </x:row>
    <x:row r="61">
      <x:c r="A61" s="206" t="str">
        <x:v>DEC-00057</x:v>
      </x:c>
      <x:c r="B61" s="207" t="str">
        <x:v>SKU alias</x:v>
      </x:c>
      <x:c r="C61" s="207" t="str">
        <x:v>MAP-0057</x:v>
      </x:c>
      <x:c r="D61" s="207" t="str">
        <x:v>T-2911 ↔ 0-2911</x:v>
      </x:c>
      <x:c r="E61" s="207" t="str">
        <x:v>Совпадает номер и вариант после дефиса; отличается префикс</x:v>
      </x:c>
      <x:c r="F61" s="207" t="str">
        <x:v>Подтвердить/отклонить и указать canonical_sku + период</x:v>
      </x:c>
      <x:c r="G61" s="207" t="str">
        <x:v>Продуктовый блок + коммерция</x:v>
      </x:c>
      <x:c r="H61" s="207" t="str">
        <x:v>Высокий</x:v>
      </x:c>
      <x:c r="I61" s="207" t="str">
        <x:v>Маржа SKU/коллекции; производство; склад; продажи</x:v>
      </x:c>
      <x:c r="J61" s="207" t="str">
        <x:v>результат круиз 22.04.24.xlsx / прайс / строка 724</x:v>
      </x:c>
      <x:c r="K61" s="207" t="str"/>
      <x:c r="L61" s="207" t="str"/>
      <x:c r="M61" s="207" t="str">
        <x:v>Не рассмотрено</x:v>
      </x:c>
      <x:c r="N61" s="207" t="str"/>
      <x:c r="O61" s="207" t="str">
        <x:v>17</x:v>
      </x:c>
      <x:c r="P61" s="207" t="n">
        <x:v>3</x:v>
      </x:c>
      <x:c r="Q61" s="208" t="str">
        <x:v>Wave 2 (31–60 дней)</x:v>
      </x:c>
    </x:row>
    <x:row r="62">
      <x:c r="A62" s="206" t="str">
        <x:v>DEC-00058</x:v>
      </x:c>
      <x:c r="B62" s="207" t="str">
        <x:v>SKU alias</x:v>
      </x:c>
      <x:c r="C62" s="207" t="str">
        <x:v>MAP-0058</x:v>
      </x:c>
      <x:c r="D62" s="207" t="str">
        <x:v>T-2924 ↔ 0-2924</x:v>
      </x:c>
      <x:c r="E62" s="207" t="str">
        <x:v>Совпадает номер и вариант после дефиса; отличается префикс</x:v>
      </x:c>
      <x:c r="F62" s="207" t="str">
        <x:v>Подтвердить/отклонить и указать canonical_sku + период</x:v>
      </x:c>
      <x:c r="G62" s="207" t="str">
        <x:v>Продуктовый блок + коммерция</x:v>
      </x:c>
      <x:c r="H62" s="207" t="str">
        <x:v>Высокий</x:v>
      </x:c>
      <x:c r="I62" s="207" t="str">
        <x:v>Маржа SKU/коллекции; производство; склад; продажи</x:v>
      </x:c>
      <x:c r="J62" s="207" t="str">
        <x:v>результат круиз 22.04.24.xlsx / прайс / строка 851</x:v>
      </x:c>
      <x:c r="K62" s="207" t="str"/>
      <x:c r="L62" s="207" t="str"/>
      <x:c r="M62" s="207" t="str">
        <x:v>Не рассмотрено</x:v>
      </x:c>
      <x:c r="N62" s="207" t="str"/>
      <x:c r="O62" s="207" t="str">
        <x:v>17</x:v>
      </x:c>
      <x:c r="P62" s="207" t="n">
        <x:v>3</x:v>
      </x:c>
      <x:c r="Q62" s="208" t="str">
        <x:v>Wave 2 (31–60 дней)</x:v>
      </x:c>
    </x:row>
    <x:row r="63">
      <x:c r="A63" s="206" t="str">
        <x:v>DEC-00059</x:v>
      </x:c>
      <x:c r="B63" s="207" t="str">
        <x:v>SKU alias</x:v>
      </x:c>
      <x:c r="C63" s="207" t="str">
        <x:v>MAP-0059</x:v>
      </x:c>
      <x:c r="D63" s="207" t="str">
        <x:v>T-2805 ↔ 0-2805</x:v>
      </x:c>
      <x:c r="E63" s="207" t="str">
        <x:v>Совпадает номер и вариант после дефиса; отличается префикс</x:v>
      </x:c>
      <x:c r="F63" s="207" t="str">
        <x:v>Подтвердить/отклонить и указать canonical_sku + период</x:v>
      </x:c>
      <x:c r="G63" s="207" t="str">
        <x:v>Продуктовый блок + коммерция</x:v>
      </x:c>
      <x:c r="H63" s="207" t="str">
        <x:v>Высокий</x:v>
      </x:c>
      <x:c r="I63" s="207" t="str">
        <x:v>Маржа SKU/коллекции; производство; склад; продажи</x:v>
      </x:c>
      <x:c r="J63" s="207" t="str">
        <x:v>результат круиз 22.04.24.xlsx / прайс / строка 102</x:v>
      </x:c>
      <x:c r="K63" s="207" t="str"/>
      <x:c r="L63" s="207" t="str"/>
      <x:c r="M63" s="207" t="str">
        <x:v>Не рассмотрено</x:v>
      </x:c>
      <x:c r="N63" s="207" t="str"/>
      <x:c r="O63" s="207" t="str">
        <x:v>17</x:v>
      </x:c>
      <x:c r="P63" s="207" t="n">
        <x:v>3</x:v>
      </x:c>
      <x:c r="Q63" s="208" t="str">
        <x:v>Wave 2 (31–60 дней)</x:v>
      </x:c>
    </x:row>
    <x:row r="64">
      <x:c r="A64" s="206" t="str">
        <x:v>DEC-00060</x:v>
      </x:c>
      <x:c r="B64" s="207" t="str">
        <x:v>SKU alias</x:v>
      </x:c>
      <x:c r="C64" s="207" t="str">
        <x:v>MAP-0060</x:v>
      </x:c>
      <x:c r="D64" s="207" t="str">
        <x:v>T-2805 ↔ POT-2805</x:v>
      </x:c>
      <x:c r="E64" s="207" t="str">
        <x:v>Совпадает номер и вариант после дефиса; отличается префикс</x:v>
      </x:c>
      <x:c r="F64" s="207" t="str">
        <x:v>Подтвердить/отклонить и указать canonical_sku + период</x:v>
      </x:c>
      <x:c r="G64" s="207" t="str">
        <x:v>Продуктовый блок + коммерция</x:v>
      </x:c>
      <x:c r="H64" s="207" t="str">
        <x:v>Высокий</x:v>
      </x:c>
      <x:c r="I64" s="207" t="str">
        <x:v>Маржа SKU/коллекции; производство; склад; продажи</x:v>
      </x:c>
      <x:c r="J64" s="207" t="str">
        <x:v>себестоимость Мокеева 2026.xlsx / 2026 / строка 340 / 23002.95</x:v>
      </x:c>
      <x:c r="K64" s="207" t="str"/>
      <x:c r="L64" s="207" t="str"/>
      <x:c r="M64" s="207" t="str">
        <x:v>Не рассмотрено</x:v>
      </x:c>
      <x:c r="N64" s="207" t="str"/>
      <x:c r="O64" s="207" t="str">
        <x:v>17</x:v>
      </x:c>
      <x:c r="P64" s="207" t="n">
        <x:v>3</x:v>
      </x:c>
      <x:c r="Q64" s="208" t="str">
        <x:v>Wave 2 (31–60 дней)</x:v>
      </x:c>
    </x:row>
    <x:row r="65">
      <x:c r="A65" s="206" t="str">
        <x:v>DEC-00061</x:v>
      </x:c>
      <x:c r="B65" s="207" t="str">
        <x:v>SKU alias</x:v>
      </x:c>
      <x:c r="C65" s="207" t="str">
        <x:v>MAP-0061</x:v>
      </x:c>
      <x:c r="D65" s="207" t="str">
        <x:v>T-2928 ↔ 0-2928</x:v>
      </x:c>
      <x:c r="E65" s="207" t="str">
        <x:v>Совпадает номер и вариант после дефиса; отличается префикс</x:v>
      </x:c>
      <x:c r="F65" s="207" t="str">
        <x:v>Подтвердить/отклонить и указать canonical_sku + период</x:v>
      </x:c>
      <x:c r="G65" s="207" t="str">
        <x:v>Продуктовый блок + коммерция</x:v>
      </x:c>
      <x:c r="H65" s="207" t="str">
        <x:v>Высокий</x:v>
      </x:c>
      <x:c r="I65" s="207" t="str">
        <x:v>Маржа SKU/коллекции; производство; склад; продажи</x:v>
      </x:c>
      <x:c r="J65" s="207" t="str">
        <x:v>результат круиз 22.04.24.xlsx / прайс / строка 861</x:v>
      </x:c>
      <x:c r="K65" s="207" t="str"/>
      <x:c r="L65" s="207" t="str"/>
      <x:c r="M65" s="207" t="str">
        <x:v>Не рассмотрено</x:v>
      </x:c>
      <x:c r="N65" s="207" t="str"/>
      <x:c r="O65" s="207" t="str">
        <x:v>17</x:v>
      </x:c>
      <x:c r="P65" s="207" t="n">
        <x:v>3</x:v>
      </x:c>
      <x:c r="Q65" s="208" t="str">
        <x:v>Wave 2 (31–60 дней)</x:v>
      </x:c>
    </x:row>
    <x:row r="66">
      <x:c r="A66" s="206" t="str">
        <x:v>DEC-00062</x:v>
      </x:c>
      <x:c r="B66" s="207" t="str">
        <x:v>SKU alias</x:v>
      </x:c>
      <x:c r="C66" s="207" t="str">
        <x:v>MAP-0062</x:v>
      </x:c>
      <x:c r="D66" s="207" t="str">
        <x:v>0-2673 ↔ T-2673</x:v>
      </x:c>
      <x:c r="E66" s="207" t="str">
        <x:v>Совпадает номер и вариант после дефиса; отличается префикс</x:v>
      </x:c>
      <x:c r="F66" s="207" t="str">
        <x:v>Подтвердить/отклонить и указать canonical_sku + период</x:v>
      </x:c>
      <x:c r="G66" s="207" t="str">
        <x:v>Продуктовый блок + коммерция</x:v>
      </x:c>
      <x:c r="H66" s="207" t="str">
        <x:v>Высокий</x:v>
      </x:c>
      <x:c r="I66" s="207" t="str">
        <x:v>Маржа SKU/коллекции; производство; склад; продажи</x:v>
      </x:c>
      <x:c r="J66" s="207" t="str">
        <x:v>Себестоимость Меркушина.xlsx / ИМ / строка 117 / 16435.89</x:v>
      </x:c>
      <x:c r="K66" s="207" t="str"/>
      <x:c r="L66" s="207" t="str"/>
      <x:c r="M66" s="207" t="str">
        <x:v>Не рассмотрено</x:v>
      </x:c>
      <x:c r="N66" s="207" t="str"/>
      <x:c r="O66" s="207" t="str">
        <x:v>17</x:v>
      </x:c>
      <x:c r="P66" s="207" t="n">
        <x:v>3</x:v>
      </x:c>
      <x:c r="Q66" s="208" t="str">
        <x:v>Wave 2 (31–60 дней)</x:v>
      </x:c>
    </x:row>
    <x:row r="67">
      <x:c r="A67" s="206" t="str">
        <x:v>DEC-00063</x:v>
      </x:c>
      <x:c r="B67" s="207" t="str">
        <x:v>SKU alias</x:v>
      </x:c>
      <x:c r="C67" s="207" t="str">
        <x:v>MAP-0063</x:v>
      </x:c>
      <x:c r="D67" s="207" t="str">
        <x:v>T-3014B ↔ 0-3014B</x:v>
      </x:c>
      <x:c r="E67" s="207" t="str">
        <x:v>Совпадает номер и вариант после дефиса; отличается префикс</x:v>
      </x:c>
      <x:c r="F67" s="207" t="str">
        <x:v>Подтвердить/отклонить и указать canonical_sku + период</x:v>
      </x:c>
      <x:c r="G67" s="207" t="str">
        <x:v>Продуктовый блок + коммерция</x:v>
      </x:c>
      <x:c r="H67" s="207" t="str">
        <x:v>Высокий</x:v>
      </x:c>
      <x:c r="I67" s="207" t="str">
        <x:v>Маржа SKU/коллекции; производство; склад; продажи</x:v>
      </x:c>
      <x:c r="J67" s="207" t="str">
        <x:v>результат капсула 2024.xlsx / прайс / строка 274</x:v>
      </x:c>
      <x:c r="K67" s="207" t="str"/>
      <x:c r="L67" s="207" t="str"/>
      <x:c r="M67" s="207" t="str">
        <x:v>Не рассмотрено</x:v>
      </x:c>
      <x:c r="N67" s="207" t="str"/>
      <x:c r="O67" s="207" t="str">
        <x:v>17</x:v>
      </x:c>
      <x:c r="P67" s="207" t="n">
        <x:v>3</x:v>
      </x:c>
      <x:c r="Q67" s="208" t="str">
        <x:v>Wave 2 (31–60 дней)</x:v>
      </x:c>
    </x:row>
    <x:row r="68">
      <x:c r="A68" s="206" t="str">
        <x:v>DEC-00064</x:v>
      </x:c>
      <x:c r="B68" s="207" t="str">
        <x:v>SKU alias</x:v>
      </x:c>
      <x:c r="C68" s="207" t="str">
        <x:v>MAP-0064</x:v>
      </x:c>
      <x:c r="D68" s="207" t="str">
        <x:v>T-2973 ↔ 0-2973</x:v>
      </x:c>
      <x:c r="E68" s="207" t="str">
        <x:v>Совпадает номер и вариант после дефиса; отличается префикс</x:v>
      </x:c>
      <x:c r="F68" s="207" t="str">
        <x:v>Подтвердить/отклонить и указать canonical_sku + период</x:v>
      </x:c>
      <x:c r="G68" s="207" t="str">
        <x:v>Продуктовый блок + коммерция</x:v>
      </x:c>
      <x:c r="H68" s="207" t="str">
        <x:v>Высокий</x:v>
      </x:c>
      <x:c r="I68" s="207" t="str">
        <x:v>Маржа SKU/коллекции; производство; склад; продажи</x:v>
      </x:c>
      <x:c r="J68" s="207" t="str">
        <x:v>результат круиз 22.04.24.xlsx / прайс / строка 896</x:v>
      </x:c>
      <x:c r="K68" s="207" t="str"/>
      <x:c r="L68" s="207" t="str"/>
      <x:c r="M68" s="207" t="str">
        <x:v>Не рассмотрено</x:v>
      </x:c>
      <x:c r="N68" s="207" t="str"/>
      <x:c r="O68" s="207" t="str">
        <x:v>17</x:v>
      </x:c>
      <x:c r="P68" s="207" t="n">
        <x:v>3</x:v>
      </x:c>
      <x:c r="Q68" s="208" t="str">
        <x:v>Wave 2 (31–60 дней)</x:v>
      </x:c>
    </x:row>
    <x:row r="69">
      <x:c r="A69" s="206" t="str">
        <x:v>DEC-00065</x:v>
      </x:c>
      <x:c r="B69" s="207" t="str">
        <x:v>SKU alias</x:v>
      </x:c>
      <x:c r="C69" s="207" t="str">
        <x:v>MAP-0065</x:v>
      </x:c>
      <x:c r="D69" s="207" t="str">
        <x:v>T-3168 ↔ 0-3168</x:v>
      </x:c>
      <x:c r="E69" s="207" t="str">
        <x:v>Совпадает номер и вариант после дефиса; отличается префикс</x:v>
      </x:c>
      <x:c r="F69" s="207" t="str">
        <x:v>Подтвердить/отклонить и указать canonical_sku + период</x:v>
      </x:c>
      <x:c r="G69" s="207" t="str">
        <x:v>Продуктовый блок + коммерция</x:v>
      </x:c>
      <x:c r="H69" s="207" t="str">
        <x:v>Высокий</x:v>
      </x:c>
      <x:c r="I69" s="207" t="str">
        <x:v>Маржа SKU/коллекции; производство; склад; продажи</x:v>
      </x:c>
      <x:c r="J69" s="207" t="str">
        <x:v>результат круиз 09.04.25.xlsx / прайс / строка 963</x:v>
      </x:c>
      <x:c r="K69" s="207" t="str"/>
      <x:c r="L69" s="207" t="str"/>
      <x:c r="M69" s="207" t="str">
        <x:v>Не рассмотрено</x:v>
      </x:c>
      <x:c r="N69" s="207" t="str"/>
      <x:c r="O69" s="207" t="str">
        <x:v>17</x:v>
      </x:c>
      <x:c r="P69" s="207" t="n">
        <x:v>3</x:v>
      </x:c>
      <x:c r="Q69" s="208" t="str">
        <x:v>Wave 2 (31–60 дней)</x:v>
      </x:c>
    </x:row>
    <x:row r="70">
      <x:c r="A70" s="206" t="str">
        <x:v>DEC-00066</x:v>
      </x:c>
      <x:c r="B70" s="207" t="str">
        <x:v>SKU alias</x:v>
      </x:c>
      <x:c r="C70" s="207" t="str">
        <x:v>MAP-0066</x:v>
      </x:c>
      <x:c r="D70" s="207" t="str">
        <x:v>T-3168 ↔ 0-3168</x:v>
      </x:c>
      <x:c r="E70" s="207" t="str">
        <x:v>Совпадает номер и вариант после дефиса; отличается префикс</x:v>
      </x:c>
      <x:c r="F70" s="207" t="str">
        <x:v>Подтвердить/отклонить и указать canonical_sku + период</x:v>
      </x:c>
      <x:c r="G70" s="207" t="str">
        <x:v>Продуктовый блок + коммерция</x:v>
      </x:c>
      <x:c r="H70" s="207" t="str">
        <x:v>Высокий</x:v>
      </x:c>
      <x:c r="I70" s="207" t="str">
        <x:v>Маржа SKU/коллекции; производство; склад; продажи</x:v>
      </x:c>
      <x:c r="J70" s="207" t="str">
        <x:v>Себестоимость Жукова.xlsx / 2025 / строка 1123 / 8944.00; Себестоимость Жукова.xlsx / 2025 / строка 1459 / 8944.00; Себестоимость Жукова.xlsx / 2025 / строка 2229 / 5500.00; Себестоимость Жукова.xlsx / 2025 / строка 2261 / 5500.00</x:v>
      </x:c>
      <x:c r="K70" s="207" t="str"/>
      <x:c r="L70" s="207" t="str"/>
      <x:c r="M70" s="207" t="str">
        <x:v>Не рассмотрено</x:v>
      </x:c>
      <x:c r="N70" s="207" t="str"/>
      <x:c r="O70" s="207" t="str">
        <x:v>17</x:v>
      </x:c>
      <x:c r="P70" s="207" t="n">
        <x:v>3</x:v>
      </x:c>
      <x:c r="Q70" s="208" t="str">
        <x:v>Wave 2 (31–60 дней)</x:v>
      </x:c>
    </x:row>
    <x:row r="71">
      <x:c r="A71" s="206" t="str">
        <x:v>DEC-00067</x:v>
      </x:c>
      <x:c r="B71" s="207" t="str">
        <x:v>SKU alias</x:v>
      </x:c>
      <x:c r="C71" s="207" t="str">
        <x:v>MAP-0067</x:v>
      </x:c>
      <x:c r="D71" s="207" t="str">
        <x:v>T-2987 ↔ 0-2987</x:v>
      </x:c>
      <x:c r="E71" s="207" t="str">
        <x:v>Совпадает номер и вариант после дефиса; отличается префикс</x:v>
      </x:c>
      <x:c r="F71" s="207" t="str">
        <x:v>Подтвердить/отклонить и указать canonical_sku + период</x:v>
      </x:c>
      <x:c r="G71" s="207" t="str">
        <x:v>Продуктовый блок + коммерция</x:v>
      </x:c>
      <x:c r="H71" s="207" t="str">
        <x:v>Высокий</x:v>
      </x:c>
      <x:c r="I71" s="207" t="str">
        <x:v>Маржа SKU/коллекции; производство; склад; продажи</x:v>
      </x:c>
      <x:c r="J71" s="207" t="str">
        <x:v>результат НГ 2024.xlsx / прайс / строка 417; результат капсула 2024.xlsx / прайс / строка 34</x:v>
      </x:c>
      <x:c r="K71" s="207" t="str"/>
      <x:c r="L71" s="207" t="str"/>
      <x:c r="M71" s="207" t="str">
        <x:v>Не рассмотрено</x:v>
      </x:c>
      <x:c r="N71" s="207" t="str"/>
      <x:c r="O71" s="207" t="str">
        <x:v>17</x:v>
      </x:c>
      <x:c r="P71" s="207" t="n">
        <x:v>3</x:v>
      </x:c>
      <x:c r="Q71" s="208" t="str">
        <x:v>Wave 2 (31–60 дней)</x:v>
      </x:c>
    </x:row>
    <x:row r="72">
      <x:c r="A72" s="206" t="str">
        <x:v>DEC-00068</x:v>
      </x:c>
      <x:c r="B72" s="207" t="str">
        <x:v>SKU alias</x:v>
      </x:c>
      <x:c r="C72" s="207" t="str">
        <x:v>MAP-0068</x:v>
      </x:c>
      <x:c r="D72" s="207" t="str">
        <x:v>T-2910 ↔ 0-2910</x:v>
      </x:c>
      <x:c r="E72" s="207" t="str">
        <x:v>Совпадает номер и вариант после дефиса; отличается префикс</x:v>
      </x:c>
      <x:c r="F72" s="207" t="str">
        <x:v>Подтвердить/отклонить и указать canonical_sku + период</x:v>
      </x:c>
      <x:c r="G72" s="207" t="str">
        <x:v>Продуктовый блок + коммерция</x:v>
      </x:c>
      <x:c r="H72" s="207" t="str">
        <x:v>Высокий</x:v>
      </x:c>
      <x:c r="I72" s="207" t="str">
        <x:v>Маржа SKU/коллекции; производство; склад; продажи</x:v>
      </x:c>
      <x:c r="J72" s="207" t="str">
        <x:v>результат круиз 22.04.24.xlsx / прайс / строка 708</x:v>
      </x:c>
      <x:c r="K72" s="207" t="str"/>
      <x:c r="L72" s="207" t="str"/>
      <x:c r="M72" s="207" t="str">
        <x:v>Не рассмотрено</x:v>
      </x:c>
      <x:c r="N72" s="207" t="str"/>
      <x:c r="O72" s="207" t="str">
        <x:v>17</x:v>
      </x:c>
      <x:c r="P72" s="207" t="n">
        <x:v>3</x:v>
      </x:c>
      <x:c r="Q72" s="208" t="str">
        <x:v>Wave 2 (31–60 дней)</x:v>
      </x:c>
    </x:row>
    <x:row r="73">
      <x:c r="A73" s="206" t="str">
        <x:v>DEC-00069</x:v>
      </x:c>
      <x:c r="B73" s="207" t="str">
        <x:v>SKU alias</x:v>
      </x:c>
      <x:c r="C73" s="207" t="str">
        <x:v>MAP-0069</x:v>
      </x:c>
      <x:c r="D73" s="207" t="str">
        <x:v>T-2923 ↔ 0-2923</x:v>
      </x:c>
      <x:c r="E73" s="207" t="str">
        <x:v>Совпадает номер и вариант после дефиса; отличается префикс</x:v>
      </x:c>
      <x:c r="F73" s="207" t="str">
        <x:v>Подтвердить/отклонить и указать canonical_sku + период</x:v>
      </x:c>
      <x:c r="G73" s="207" t="str">
        <x:v>Продуктовый блок + коммерция</x:v>
      </x:c>
      <x:c r="H73" s="207" t="str">
        <x:v>Высокий</x:v>
      </x:c>
      <x:c r="I73" s="207" t="str">
        <x:v>Маржа SKU/коллекции; производство; склад; продажи</x:v>
      </x:c>
      <x:c r="J73" s="207" t="str">
        <x:v>результат круиз 22.04.24.xlsx / прайс / строка 843</x:v>
      </x:c>
      <x:c r="K73" s="207" t="str"/>
      <x:c r="L73" s="207" t="str"/>
      <x:c r="M73" s="207" t="str">
        <x:v>Не рассмотрено</x:v>
      </x:c>
      <x:c r="N73" s="207" t="str"/>
      <x:c r="O73" s="207" t="str">
        <x:v>17</x:v>
      </x:c>
      <x:c r="P73" s="207" t="n">
        <x:v>3</x:v>
      </x:c>
      <x:c r="Q73" s="208" t="str">
        <x:v>Wave 2 (31–60 дней)</x:v>
      </x:c>
    </x:row>
    <x:row r="74">
      <x:c r="A74" s="206" t="str">
        <x:v>DEC-00070</x:v>
      </x:c>
      <x:c r="B74" s="207" t="str">
        <x:v>SKU alias</x:v>
      </x:c>
      <x:c r="C74" s="207" t="str">
        <x:v>MAP-0070</x:v>
      </x:c>
      <x:c r="D74" s="207" t="str">
        <x:v>T-1984P ↔ 0-1984P</x:v>
      </x:c>
      <x:c r="E74" s="207" t="str">
        <x:v>Совпадает номер и вариант после дефиса; отличается префикс</x:v>
      </x:c>
      <x:c r="F74" s="207" t="str">
        <x:v>Подтвердить/отклонить и указать canonical_sku + период</x:v>
      </x:c>
      <x:c r="G74" s="207" t="str">
        <x:v>Продуктовый блок + коммерция</x:v>
      </x:c>
      <x:c r="H74" s="207" t="str">
        <x:v>Высокий</x:v>
      </x:c>
      <x:c r="I74" s="207" t="str">
        <x:v>Маржа SKU/коллекции; производство; склад; продажи</x:v>
      </x:c>
      <x:c r="J74" s="207" t="str">
        <x:v>Себестоимость Жукова.xlsx / 2025 / строка 232 / 7752.00</x:v>
      </x:c>
      <x:c r="K74" s="207" t="str"/>
      <x:c r="L74" s="207" t="str"/>
      <x:c r="M74" s="207" t="str">
        <x:v>Не рассмотрено</x:v>
      </x:c>
      <x:c r="N74" s="207" t="str"/>
      <x:c r="O74" s="207" t="str">
        <x:v>17</x:v>
      </x:c>
      <x:c r="P74" s="207" t="n">
        <x:v>3</x:v>
      </x:c>
      <x:c r="Q74" s="208" t="str">
        <x:v>Wave 2 (31–60 дней)</x:v>
      </x:c>
    </x:row>
    <x:row r="75">
      <x:c r="A75" s="206" t="str">
        <x:v>DEC-00071</x:v>
      </x:c>
      <x:c r="B75" s="207" t="str">
        <x:v>SKU alias</x:v>
      </x:c>
      <x:c r="C75" s="207" t="str">
        <x:v>MAP-0071</x:v>
      </x:c>
      <x:c r="D75" s="207" t="str">
        <x:v>T-3137A ↔ 0-3137A</x:v>
      </x:c>
      <x:c r="E75" s="207" t="str">
        <x:v>Совпадает номер и вариант после дефиса; отличается префикс</x:v>
      </x:c>
      <x:c r="F75" s="207" t="str">
        <x:v>Подтвердить/отклонить и указать canonical_sku + период</x:v>
      </x:c>
      <x:c r="G75" s="207" t="str">
        <x:v>Продуктовый блок + коммерция</x:v>
      </x:c>
      <x:c r="H75" s="207" t="str">
        <x:v>Высокий</x:v>
      </x:c>
      <x:c r="I75" s="207" t="str">
        <x:v>Маржа SKU/коллекции; производство; склад; продажи</x:v>
      </x:c>
      <x:c r="J75" s="207" t="str">
        <x:v>результат круиз 09.04.25.xlsx / прайс / строка 501</x:v>
      </x:c>
      <x:c r="K75" s="207" t="str"/>
      <x:c r="L75" s="207" t="str"/>
      <x:c r="M75" s="207" t="str">
        <x:v>Не рассмотрено</x:v>
      </x:c>
      <x:c r="N75" s="207" t="str"/>
      <x:c r="O75" s="207" t="str">
        <x:v>17</x:v>
      </x:c>
      <x:c r="P75" s="207" t="n">
        <x:v>3</x:v>
      </x:c>
      <x:c r="Q75" s="208" t="str">
        <x:v>Wave 2 (31–60 дней)</x:v>
      </x:c>
    </x:row>
    <x:row r="76">
      <x:c r="A76" s="206" t="str">
        <x:v>DEC-00072</x:v>
      </x:c>
      <x:c r="B76" s="207" t="str">
        <x:v>SKU alias</x:v>
      </x:c>
      <x:c r="C76" s="207" t="str">
        <x:v>MAP-0072</x:v>
      </x:c>
      <x:c r="D76" s="207" t="str">
        <x:v>T-3137A ↔ 0-3137A</x:v>
      </x:c>
      <x:c r="E76" s="207" t="str">
        <x:v>Совпадает номер и вариант после дефиса; отличается префикс</x:v>
      </x:c>
      <x:c r="F76" s="207" t="str">
        <x:v>Подтвердить/отклонить и указать canonical_sku + период</x:v>
      </x:c>
      <x:c r="G76" s="207" t="str">
        <x:v>Продуктовый блок + коммерция</x:v>
      </x:c>
      <x:c r="H76" s="207" t="str">
        <x:v>Высокий</x:v>
      </x:c>
      <x:c r="I76" s="207" t="str">
        <x:v>Маржа SKU/коллекции; производство; склад; продажи</x:v>
      </x:c>
      <x:c r="J76" s="207" t="str">
        <x:v>Себестоимость Жукова.xlsx / 2025 / строка 1609 / 21441.00; Себестоимость Жукова.xlsx / 2025 / строка 2021 / 23541.00</x:v>
      </x:c>
      <x:c r="K76" s="207" t="str"/>
      <x:c r="L76" s="207" t="str"/>
      <x:c r="M76" s="207" t="str">
        <x:v>Не рассмотрено</x:v>
      </x:c>
      <x:c r="N76" s="207" t="str"/>
      <x:c r="O76" s="207" t="str">
        <x:v>17</x:v>
      </x:c>
      <x:c r="P76" s="207" t="n">
        <x:v>3</x:v>
      </x:c>
      <x:c r="Q76" s="208" t="str">
        <x:v>Wave 2 (31–60 дней)</x:v>
      </x:c>
    </x:row>
    <x:row r="77">
      <x:c r="A77" s="206" t="str">
        <x:v>DEC-00073</x:v>
      </x:c>
      <x:c r="B77" s="207" t="str">
        <x:v>SKU alias</x:v>
      </x:c>
      <x:c r="C77" s="207" t="str">
        <x:v>MAP-0073</x:v>
      </x:c>
      <x:c r="D77" s="207" t="str">
        <x:v>T-2893 ↔ 0-2893</x:v>
      </x:c>
      <x:c r="E77" s="207" t="str">
        <x:v>Совпадает номер и вариант после дефиса; отличается префикс</x:v>
      </x:c>
      <x:c r="F77" s="207" t="str">
        <x:v>Подтвердить/отклонить и указать canonical_sku + период</x:v>
      </x:c>
      <x:c r="G77" s="207" t="str">
        <x:v>Продуктовый блок + коммерция</x:v>
      </x:c>
      <x:c r="H77" s="207" t="str">
        <x:v>Высокий</x:v>
      </x:c>
      <x:c r="I77" s="207" t="str">
        <x:v>Маржа SKU/коллекции; производство; склад; продажи</x:v>
      </x:c>
      <x:c r="J77" s="207" t="str">
        <x:v>результат круиз 22.04.24.xlsx / прайс / строка 565</x:v>
      </x:c>
      <x:c r="K77" s="207" t="str"/>
      <x:c r="L77" s="207" t="str"/>
      <x:c r="M77" s="207" t="str">
        <x:v>Не рассмотрено</x:v>
      </x:c>
      <x:c r="N77" s="207" t="str"/>
      <x:c r="O77" s="207" t="str">
        <x:v>17</x:v>
      </x:c>
      <x:c r="P77" s="207" t="n">
        <x:v>3</x:v>
      </x:c>
      <x:c r="Q77" s="208" t="str">
        <x:v>Wave 2 (31–60 дней)</x:v>
      </x:c>
    </x:row>
    <x:row r="78">
      <x:c r="A78" s="206" t="str">
        <x:v>DEC-00074</x:v>
      </x:c>
      <x:c r="B78" s="207" t="str">
        <x:v>SKU alias</x:v>
      </x:c>
      <x:c r="C78" s="207" t="str">
        <x:v>MAP-0074</x:v>
      </x:c>
      <x:c r="D78" s="207" t="str">
        <x:v>T-3110B ↔ 0-3110B</x:v>
      </x:c>
      <x:c r="E78" s="207" t="str">
        <x:v>Совпадает номер и вариант после дефиса; отличается префикс</x:v>
      </x:c>
      <x:c r="F78" s="207" t="str">
        <x:v>Подтвердить/отклонить и указать canonical_sku + период</x:v>
      </x:c>
      <x:c r="G78" s="207" t="str">
        <x:v>Продуктовый блок + коммерция</x:v>
      </x:c>
      <x:c r="H78" s="207" t="str">
        <x:v>Высокий</x:v>
      </x:c>
      <x:c r="I78" s="207" t="str">
        <x:v>Маржа SKU/коллекции; производство; склад; продажи</x:v>
      </x:c>
      <x:c r="J78" s="207" t="str">
        <x:v>результат круиз 09.04.25.xlsx / прайс / строка 60</x:v>
      </x:c>
      <x:c r="K78" s="207" t="str"/>
      <x:c r="L78" s="207" t="str"/>
      <x:c r="M78" s="207" t="str">
        <x:v>Не рассмотрено</x:v>
      </x:c>
      <x:c r="N78" s="207" t="str"/>
      <x:c r="O78" s="207" t="str">
        <x:v>17</x:v>
      </x:c>
      <x:c r="P78" s="207" t="n">
        <x:v>3</x:v>
      </x:c>
      <x:c r="Q78" s="208" t="str">
        <x:v>Wave 2 (31–60 дней)</x:v>
      </x:c>
    </x:row>
    <x:row r="79">
      <x:c r="A79" s="206" t="str">
        <x:v>DEC-00075</x:v>
      </x:c>
      <x:c r="B79" s="207" t="str">
        <x:v>SKU alias</x:v>
      </x:c>
      <x:c r="C79" s="207" t="str">
        <x:v>MAP-0075</x:v>
      </x:c>
      <x:c r="D79" s="207" t="str">
        <x:v>T-3110B ↔ 0-3110B</x:v>
      </x:c>
      <x:c r="E79" s="207" t="str">
        <x:v>Совпадает номер и вариант после дефиса; отличается префикс</x:v>
      </x:c>
      <x:c r="F79" s="207" t="str">
        <x:v>Подтвердить/отклонить и указать canonical_sku + период</x:v>
      </x:c>
      <x:c r="G79" s="207" t="str">
        <x:v>Продуктовый блок + коммерция</x:v>
      </x:c>
      <x:c r="H79" s="207" t="str">
        <x:v>Высокий</x:v>
      </x:c>
      <x:c r="I79" s="207" t="str">
        <x:v>Маржа SKU/коллекции; производство; склад; продажи</x:v>
      </x:c>
      <x:c r="J79" s="207" t="str">
        <x:v>Себестоимость Жукова.xlsx / 2025 / строка 2349 / 11428.00; себестоимость Мокеева 2025.xlsx / себестоимость 2025 / строка 293 / 30863.00</x:v>
      </x:c>
      <x:c r="K79" s="207" t="str"/>
      <x:c r="L79" s="207" t="str"/>
      <x:c r="M79" s="207" t="str">
        <x:v>Не рассмотрено</x:v>
      </x:c>
      <x:c r="N79" s="207" t="str"/>
      <x:c r="O79" s="207" t="str">
        <x:v>17</x:v>
      </x:c>
      <x:c r="P79" s="207" t="n">
        <x:v>3</x:v>
      </x:c>
      <x:c r="Q79" s="208" t="str">
        <x:v>Wave 2 (31–60 дней)</x:v>
      </x:c>
    </x:row>
    <x:row r="80">
      <x:c r="A80" s="206" t="str">
        <x:v>DEC-00076</x:v>
      </x:c>
      <x:c r="B80" s="207" t="str">
        <x:v>SKU alias</x:v>
      </x:c>
      <x:c r="C80" s="207" t="str">
        <x:v>MAP-0076</x:v>
      </x:c>
      <x:c r="D80" s="207" t="str">
        <x:v>T-2892 ↔ 0-2892</x:v>
      </x:c>
      <x:c r="E80" s="207" t="str">
        <x:v>Совпадает номер и вариант после дефиса; отличается префикс</x:v>
      </x:c>
      <x:c r="F80" s="207" t="str">
        <x:v>Подтвердить/отклонить и указать canonical_sku + период</x:v>
      </x:c>
      <x:c r="G80" s="207" t="str">
        <x:v>Продуктовый блок + коммерция</x:v>
      </x:c>
      <x:c r="H80" s="207" t="str">
        <x:v>Высокий</x:v>
      </x:c>
      <x:c r="I80" s="207" t="str">
        <x:v>Маржа SKU/коллекции; производство; склад; продажи</x:v>
      </x:c>
      <x:c r="J80" s="207" t="str">
        <x:v>результат круиз 22.04.24.xlsx / прайс / строка 557</x:v>
      </x:c>
      <x:c r="K80" s="207" t="str"/>
      <x:c r="L80" s="207" t="str"/>
      <x:c r="M80" s="207" t="str">
        <x:v>Не рассмотрено</x:v>
      </x:c>
      <x:c r="N80" s="207" t="str"/>
      <x:c r="O80" s="207" t="str">
        <x:v>17</x:v>
      </x:c>
      <x:c r="P80" s="207" t="n">
        <x:v>3</x:v>
      </x:c>
      <x:c r="Q80" s="208" t="str">
        <x:v>Wave 2 (31–60 дней)</x:v>
      </x:c>
    </x:row>
    <x:row r="81">
      <x:c r="A81" s="206" t="str">
        <x:v>DEC-00077</x:v>
      </x:c>
      <x:c r="B81" s="207" t="str">
        <x:v>SKU alias</x:v>
      </x:c>
      <x:c r="C81" s="207" t="str">
        <x:v>MAP-0077</x:v>
      </x:c>
      <x:c r="D81" s="207" t="str">
        <x:v>T-2892 ↔ 0-2892</x:v>
      </x:c>
      <x:c r="E81" s="207" t="str">
        <x:v>Совпадает номер и вариант после дефиса; отличается префикс</x:v>
      </x:c>
      <x:c r="F81" s="207" t="str">
        <x:v>Подтвердить/отклонить и указать canonical_sku + период</x:v>
      </x:c>
      <x:c r="G81" s="207" t="str">
        <x:v>Продуктовый блок + коммерция</x:v>
      </x:c>
      <x:c r="H81" s="207" t="str">
        <x:v>Высокий</x:v>
      </x:c>
      <x:c r="I81" s="207" t="str">
        <x:v>Маржа SKU/коллекции; производство; склад; продажи</x:v>
      </x:c>
      <x:c r="J81" s="207" t="str">
        <x:v>Себестоимость Жукова.xlsx / 2025 / строка 280 / 1200.00</x:v>
      </x:c>
      <x:c r="K81" s="207" t="str"/>
      <x:c r="L81" s="207" t="str"/>
      <x:c r="M81" s="207" t="str">
        <x:v>Не рассмотрено</x:v>
      </x:c>
      <x:c r="N81" s="207" t="str"/>
      <x:c r="O81" s="207" t="str">
        <x:v>17</x:v>
      </x:c>
      <x:c r="P81" s="207" t="n">
        <x:v>3</x:v>
      </x:c>
      <x:c r="Q81" s="208" t="str">
        <x:v>Wave 2 (31–60 дней)</x:v>
      </x:c>
    </x:row>
    <x:row r="82">
      <x:c r="A82" s="206" t="str">
        <x:v>DEC-00078</x:v>
      </x:c>
      <x:c r="B82" s="207" t="str">
        <x:v>SKU alias</x:v>
      </x:c>
      <x:c r="C82" s="207" t="str">
        <x:v>MAP-0078</x:v>
      </x:c>
      <x:c r="D82" s="207" t="str">
        <x:v>T-3110 ↔ 0-3110</x:v>
      </x:c>
      <x:c r="E82" s="207" t="str">
        <x:v>Совпадает номер и вариант после дефиса; отличается префикс</x:v>
      </x:c>
      <x:c r="F82" s="207" t="str">
        <x:v>Подтвердить/отклонить и указать canonical_sku + период</x:v>
      </x:c>
      <x:c r="G82" s="207" t="str">
        <x:v>Продуктовый блок + коммерция</x:v>
      </x:c>
      <x:c r="H82" s="207" t="str">
        <x:v>Высокий</x:v>
      </x:c>
      <x:c r="I82" s="207" t="str">
        <x:v>Маржа SKU/коллекции; производство; склад; продажи</x:v>
      </x:c>
      <x:c r="J82" s="207" t="str">
        <x:v>результат круиз 09.04.25.xlsx / прайс / строка 44</x:v>
      </x:c>
      <x:c r="K82" s="207" t="str"/>
      <x:c r="L82" s="207" t="str"/>
      <x:c r="M82" s="207" t="str">
        <x:v>Не рассмотрено</x:v>
      </x:c>
      <x:c r="N82" s="207" t="str"/>
      <x:c r="O82" s="207" t="str">
        <x:v>17</x:v>
      </x:c>
      <x:c r="P82" s="207" t="n">
        <x:v>3</x:v>
      </x:c>
      <x:c r="Q82" s="208" t="str">
        <x:v>Wave 2 (31–60 дней)</x:v>
      </x:c>
    </x:row>
    <x:row r="83">
      <x:c r="A83" s="206" t="str">
        <x:v>DEC-00079</x:v>
      </x:c>
      <x:c r="B83" s="207" t="str">
        <x:v>SKU alias</x:v>
      </x:c>
      <x:c r="C83" s="207" t="str">
        <x:v>MAP-0079</x:v>
      </x:c>
      <x:c r="D83" s="207" t="str">
        <x:v>T-3136A ↔ 0-3136A</x:v>
      </x:c>
      <x:c r="E83" s="207" t="str">
        <x:v>Совпадает номер и вариант после дефиса; отличается префикс</x:v>
      </x:c>
      <x:c r="F83" s="207" t="str">
        <x:v>Подтвердить/отклонить и указать canonical_sku + период</x:v>
      </x:c>
      <x:c r="G83" s="207" t="str">
        <x:v>Продуктовый блок + коммерция</x:v>
      </x:c>
      <x:c r="H83" s="207" t="str">
        <x:v>Высокий</x:v>
      </x:c>
      <x:c r="I83" s="207" t="str">
        <x:v>Маржа SKU/коллекции; производство; склад; продажи</x:v>
      </x:c>
      <x:c r="J83" s="207" t="str">
        <x:v>результат круиз 09.04.25.xlsx / прайс / строка 485</x:v>
      </x:c>
      <x:c r="K83" s="207" t="str"/>
      <x:c r="L83" s="207" t="str"/>
      <x:c r="M83" s="207" t="str">
        <x:v>Не рассмотрено</x:v>
      </x:c>
      <x:c r="N83" s="207" t="str"/>
      <x:c r="O83" s="207" t="str">
        <x:v>17</x:v>
      </x:c>
      <x:c r="P83" s="207" t="n">
        <x:v>3</x:v>
      </x:c>
      <x:c r="Q83" s="208" t="str">
        <x:v>Wave 2 (31–60 дней)</x:v>
      </x:c>
    </x:row>
    <x:row r="84">
      <x:c r="A84" s="206" t="str">
        <x:v>DEC-00080</x:v>
      </x:c>
      <x:c r="B84" s="207" t="str">
        <x:v>SKU alias</x:v>
      </x:c>
      <x:c r="C84" s="207" t="str">
        <x:v>MAP-0080</x:v>
      </x:c>
      <x:c r="D84" s="207" t="str">
        <x:v>T-3110 ↔ 0-3110</x:v>
      </x:c>
      <x:c r="E84" s="207" t="str">
        <x:v>Совпадает номер и вариант после дефиса; отличается префикс</x:v>
      </x:c>
      <x:c r="F84" s="207" t="str">
        <x:v>Подтвердить/отклонить и указать canonical_sku + период</x:v>
      </x:c>
      <x:c r="G84" s="207" t="str">
        <x:v>Продуктовый блок + коммерция</x:v>
      </x:c>
      <x:c r="H84" s="207" t="str">
        <x:v>Высокий</x:v>
      </x:c>
      <x:c r="I84" s="207" t="str">
        <x:v>Маржа SKU/коллекции; производство; склад; продажи</x:v>
      </x:c>
      <x:c r="J84" s="207" t="str">
        <x:v>Себестоимость Жукова.xlsx / 2025 / строка 579 / 1000.00; себестоимость Мокеева 2025.xlsx / себестоимость 2025 / строка 242 / 22340.00</x:v>
      </x:c>
      <x:c r="K84" s="207" t="str"/>
      <x:c r="L84" s="207" t="str"/>
      <x:c r="M84" s="207" t="str">
        <x:v>Не рассмотрено</x:v>
      </x:c>
      <x:c r="N84" s="207" t="str"/>
      <x:c r="O84" s="207" t="str">
        <x:v>17</x:v>
      </x:c>
      <x:c r="P84" s="207" t="n">
        <x:v>3</x:v>
      </x:c>
      <x:c r="Q84" s="208" t="str">
        <x:v>Wave 2 (31–60 дней)</x:v>
      </x:c>
    </x:row>
    <x:row r="85">
      <x:c r="A85" s="206" t="str">
        <x:v>DEC-00081</x:v>
      </x:c>
      <x:c r="B85" s="207" t="str">
        <x:v>SKU alias</x:v>
      </x:c>
      <x:c r="C85" s="207" t="str">
        <x:v>MAP-0081</x:v>
      </x:c>
      <x:c r="D85" s="207" t="str">
        <x:v>T-3136A ↔ 0-3136A</x:v>
      </x:c>
      <x:c r="E85" s="207" t="str">
        <x:v>Совпадает номер и вариант после дефиса; отличается префикс</x:v>
      </x:c>
      <x:c r="F85" s="207" t="str">
        <x:v>Подтвердить/отклонить и указать canonical_sku + период</x:v>
      </x:c>
      <x:c r="G85" s="207" t="str">
        <x:v>Продуктовый блок + коммерция</x:v>
      </x:c>
      <x:c r="H85" s="207" t="str">
        <x:v>Высокий</x:v>
      </x:c>
      <x:c r="I85" s="207" t="str">
        <x:v>Маржа SKU/коллекции; производство; склад; продажи</x:v>
      </x:c>
      <x:c r="J85" s="207" t="str">
        <x:v>Себестоимость Жукова.xlsx / 2025 / строка 615 / 6775.00</x:v>
      </x:c>
      <x:c r="K85" s="207" t="str"/>
      <x:c r="L85" s="207" t="str"/>
      <x:c r="M85" s="207" t="str">
        <x:v>Не рассмотрено</x:v>
      </x:c>
      <x:c r="N85" s="207" t="str"/>
      <x:c r="O85" s="207" t="str">
        <x:v>17</x:v>
      </x:c>
      <x:c r="P85" s="207" t="n">
        <x:v>3</x:v>
      </x:c>
      <x:c r="Q85" s="208" t="str">
        <x:v>Wave 2 (31–60 дней)</x:v>
      </x:c>
    </x:row>
    <x:row r="86">
      <x:c r="A86" s="206" t="str">
        <x:v>DEC-00082</x:v>
      </x:c>
      <x:c r="B86" s="207" t="str">
        <x:v>SKU alias</x:v>
      </x:c>
      <x:c r="C86" s="207" t="str">
        <x:v>MAP-0082</x:v>
      </x:c>
      <x:c r="D86" s="207" t="str">
        <x:v>T-3062 ↔ 0-3062</x:v>
      </x:c>
      <x:c r="E86" s="207" t="str">
        <x:v>Совпадает номер и вариант после дефиса; отличается префикс</x:v>
      </x:c>
      <x:c r="F86" s="207" t="str">
        <x:v>Подтвердить/отклонить и указать canonical_sku + период</x:v>
      </x:c>
      <x:c r="G86" s="207" t="str">
        <x:v>Продуктовый блок + коммерция</x:v>
      </x:c>
      <x:c r="H86" s="207" t="str">
        <x:v>Высокий</x:v>
      </x:c>
      <x:c r="I86" s="207" t="str">
        <x:v>Маржа SKU/коллекции; производство; склад; продажи</x:v>
      </x:c>
      <x:c r="J86" s="207" t="str">
        <x:v>Себестоимость Жукова.xlsx / 2025 / строка 1177 / 800.00; Себестоимость Жукова.xlsx / 2025 / строка 3829 / 8527.00</x:v>
      </x:c>
      <x:c r="K86" s="207" t="str"/>
      <x:c r="L86" s="207" t="str"/>
      <x:c r="M86" s="207" t="str">
        <x:v>Не рассмотрено</x:v>
      </x:c>
      <x:c r="N86" s="207" t="str"/>
      <x:c r="O86" s="207" t="str">
        <x:v>17</x:v>
      </x:c>
      <x:c r="P86" s="207" t="n">
        <x:v>3</x:v>
      </x:c>
      <x:c r="Q86" s="208" t="str">
        <x:v>Wave 2 (31–60 дней)</x:v>
      </x:c>
    </x:row>
    <x:row r="87">
      <x:c r="A87" s="206" t="str">
        <x:v>DEC-00083</x:v>
      </x:c>
      <x:c r="B87" s="207" t="str">
        <x:v>SKU alias</x:v>
      </x:c>
      <x:c r="C87" s="207" t="str">
        <x:v>MAP-0083</x:v>
      </x:c>
      <x:c r="D87" s="207" t="str">
        <x:v>T-2865 ↔ 0-2865</x:v>
      </x:c>
      <x:c r="E87" s="207" t="str">
        <x:v>Совпадает номер и вариант после дефиса; отличается префикс</x:v>
      </x:c>
      <x:c r="F87" s="207" t="str">
        <x:v>Подтвердить/отклонить и указать canonical_sku + период</x:v>
      </x:c>
      <x:c r="G87" s="207" t="str">
        <x:v>Продуктовый блок + коммерция</x:v>
      </x:c>
      <x:c r="H87" s="207" t="str">
        <x:v>Высокий</x:v>
      </x:c>
      <x:c r="I87" s="207" t="str">
        <x:v>Маржа SKU/коллекции; производство; склад; продажи</x:v>
      </x:c>
      <x:c r="J87" s="207" t="str">
        <x:v>результат круиз 22.04.24.xlsx / прайс / строка 315</x:v>
      </x:c>
      <x:c r="K87" s="207" t="str"/>
      <x:c r="L87" s="207" t="str"/>
      <x:c r="M87" s="207" t="str">
        <x:v>Не рассмотрено</x:v>
      </x:c>
      <x:c r="N87" s="207" t="str"/>
      <x:c r="O87" s="207" t="str">
        <x:v>17</x:v>
      </x:c>
      <x:c r="P87" s="207" t="n">
        <x:v>3</x:v>
      </x:c>
      <x:c r="Q87" s="208" t="str">
        <x:v>Wave 2 (31–60 дней)</x:v>
      </x:c>
    </x:row>
    <x:row r="88">
      <x:c r="A88" s="206" t="str">
        <x:v>DEC-00084</x:v>
      </x:c>
      <x:c r="B88" s="207" t="str">
        <x:v>SKU alias</x:v>
      </x:c>
      <x:c r="C88" s="207" t="str">
        <x:v>MAP-0084</x:v>
      </x:c>
      <x:c r="D88" s="207" t="str">
        <x:v>T-2871 ↔ 0-2871</x:v>
      </x:c>
      <x:c r="E88" s="207" t="str">
        <x:v>Совпадает номер и вариант после дефиса; отличается префикс</x:v>
      </x:c>
      <x:c r="F88" s="207" t="str">
        <x:v>Подтвердить/отклонить и указать canonical_sku + период</x:v>
      </x:c>
      <x:c r="G88" s="207" t="str">
        <x:v>Продуктовый блок + коммерция</x:v>
      </x:c>
      <x:c r="H88" s="207" t="str">
        <x:v>Высокий</x:v>
      </x:c>
      <x:c r="I88" s="207" t="str">
        <x:v>Маржа SKU/коллекции; производство; склад; продажи</x:v>
      </x:c>
      <x:c r="J88" s="207" t="str">
        <x:v>результат круиз 22.04.24.xlsx / прайс / строка 391</x:v>
      </x:c>
      <x:c r="K88" s="207" t="str"/>
      <x:c r="L88" s="207" t="str"/>
      <x:c r="M88" s="207" t="str">
        <x:v>Не рассмотрено</x:v>
      </x:c>
      <x:c r="N88" s="207" t="str"/>
      <x:c r="O88" s="207" t="str">
        <x:v>17</x:v>
      </x:c>
      <x:c r="P88" s="207" t="n">
        <x:v>3</x:v>
      </x:c>
      <x:c r="Q88" s="208" t="str">
        <x:v>Wave 2 (31–60 дней)</x:v>
      </x:c>
    </x:row>
    <x:row r="89">
      <x:c r="A89" s="206" t="str">
        <x:v>DEC-00085</x:v>
      </x:c>
      <x:c r="B89" s="207" t="str">
        <x:v>SKU alias</x:v>
      </x:c>
      <x:c r="C89" s="207" t="str">
        <x:v>MAP-0085</x:v>
      </x:c>
      <x:c r="D89" s="207" t="str">
        <x:v>T-2861 ↔ 0-2861</x:v>
      </x:c>
      <x:c r="E89" s="207" t="str">
        <x:v>Совпадает номер и вариант после дефиса; отличается префикс</x:v>
      </x:c>
      <x:c r="F89" s="207" t="str">
        <x:v>Подтвердить/отклонить и указать canonical_sku + период</x:v>
      </x:c>
      <x:c r="G89" s="207" t="str">
        <x:v>Продуктовый блок + коммерция</x:v>
      </x:c>
      <x:c r="H89" s="207" t="str">
        <x:v>Высокий</x:v>
      </x:c>
      <x:c r="I89" s="207" t="str">
        <x:v>Маржа SKU/коллекции; производство; склад; продажи</x:v>
      </x:c>
      <x:c r="J89" s="207" t="str">
        <x:v>результат круиз 09.04.25.xlsx / прайс / строка 1290; результат круиз 22.04.24.xlsx / прайс / строка 253</x:v>
      </x:c>
      <x:c r="K89" s="207" t="str"/>
      <x:c r="L89" s="207" t="str"/>
      <x:c r="M89" s="207" t="str">
        <x:v>Не рассмотрено</x:v>
      </x:c>
      <x:c r="N89" s="207" t="str"/>
      <x:c r="O89" s="207" t="str">
        <x:v>17</x:v>
      </x:c>
      <x:c r="P89" s="207" t="n">
        <x:v>3</x:v>
      </x:c>
      <x:c r="Q89" s="208" t="str">
        <x:v>Wave 2 (31–60 дней)</x:v>
      </x:c>
    </x:row>
    <x:row r="90">
      <x:c r="A90" s="206" t="str">
        <x:v>DEC-00086</x:v>
      </x:c>
      <x:c r="B90" s="207" t="str">
        <x:v>SKU alias</x:v>
      </x:c>
      <x:c r="C90" s="207" t="str">
        <x:v>MAP-0086</x:v>
      </x:c>
      <x:c r="D90" s="207" t="str">
        <x:v>T-3069A ↔ 0-3069A</x:v>
      </x:c>
      <x:c r="E90" s="207" t="str">
        <x:v>Совпадает номер и вариант после дефиса; отличается префикс</x:v>
      </x:c>
      <x:c r="F90" s="207" t="str">
        <x:v>Подтвердить/отклонить и указать canonical_sku + период</x:v>
      </x:c>
      <x:c r="G90" s="207" t="str">
        <x:v>Продуктовый блок + коммерция</x:v>
      </x:c>
      <x:c r="H90" s="207" t="str">
        <x:v>Высокий</x:v>
      </x:c>
      <x:c r="I90" s="207" t="str">
        <x:v>Маржа SKU/коллекции; производство; склад; продажи</x:v>
      </x:c>
      <x:c r="J90" s="207" t="str">
        <x:v>себестоимость Мокеева 2025.xlsx / себестоимость 2025 / строка 697 / 31816.70</x:v>
      </x:c>
      <x:c r="K90" s="207" t="str"/>
      <x:c r="L90" s="207" t="str"/>
      <x:c r="M90" s="207" t="str">
        <x:v>Не рассмотрено</x:v>
      </x:c>
      <x:c r="N90" s="207" t="str"/>
      <x:c r="O90" s="207" t="str">
        <x:v>17</x:v>
      </x:c>
      <x:c r="P90" s="207" t="n">
        <x:v>3</x:v>
      </x:c>
      <x:c r="Q90" s="208" t="str">
        <x:v>Wave 2 (31–60 дней)</x:v>
      </x:c>
    </x:row>
    <x:row r="91">
      <x:c r="A91" s="206" t="str">
        <x:v>DEC-00087</x:v>
      </x:c>
      <x:c r="B91" s="207" t="str">
        <x:v>SKU alias</x:v>
      </x:c>
      <x:c r="C91" s="207" t="str">
        <x:v>MAP-0087</x:v>
      </x:c>
      <x:c r="D91" s="207" t="str">
        <x:v>T-3152A ↔ 0-3152A</x:v>
      </x:c>
      <x:c r="E91" s="207" t="str">
        <x:v>Совпадает номер и вариант после дефиса; отличается префикс</x:v>
      </x:c>
      <x:c r="F91" s="207" t="str">
        <x:v>Подтвердить/отклонить и указать canonical_sku + период</x:v>
      </x:c>
      <x:c r="G91" s="207" t="str">
        <x:v>Продуктовый блок + коммерция</x:v>
      </x:c>
      <x:c r="H91" s="207" t="str">
        <x:v>Высокий</x:v>
      </x:c>
      <x:c r="I91" s="207" t="str">
        <x:v>Маржа SKU/коллекции; производство; склад; продажи</x:v>
      </x:c>
      <x:c r="J91" s="207" t="str">
        <x:v>результат круиз 09.04.25.xlsx / прайс / строка 696</x:v>
      </x:c>
      <x:c r="K91" s="207" t="str"/>
      <x:c r="L91" s="207" t="str"/>
      <x:c r="M91" s="207" t="str">
        <x:v>Не рассмотрено</x:v>
      </x:c>
      <x:c r="N91" s="207" t="str"/>
      <x:c r="O91" s="207" t="str">
        <x:v>17</x:v>
      </x:c>
      <x:c r="P91" s="207" t="n">
        <x:v>3</x:v>
      </x:c>
      <x:c r="Q91" s="208" t="str">
        <x:v>Wave 2 (31–60 дней)</x:v>
      </x:c>
    </x:row>
    <x:row r="92">
      <x:c r="A92" s="206" t="str">
        <x:v>DEC-00088</x:v>
      </x:c>
      <x:c r="B92" s="207" t="str">
        <x:v>SKU alias</x:v>
      </x:c>
      <x:c r="C92" s="207" t="str">
        <x:v>MAP-0088</x:v>
      </x:c>
      <x:c r="D92" s="207" t="str">
        <x:v>T-3152A ↔ 0-3152A</x:v>
      </x:c>
      <x:c r="E92" s="207" t="str">
        <x:v>Совпадает номер и вариант после дефиса; отличается префикс</x:v>
      </x:c>
      <x:c r="F92" s="207" t="str">
        <x:v>Подтвердить/отклонить и указать canonical_sku + период</x:v>
      </x:c>
      <x:c r="G92" s="207" t="str">
        <x:v>Продуктовый блок + коммерция</x:v>
      </x:c>
      <x:c r="H92" s="207" t="str">
        <x:v>Высокий</x:v>
      </x:c>
      <x:c r="I92" s="207" t="str">
        <x:v>Маржа SKU/коллекции; производство; склад; продажи</x:v>
      </x:c>
      <x:c r="J92" s="207" t="str">
        <x:v>Себестоимость Жукова.xlsx / 2025 / строка 1423 / 10419.00</x:v>
      </x:c>
      <x:c r="K92" s="207" t="str"/>
      <x:c r="L92" s="207" t="str"/>
      <x:c r="M92" s="207" t="str">
        <x:v>Не рассмотрено</x:v>
      </x:c>
      <x:c r="N92" s="207" t="str"/>
      <x:c r="O92" s="207" t="str">
        <x:v>17</x:v>
      </x:c>
      <x:c r="P92" s="207" t="n">
        <x:v>3</x:v>
      </x:c>
      <x:c r="Q92" s="208" t="str">
        <x:v>Wave 2 (31–60 дней)</x:v>
      </x:c>
    </x:row>
    <x:row r="93">
      <x:c r="A93" s="206" t="str">
        <x:v>DEC-00089</x:v>
      </x:c>
      <x:c r="B93" s="207" t="str">
        <x:v>SKU alias</x:v>
      </x:c>
      <x:c r="C93" s="207" t="str">
        <x:v>MAP-0089</x:v>
      </x:c>
      <x:c r="D93" s="207" t="str">
        <x:v>T-3168A ↔ 0-3168A</x:v>
      </x:c>
      <x:c r="E93" s="207" t="str">
        <x:v>Совпадает номер и вариант после дефиса; отличается префикс</x:v>
      </x:c>
      <x:c r="F93" s="207" t="str">
        <x:v>Подтвердить/отклонить и указать canonical_sku + период</x:v>
      </x:c>
      <x:c r="G93" s="207" t="str">
        <x:v>Продуктовый блок + коммерция</x:v>
      </x:c>
      <x:c r="H93" s="207" t="str">
        <x:v>Высокий</x:v>
      </x:c>
      <x:c r="I93" s="207" t="str">
        <x:v>Маржа SKU/коллекции; производство; склад; продажи</x:v>
      </x:c>
      <x:c r="J93" s="207" t="str">
        <x:v>результат круиз 09.04.25.xlsx / прайс / строка 976</x:v>
      </x:c>
      <x:c r="K93" s="207" t="str"/>
      <x:c r="L93" s="207" t="str"/>
      <x:c r="M93" s="207" t="str">
        <x:v>Не рассмотрено</x:v>
      </x:c>
      <x:c r="N93" s="207" t="str"/>
      <x:c r="O93" s="207" t="str">
        <x:v>17</x:v>
      </x:c>
      <x:c r="P93" s="207" t="n">
        <x:v>3</x:v>
      </x:c>
      <x:c r="Q93" s="208" t="str">
        <x:v>Wave 2 (31–60 дней)</x:v>
      </x:c>
    </x:row>
    <x:row r="94">
      <x:c r="A94" s="206" t="str">
        <x:v>DEC-00090</x:v>
      </x:c>
      <x:c r="B94" s="207" t="str">
        <x:v>SKU alias</x:v>
      </x:c>
      <x:c r="C94" s="207" t="str">
        <x:v>MAP-0090</x:v>
      </x:c>
      <x:c r="D94" s="207" t="str">
        <x:v>T-3168B ↔ 0-3168B</x:v>
      </x:c>
      <x:c r="E94" s="207" t="str">
        <x:v>Совпадает номер и вариант после дефиса; отличается префикс</x:v>
      </x:c>
      <x:c r="F94" s="207" t="str">
        <x:v>Подтвердить/отклонить и указать canonical_sku + период</x:v>
      </x:c>
      <x:c r="G94" s="207" t="str">
        <x:v>Продуктовый блок + коммерция</x:v>
      </x:c>
      <x:c r="H94" s="207" t="str">
        <x:v>Высокий</x:v>
      </x:c>
      <x:c r="I94" s="207" t="str">
        <x:v>Маржа SKU/коллекции; производство; склад; продажи</x:v>
      </x:c>
      <x:c r="J94" s="207" t="str">
        <x:v>результат круиз 09.04.25.xlsx / прайс / строка 985</x:v>
      </x:c>
      <x:c r="K94" s="207" t="str"/>
      <x:c r="L94" s="207" t="str"/>
      <x:c r="M94" s="207" t="str">
        <x:v>Не рассмотрено</x:v>
      </x:c>
      <x:c r="N94" s="207" t="str"/>
      <x:c r="O94" s="207" t="str">
        <x:v>17</x:v>
      </x:c>
      <x:c r="P94" s="207" t="n">
        <x:v>3</x:v>
      </x:c>
      <x:c r="Q94" s="208" t="str">
        <x:v>Wave 2 (31–60 дней)</x:v>
      </x:c>
    </x:row>
    <x:row r="95">
      <x:c r="A95" s="206" t="str">
        <x:v>DEC-00091</x:v>
      </x:c>
      <x:c r="B95" s="207" t="str">
        <x:v>SKU alias</x:v>
      </x:c>
      <x:c r="C95" s="207" t="str">
        <x:v>MAP-0091</x:v>
      </x:c>
      <x:c r="D95" s="207" t="str">
        <x:v>T-3168A ↔ 0-3168A</x:v>
      </x:c>
      <x:c r="E95" s="207" t="str">
        <x:v>Совпадает номер и вариант после дефиса; отличается префикс</x:v>
      </x:c>
      <x:c r="F95" s="207" t="str">
        <x:v>Подтвердить/отклонить и указать canonical_sku + период</x:v>
      </x:c>
      <x:c r="G95" s="207" t="str">
        <x:v>Продуктовый блок + коммерция</x:v>
      </x:c>
      <x:c r="H95" s="207" t="str">
        <x:v>Высокий</x:v>
      </x:c>
      <x:c r="I95" s="207" t="str">
        <x:v>Маржа SKU/коллекции; производство; склад; продажи</x:v>
      </x:c>
      <x:c r="J95" s="207" t="str">
        <x:v>Себестоимость Жукова.xlsx / 2025 / строка 1129 / 8944.00; Себестоимость Жукова.xlsx / 2025 / строка 1465 / 8944.00</x:v>
      </x:c>
      <x:c r="K95" s="207" t="str"/>
      <x:c r="L95" s="207" t="str"/>
      <x:c r="M95" s="207" t="str">
        <x:v>Не рассмотрено</x:v>
      </x:c>
      <x:c r="N95" s="207" t="str"/>
      <x:c r="O95" s="207" t="str">
        <x:v>17</x:v>
      </x:c>
      <x:c r="P95" s="207" t="n">
        <x:v>3</x:v>
      </x:c>
      <x:c r="Q95" s="208" t="str">
        <x:v>Wave 2 (31–60 дней)</x:v>
      </x:c>
    </x:row>
    <x:row r="96">
      <x:c r="A96" s="206" t="str">
        <x:v>DEC-00092</x:v>
      </x:c>
      <x:c r="B96" s="207" t="str">
        <x:v>SKU alias</x:v>
      </x:c>
      <x:c r="C96" s="207" t="str">
        <x:v>MAP-0092</x:v>
      </x:c>
      <x:c r="D96" s="207" t="str">
        <x:v>T-3168B ↔ 0-3168B</x:v>
      </x:c>
      <x:c r="E96" s="207" t="str">
        <x:v>Совпадает номер и вариант после дефиса; отличается префикс</x:v>
      </x:c>
      <x:c r="F96" s="207" t="str">
        <x:v>Подтвердить/отклонить и указать canonical_sku + период</x:v>
      </x:c>
      <x:c r="G96" s="207" t="str">
        <x:v>Продуктовый блок + коммерция</x:v>
      </x:c>
      <x:c r="H96" s="207" t="str">
        <x:v>Высокий</x:v>
      </x:c>
      <x:c r="I96" s="207" t="str">
        <x:v>Маржа SKU/коллекции; производство; склад; продажи</x:v>
      </x:c>
      <x:c r="J96" s="207" t="str">
        <x:v>Себестоимость Жукова.xlsx / 2025 / строка 1135 / 8944.00; Себестоимость Жукова.xlsx / 2025 / строка 1471 / 8944.00; себестоимость Мокеева 2025.xlsx / себестоимость 2025 / строка 298 / 15184.00</x:v>
      </x:c>
      <x:c r="K96" s="207" t="str"/>
      <x:c r="L96" s="207" t="str"/>
      <x:c r="M96" s="207" t="str">
        <x:v>Не рассмотрено</x:v>
      </x:c>
      <x:c r="N96" s="207" t="str"/>
      <x:c r="O96" s="207" t="str">
        <x:v>17</x:v>
      </x:c>
      <x:c r="P96" s="207" t="n">
        <x:v>3</x:v>
      </x:c>
      <x:c r="Q96" s="208" t="str">
        <x:v>Wave 2 (31–60 дней)</x:v>
      </x:c>
    </x:row>
    <x:row r="97">
      <x:c r="A97" s="206" t="str">
        <x:v>DEC-00093</x:v>
      </x:c>
      <x:c r="B97" s="207" t="str">
        <x:v>SKU alias</x:v>
      </x:c>
      <x:c r="C97" s="207" t="str">
        <x:v>MAP-0093</x:v>
      </x:c>
      <x:c r="D97" s="207" t="str">
        <x:v>T-3152 ↔ 0-3152</x:v>
      </x:c>
      <x:c r="E97" s="207" t="str">
        <x:v>Совпадает номер и вариант после дефиса; отличается префикс</x:v>
      </x:c>
      <x:c r="F97" s="207" t="str">
        <x:v>Подтвердить/отклонить и указать canonical_sku + период</x:v>
      </x:c>
      <x:c r="G97" s="207" t="str">
        <x:v>Продуктовый блок + коммерция</x:v>
      </x:c>
      <x:c r="H97" s="207" t="str">
        <x:v>Высокий</x:v>
      </x:c>
      <x:c r="I97" s="207" t="str">
        <x:v>Маржа SKU/коллекции; производство; склад; продажи</x:v>
      </x:c>
      <x:c r="J97" s="207" t="str">
        <x:v>результат круиз 09.04.25.xlsx / прайс / строка 688</x:v>
      </x:c>
      <x:c r="K97" s="207" t="str"/>
      <x:c r="L97" s="207" t="str"/>
      <x:c r="M97" s="207" t="str">
        <x:v>Не рассмотрено</x:v>
      </x:c>
      <x:c r="N97" s="207" t="str"/>
      <x:c r="O97" s="207" t="str">
        <x:v>17</x:v>
      </x:c>
      <x:c r="P97" s="207" t="n">
        <x:v>3</x:v>
      </x:c>
      <x:c r="Q97" s="208" t="str">
        <x:v>Wave 2 (31–60 дней)</x:v>
      </x:c>
    </x:row>
    <x:row r="98">
      <x:c r="A98" s="206" t="str">
        <x:v>DEC-00094</x:v>
      </x:c>
      <x:c r="B98" s="207" t="str">
        <x:v>SKU alias</x:v>
      </x:c>
      <x:c r="C98" s="207" t="str">
        <x:v>MAP-0094</x:v>
      </x:c>
      <x:c r="D98" s="207" t="str">
        <x:v>T-3152 ↔ 0-3152</x:v>
      </x:c>
      <x:c r="E98" s="207" t="str">
        <x:v>Совпадает номер и вариант после дефиса; отличается префикс</x:v>
      </x:c>
      <x:c r="F98" s="207" t="str">
        <x:v>Подтвердить/отклонить и указать canonical_sku + период</x:v>
      </x:c>
      <x:c r="G98" s="207" t="str">
        <x:v>Продуктовый блок + коммерция</x:v>
      </x:c>
      <x:c r="H98" s="207" t="str">
        <x:v>Высокий</x:v>
      </x:c>
      <x:c r="I98" s="207" t="str">
        <x:v>Маржа SKU/коллекции; производство; склад; продажи</x:v>
      </x:c>
      <x:c r="J98" s="207" t="str">
        <x:v>Себестоимость Жукова.xlsx / 2025 / строка 1069 / 1000.00; Себестоимость Жукова.xlsx / 2025 / строка 1417 / 10611.00; Себестоимость Жукова.xlsx / 2025 / строка 2045 / 11544.00; Себестоимость Жукова.xlsx / 2025 / строка 2341 / 1400.00; Себестоимость Жукова.xlsx / 2025 / строка 3437 / 9486.00; Себестоимость Жукова.xlsx / 2025 / строка 753 / 11069.33</x:v>
      </x:c>
      <x:c r="K98" s="207" t="str"/>
      <x:c r="L98" s="207" t="str"/>
      <x:c r="M98" s="207" t="str">
        <x:v>Не рассмотрено</x:v>
      </x:c>
      <x:c r="N98" s="207" t="str"/>
      <x:c r="O98" s="207" t="str">
        <x:v>17</x:v>
      </x:c>
      <x:c r="P98" s="207" t="n">
        <x:v>3</x:v>
      </x:c>
      <x:c r="Q98" s="208" t="str">
        <x:v>Wave 2 (31–60 дней)</x:v>
      </x:c>
    </x:row>
    <x:row r="99">
      <x:c r="A99" s="206" t="str">
        <x:v>DEC-00095</x:v>
      </x:c>
      <x:c r="B99" s="207" t="str">
        <x:v>SKU alias</x:v>
      </x:c>
      <x:c r="C99" s="207" t="str">
        <x:v>MAP-0095</x:v>
      </x:c>
      <x:c r="D99" s="207" t="str">
        <x:v>T-3152B ↔ 0-3152B</x:v>
      </x:c>
      <x:c r="E99" s="207" t="str">
        <x:v>Совпадает номер и вариант после дефиса; отличается префикс</x:v>
      </x:c>
      <x:c r="F99" s="207" t="str">
        <x:v>Подтвердить/отклонить и указать canonical_sku + период</x:v>
      </x:c>
      <x:c r="G99" s="207" t="str">
        <x:v>Продуктовый блок + коммерция</x:v>
      </x:c>
      <x:c r="H99" s="207" t="str">
        <x:v>Высокий</x:v>
      </x:c>
      <x:c r="I99" s="207" t="str">
        <x:v>Маржа SKU/коллекции; производство; склад; продажи</x:v>
      </x:c>
      <x:c r="J99" s="207" t="str">
        <x:v>результат круиз 09.04.25.xlsx / прайс / строка 704</x:v>
      </x:c>
      <x:c r="K99" s="207" t="str"/>
      <x:c r="L99" s="207" t="str"/>
      <x:c r="M99" s="207" t="str">
        <x:v>Не рассмотрено</x:v>
      </x:c>
      <x:c r="N99" s="207" t="str"/>
      <x:c r="O99" s="207" t="str">
        <x:v>17</x:v>
      </x:c>
      <x:c r="P99" s="207" t="n">
        <x:v>3</x:v>
      </x:c>
      <x:c r="Q99" s="208" t="str">
        <x:v>Wave 2 (31–60 дней)</x:v>
      </x:c>
    </x:row>
    <x:row r="100">
      <x:c r="A100" s="206" t="str">
        <x:v>DEC-00096</x:v>
      </x:c>
      <x:c r="B100" s="207" t="str">
        <x:v>SKU alias</x:v>
      </x:c>
      <x:c r="C100" s="207" t="str">
        <x:v>MAP-0096</x:v>
      </x:c>
      <x:c r="D100" s="207" t="str">
        <x:v>T-3152B ↔ 0-3152B</x:v>
      </x:c>
      <x:c r="E100" s="207" t="str">
        <x:v>Совпадает номер и вариант после дефиса; отличается префикс</x:v>
      </x:c>
      <x:c r="F100" s="207" t="str">
        <x:v>Подтвердить/отклонить и указать canonical_sku + период</x:v>
      </x:c>
      <x:c r="G100" s="207" t="str">
        <x:v>Продуктовый блок + коммерция</x:v>
      </x:c>
      <x:c r="H100" s="207" t="str">
        <x:v>Высокий</x:v>
      </x:c>
      <x:c r="I100" s="207" t="str">
        <x:v>Маржа SKU/коллекции; производство; склад; продажи</x:v>
      </x:c>
      <x:c r="J100" s="207" t="str">
        <x:v>Себестоимость Жукова.xlsx / 2025 / строка 1829 / 11962.00; Себестоимость Жукова.xlsx / 2025 / строка 781 / 11186.00; Себестоимость Меркушина.xlsx / Капсульные коллекции  / строка 32 / 11499.29</x:v>
      </x:c>
      <x:c r="K100" s="207" t="str"/>
      <x:c r="L100" s="207" t="str"/>
      <x:c r="M100" s="207" t="str">
        <x:v>Не рассмотрено</x:v>
      </x:c>
      <x:c r="N100" s="207" t="str"/>
      <x:c r="O100" s="207" t="str">
        <x:v>17</x:v>
      </x:c>
      <x:c r="P100" s="207" t="n">
        <x:v>3</x:v>
      </x:c>
      <x:c r="Q100" s="208" t="str">
        <x:v>Wave 2 (31–60 дней)</x:v>
      </x:c>
    </x:row>
    <x:row r="101">
      <x:c r="A101" s="206" t="str">
        <x:v>DEC-00097</x:v>
      </x:c>
      <x:c r="B101" s="207" t="str">
        <x:v>SKU alias</x:v>
      </x:c>
      <x:c r="C101" s="207" t="str">
        <x:v>MAP-0097</x:v>
      </x:c>
      <x:c r="D101" s="207" t="str">
        <x:v>T-2921 ↔ 0-2921</x:v>
      </x:c>
      <x:c r="E101" s="207" t="str">
        <x:v>Совпадает номер и вариант после дефиса; отличается префикс</x:v>
      </x:c>
      <x:c r="F101" s="207" t="str">
        <x:v>Подтвердить/отклонить и указать canonical_sku + период</x:v>
      </x:c>
      <x:c r="G101" s="207" t="str">
        <x:v>Продуктовый блок + коммерция</x:v>
      </x:c>
      <x:c r="H101" s="207" t="str">
        <x:v>Высокий</x:v>
      </x:c>
      <x:c r="I101" s="207" t="str">
        <x:v>Маржа SKU/коллекции; производство; склад; продажи</x:v>
      </x:c>
      <x:c r="J101" s="207" t="str">
        <x:v>результат круиз 22.04.24.xlsx / прайс / строка 826</x:v>
      </x:c>
      <x:c r="K101" s="207" t="str"/>
      <x:c r="L101" s="207" t="str"/>
      <x:c r="M101" s="207" t="str">
        <x:v>Не рассмотрено</x:v>
      </x:c>
      <x:c r="N101" s="207" t="str"/>
      <x:c r="O101" s="207" t="str">
        <x:v>17</x:v>
      </x:c>
      <x:c r="P101" s="207" t="n">
        <x:v>3</x:v>
      </x:c>
      <x:c r="Q101" s="208" t="str">
        <x:v>Wave 2 (31–60 дней)</x:v>
      </x:c>
    </x:row>
    <x:row r="102">
      <x:c r="A102" s="206" t="str">
        <x:v>DEC-00098</x:v>
      </x:c>
      <x:c r="B102" s="207" t="str">
        <x:v>SKU alias</x:v>
      </x:c>
      <x:c r="C102" s="207" t="str">
        <x:v>MAP-0098</x:v>
      </x:c>
      <x:c r="D102" s="207" t="str">
        <x:v>T-3014C ↔ 0-3014C</x:v>
      </x:c>
      <x:c r="E102" s="207" t="str">
        <x:v>Совпадает номер и вариант после дефиса; отличается префикс</x:v>
      </x:c>
      <x:c r="F102" s="207" t="str">
        <x:v>Подтвердить/отклонить и указать canonical_sku + период</x:v>
      </x:c>
      <x:c r="G102" s="207" t="str">
        <x:v>Продуктовый блок + коммерция</x:v>
      </x:c>
      <x:c r="H102" s="207" t="str">
        <x:v>Высокий</x:v>
      </x:c>
      <x:c r="I102" s="207" t="str">
        <x:v>Маржа SKU/коллекции; производство; склад; продажи</x:v>
      </x:c>
      <x:c r="J102" s="207" t="str">
        <x:v>результат НГ 2024.xlsx / прайс / строка 622; результат капсула 2024.xlsx / прайс / строка 282</x:v>
      </x:c>
      <x:c r="K102" s="207" t="str"/>
      <x:c r="L102" s="207" t="str"/>
      <x:c r="M102" s="207" t="str">
        <x:v>Не рассмотрено</x:v>
      </x:c>
      <x:c r="N102" s="207" t="str"/>
      <x:c r="O102" s="207" t="str">
        <x:v>17</x:v>
      </x:c>
      <x:c r="P102" s="207" t="n">
        <x:v>3</x:v>
      </x:c>
      <x:c r="Q102" s="208" t="str">
        <x:v>Wave 2 (31–60 дней)</x:v>
      </x:c>
    </x:row>
    <x:row r="103">
      <x:c r="A103" s="206" t="str">
        <x:v>DEC-00099</x:v>
      </x:c>
      <x:c r="B103" s="207" t="str">
        <x:v>SKU alias</x:v>
      </x:c>
      <x:c r="C103" s="207" t="str">
        <x:v>MAP-0099</x:v>
      </x:c>
      <x:c r="D103" s="207" t="str">
        <x:v>T-2756B ↔ 0-2756B</x:v>
      </x:c>
      <x:c r="E103" s="207" t="str">
        <x:v>Совпадает номер и вариант после дефиса; отличается префикс</x:v>
      </x:c>
      <x:c r="F103" s="207" t="str">
        <x:v>Подтвердить/отклонить и указать canonical_sku + период</x:v>
      </x:c>
      <x:c r="G103" s="207" t="str">
        <x:v>Продуктовый блок + коммерция</x:v>
      </x:c>
      <x:c r="H103" s="207" t="str">
        <x:v>Высокий</x:v>
      </x:c>
      <x:c r="I103" s="207" t="str">
        <x:v>Маржа SKU/коллекции; производство; склад; продажи</x:v>
      </x:c>
      <x:c r="J103" s="207" t="str">
        <x:v>результат капсула 2024.xlsx / прайс / строка 290</x:v>
      </x:c>
      <x:c r="K103" s="207" t="str"/>
      <x:c r="L103" s="207" t="str"/>
      <x:c r="M103" s="207" t="str">
        <x:v>Не рассмотрено</x:v>
      </x:c>
      <x:c r="N103" s="207" t="str"/>
      <x:c r="O103" s="207" t="str">
        <x:v>17</x:v>
      </x:c>
      <x:c r="P103" s="207" t="n">
        <x:v>3</x:v>
      </x:c>
      <x:c r="Q103" s="208" t="str">
        <x:v>Wave 2 (31–60 дней)</x:v>
      </x:c>
    </x:row>
    <x:row r="104">
      <x:c r="A104" s="206" t="str">
        <x:v>DEC-00100</x:v>
      </x:c>
      <x:c r="B104" s="207" t="str">
        <x:v>SKU alias</x:v>
      </x:c>
      <x:c r="C104" s="207" t="str">
        <x:v>MAP-0100</x:v>
      </x:c>
      <x:c r="D104" s="207" t="str">
        <x:v>T-3156D ↔ 0-3156D</x:v>
      </x:c>
      <x:c r="E104" s="207" t="str">
        <x:v>Совпадает номер и вариант после дефиса; отличается префикс</x:v>
      </x:c>
      <x:c r="F104" s="207" t="str">
        <x:v>Подтвердить/отклонить и указать canonical_sku + период</x:v>
      </x:c>
      <x:c r="G104" s="207" t="str">
        <x:v>Продуктовый блок + коммерция</x:v>
      </x:c>
      <x:c r="H104" s="207" t="str">
        <x:v>Высокий</x:v>
      </x:c>
      <x:c r="I104" s="207" t="str">
        <x:v>Маржа SKU/коллекции; производство; склад; продажи</x:v>
      </x:c>
      <x:c r="J104" s="207" t="str">
        <x:v>результат круиз 09.04.25.xlsx / прайс / строка 833</x:v>
      </x:c>
      <x:c r="K104" s="207" t="str"/>
      <x:c r="L104" s="207" t="str"/>
      <x:c r="M104" s="207" t="str">
        <x:v>Не рассмотрено</x:v>
      </x:c>
      <x:c r="N104" s="207" t="str"/>
      <x:c r="O104" s="207" t="str">
        <x:v>17</x:v>
      </x:c>
      <x:c r="P104" s="207" t="n">
        <x:v>3</x:v>
      </x:c>
      <x:c r="Q104" s="208" t="str">
        <x:v>Wave 2 (31–60 дней)</x:v>
      </x:c>
    </x:row>
    <x:row r="105">
      <x:c r="A105" s="206" t="str">
        <x:v>DEC-00101</x:v>
      </x:c>
      <x:c r="B105" s="207" t="str">
        <x:v>SKU alias</x:v>
      </x:c>
      <x:c r="C105" s="207" t="str">
        <x:v>MAP-0101</x:v>
      </x:c>
      <x:c r="D105" s="207" t="str">
        <x:v>T-3091D ↔ 0-3091D</x:v>
      </x:c>
      <x:c r="E105" s="207" t="str">
        <x:v>Совпадает номер и вариант после дефиса; отличается префикс</x:v>
      </x:c>
      <x:c r="F105" s="207" t="str">
        <x:v>Подтвердить/отклонить и указать canonical_sku + период</x:v>
      </x:c>
      <x:c r="G105" s="207" t="str">
        <x:v>Продуктовый блок + коммерция</x:v>
      </x:c>
      <x:c r="H105" s="207" t="str">
        <x:v>Высокий</x:v>
      </x:c>
      <x:c r="I105" s="207" t="str">
        <x:v>Маржа SKU/коллекции; производство; склад; продажи</x:v>
      </x:c>
      <x:c r="J105" s="207" t="str">
        <x:v>результат НГ 2024.xlsx / прайс / строка 184</x:v>
      </x:c>
      <x:c r="K105" s="207" t="str"/>
      <x:c r="L105" s="207" t="str"/>
      <x:c r="M105" s="207" t="str">
        <x:v>Не рассмотрено</x:v>
      </x:c>
      <x:c r="N105" s="207" t="str"/>
      <x:c r="O105" s="207" t="str">
        <x:v>17</x:v>
      </x:c>
      <x:c r="P105" s="207" t="n">
        <x:v>3</x:v>
      </x:c>
      <x:c r="Q105" s="208" t="str">
        <x:v>Wave 2 (31–60 дней)</x:v>
      </x:c>
    </x:row>
    <x:row r="106">
      <x:c r="A106" s="206" t="str">
        <x:v>DEC-00102</x:v>
      </x:c>
      <x:c r="B106" s="207" t="str">
        <x:v>SKU alias</x:v>
      </x:c>
      <x:c r="C106" s="207" t="str">
        <x:v>MAP-0102</x:v>
      </x:c>
      <x:c r="D106" s="207" t="str">
        <x:v>T-3109 ↔ 0-3109</x:v>
      </x:c>
      <x:c r="E106" s="207" t="str">
        <x:v>Совпадает номер и вариант после дефиса; отличается префикс</x:v>
      </x:c>
      <x:c r="F106" s="207" t="str">
        <x:v>Подтвердить/отклонить и указать canonical_sku + период</x:v>
      </x:c>
      <x:c r="G106" s="207" t="str">
        <x:v>Продуктовый блок + коммерция</x:v>
      </x:c>
      <x:c r="H106" s="207" t="str">
        <x:v>Высокий</x:v>
      </x:c>
      <x:c r="I106" s="207" t="str">
        <x:v>Маржа SKU/коллекции; производство; склад; продажи</x:v>
      </x:c>
      <x:c r="J106" s="207" t="str">
        <x:v>результат круиз 09.04.25.xlsx / прайс / строка 20</x:v>
      </x:c>
      <x:c r="K106" s="207" t="str"/>
      <x:c r="L106" s="207" t="str"/>
      <x:c r="M106" s="207" t="str">
        <x:v>Не рассмотрено</x:v>
      </x:c>
      <x:c r="N106" s="207" t="str"/>
      <x:c r="O106" s="207" t="str">
        <x:v>17</x:v>
      </x:c>
      <x:c r="P106" s="207" t="n">
        <x:v>3</x:v>
      </x:c>
      <x:c r="Q106" s="208" t="str">
        <x:v>Wave 2 (31–60 дней)</x:v>
      </x:c>
    </x:row>
    <x:row r="107">
      <x:c r="A107" s="206" t="str">
        <x:v>DEC-00103</x:v>
      </x:c>
      <x:c r="B107" s="207" t="str">
        <x:v>SKU alias</x:v>
      </x:c>
      <x:c r="C107" s="207" t="str">
        <x:v>MAP-0103</x:v>
      </x:c>
      <x:c r="D107" s="207" t="str">
        <x:v>T-3109 ↔ 0-3109</x:v>
      </x:c>
      <x:c r="E107" s="207" t="str">
        <x:v>Совпадает номер и вариант после дефиса; отличается префикс</x:v>
      </x:c>
      <x:c r="F107" s="207" t="str">
        <x:v>Подтвердить/отклонить и указать canonical_sku + период</x:v>
      </x:c>
      <x:c r="G107" s="207" t="str">
        <x:v>Продуктовый блок + коммерция</x:v>
      </x:c>
      <x:c r="H107" s="207" t="str">
        <x:v>Высокий</x:v>
      </x:c>
      <x:c r="I107" s="207" t="str">
        <x:v>Маржа SKU/коллекции; производство; склад; продажи</x:v>
      </x:c>
      <x:c r="J107" s="207" t="str">
        <x:v>Себестоимость Жукова.xlsx / 2025 / строка 575 / 1000.00; себестоимость Мокеева 2025.xlsx / себестоимость 2025 / строка 241 / 21030.00</x:v>
      </x:c>
      <x:c r="K107" s="207" t="str"/>
      <x:c r="L107" s="207" t="str"/>
      <x:c r="M107" s="207" t="str">
        <x:v>Не рассмотрено</x:v>
      </x:c>
      <x:c r="N107" s="207" t="str"/>
      <x:c r="O107" s="207" t="str">
        <x:v>17</x:v>
      </x:c>
      <x:c r="P107" s="207" t="n">
        <x:v>3</x:v>
      </x:c>
      <x:c r="Q107" s="208" t="str">
        <x:v>Wave 2 (31–60 дней)</x:v>
      </x:c>
    </x:row>
    <x:row r="108">
      <x:c r="A108" s="206" t="str">
        <x:v>DEC-00104</x:v>
      </x:c>
      <x:c r="B108" s="207" t="str">
        <x:v>SKU alias</x:v>
      </x:c>
      <x:c r="C108" s="207" t="str">
        <x:v>MAP-0104</x:v>
      </x:c>
      <x:c r="D108" s="207" t="str">
        <x:v>T-2885 ↔ 0-2885</x:v>
      </x:c>
      <x:c r="E108" s="207" t="str">
        <x:v>Совпадает номер и вариант после дефиса; отличается префикс</x:v>
      </x:c>
      <x:c r="F108" s="207" t="str">
        <x:v>Подтвердить/отклонить и указать canonical_sku + период</x:v>
      </x:c>
      <x:c r="G108" s="207" t="str">
        <x:v>Продуктовый блок + коммерция</x:v>
      </x:c>
      <x:c r="H108" s="207" t="str">
        <x:v>Высокий</x:v>
      </x:c>
      <x:c r="I108" s="207" t="str">
        <x:v>Маржа SKU/коллекции; производство; склад; продажи</x:v>
      </x:c>
      <x:c r="J108" s="207" t="str">
        <x:v>результат круиз 14.04.26.xlsx / прайс / строка 100; результат круиз 22.04.24.xlsx / прайс / строка 499</x:v>
      </x:c>
      <x:c r="K108" s="207" t="str"/>
      <x:c r="L108" s="207" t="str"/>
      <x:c r="M108" s="207" t="str">
        <x:v>Не рассмотрено</x:v>
      </x:c>
      <x:c r="N108" s="207" t="str"/>
      <x:c r="O108" s="207" t="str">
        <x:v>17</x:v>
      </x:c>
      <x:c r="P108" s="207" t="n">
        <x:v>3</x:v>
      </x:c>
      <x:c r="Q108" s="208" t="str">
        <x:v>Wave 2 (31–60 дней)</x:v>
      </x:c>
    </x:row>
    <x:row r="109">
      <x:c r="A109" s="206" t="str">
        <x:v>DEC-00105</x:v>
      </x:c>
      <x:c r="B109" s="207" t="str">
        <x:v>SKU alias</x:v>
      </x:c>
      <x:c r="C109" s="207" t="str">
        <x:v>MAP-0105</x:v>
      </x:c>
      <x:c r="D109" s="207" t="str">
        <x:v>T-2885 ↔ 0-2885</x:v>
      </x:c>
      <x:c r="E109" s="207" t="str">
        <x:v>Совпадает номер и вариант после дефиса; отличается префикс</x:v>
      </x:c>
      <x:c r="F109" s="207" t="str">
        <x:v>Подтвердить/отклонить и указать canonical_sku + период</x:v>
      </x:c>
      <x:c r="G109" s="207" t="str">
        <x:v>Продуктовый блок + коммерция</x:v>
      </x:c>
      <x:c r="H109" s="207" t="str">
        <x:v>Высокий</x:v>
      </x:c>
      <x:c r="I109" s="207" t="str">
        <x:v>Маржа SKU/коллекции; производство; склад; продажи</x:v>
      </x:c>
      <x:c r="J109" s="207" t="str">
        <x:v>Себестоимость Жукова.xlsx / 2025 / строка 3541 / 10200.00; себестоимость Мокеева 2026.xlsx / 2026 / строка 224 / 22710.60</x:v>
      </x:c>
      <x:c r="K109" s="207" t="str"/>
      <x:c r="L109" s="207" t="str"/>
      <x:c r="M109" s="207" t="str">
        <x:v>Не рассмотрено</x:v>
      </x:c>
      <x:c r="N109" s="207" t="str"/>
      <x:c r="O109" s="207" t="str">
        <x:v>17</x:v>
      </x:c>
      <x:c r="P109" s="207" t="n">
        <x:v>3</x:v>
      </x:c>
      <x:c r="Q109" s="208" t="str">
        <x:v>Wave 2 (31–60 дней)</x:v>
      </x:c>
    </x:row>
    <x:row r="110">
      <x:c r="A110" s="206" t="str">
        <x:v>DEC-00106</x:v>
      </x:c>
      <x:c r="B110" s="207" t="str">
        <x:v>SKU alias</x:v>
      </x:c>
      <x:c r="C110" s="207" t="str">
        <x:v>MAP-0106</x:v>
      </x:c>
      <x:c r="D110" s="207" t="str">
        <x:v>T-3133A ↔ 0-3133A</x:v>
      </x:c>
      <x:c r="E110" s="207" t="str">
        <x:v>Совпадает номер и вариант после дефиса; отличается префикс</x:v>
      </x:c>
      <x:c r="F110" s="207" t="str">
        <x:v>Подтвердить/отклонить и указать canonical_sku + период</x:v>
      </x:c>
      <x:c r="G110" s="207" t="str">
        <x:v>Продуктовый блок + коммерция</x:v>
      </x:c>
      <x:c r="H110" s="207" t="str">
        <x:v>Высокий</x:v>
      </x:c>
      <x:c r="I110" s="207" t="str">
        <x:v>Маржа SKU/коллекции; производство; склад; продажи</x:v>
      </x:c>
      <x:c r="J110" s="207" t="str">
        <x:v>результат круиз 09.04.25.xlsx / прайс / строка 405</x:v>
      </x:c>
      <x:c r="K110" s="207" t="str"/>
      <x:c r="L110" s="207" t="str"/>
      <x:c r="M110" s="207" t="str">
        <x:v>Не рассмотрено</x:v>
      </x:c>
      <x:c r="N110" s="207" t="str"/>
      <x:c r="O110" s="207" t="str">
        <x:v>17</x:v>
      </x:c>
      <x:c r="P110" s="207" t="n">
        <x:v>3</x:v>
      </x:c>
      <x:c r="Q110" s="208" t="str">
        <x:v>Wave 2 (31–60 дней)</x:v>
      </x:c>
    </x:row>
    <x:row r="111">
      <x:c r="A111" s="206" t="str">
        <x:v>DEC-00107</x:v>
      </x:c>
      <x:c r="B111" s="207" t="str">
        <x:v>SKU alias</x:v>
      </x:c>
      <x:c r="C111" s="207" t="str">
        <x:v>MAP-0107</x:v>
      </x:c>
      <x:c r="D111" s="207" t="str">
        <x:v>T-3133A ↔ 0-3133A</x:v>
      </x:c>
      <x:c r="E111" s="207" t="str">
        <x:v>Совпадает номер и вариант после дефиса; отличается префикс</x:v>
      </x:c>
      <x:c r="F111" s="207" t="str">
        <x:v>Подтвердить/отклонить и указать canonical_sku + период</x:v>
      </x:c>
      <x:c r="G111" s="207" t="str">
        <x:v>Продуктовый блок + коммерция</x:v>
      </x:c>
      <x:c r="H111" s="207" t="str">
        <x:v>Высокий</x:v>
      </x:c>
      <x:c r="I111" s="207" t="str">
        <x:v>Маржа SKU/коллекции; производство; склад; продажи</x:v>
      </x:c>
      <x:c r="J111" s="207" t="str">
        <x:v>Себестоимость Жукова.xlsx / 2025 / строка 1741 / 10757.00; Себестоимость Жукова.xlsx / 2025 / строка 2101 / 10757.00</x:v>
      </x:c>
      <x:c r="K111" s="207" t="str"/>
      <x:c r="L111" s="207" t="str"/>
      <x:c r="M111" s="207" t="str">
        <x:v>Не рассмотрено</x:v>
      </x:c>
      <x:c r="N111" s="207" t="str"/>
      <x:c r="O111" s="207" t="str">
        <x:v>17</x:v>
      </x:c>
      <x:c r="P111" s="207" t="n">
        <x:v>3</x:v>
      </x:c>
      <x:c r="Q111" s="208" t="str">
        <x:v>Wave 2 (31–60 дней)</x:v>
      </x:c>
    </x:row>
    <x:row r="112">
      <x:c r="A112" s="206" t="str">
        <x:v>DEC-00108</x:v>
      </x:c>
      <x:c r="B112" s="207" t="str">
        <x:v>SKU alias</x:v>
      </x:c>
      <x:c r="C112" s="207" t="str">
        <x:v>MAP-0108</x:v>
      </x:c>
      <x:c r="D112" s="207" t="str">
        <x:v>T-3120A ↔ 0-3120A</x:v>
      </x:c>
      <x:c r="E112" s="207" t="str">
        <x:v>Совпадает номер и вариант после дефиса; отличается префикс</x:v>
      </x:c>
      <x:c r="F112" s="207" t="str">
        <x:v>Подтвердить/отклонить и указать canonical_sku + период</x:v>
      </x:c>
      <x:c r="G112" s="207" t="str">
        <x:v>Продуктовый блок + коммерция</x:v>
      </x:c>
      <x:c r="H112" s="207" t="str">
        <x:v>Высокий</x:v>
      </x:c>
      <x:c r="I112" s="207" t="str">
        <x:v>Маржа SKU/коллекции; производство; склад; продажи</x:v>
      </x:c>
      <x:c r="J112" s="207" t="str">
        <x:v>результат круиз 09.04.25.xlsx / прайс / строка 188</x:v>
      </x:c>
      <x:c r="K112" s="207" t="str"/>
      <x:c r="L112" s="207" t="str"/>
      <x:c r="M112" s="207" t="str">
        <x:v>Не рассмотрено</x:v>
      </x:c>
      <x:c r="N112" s="207" t="str"/>
      <x:c r="O112" s="207" t="str">
        <x:v>17</x:v>
      </x:c>
      <x:c r="P112" s="207" t="n">
        <x:v>3</x:v>
      </x:c>
      <x:c r="Q112" s="208" t="str">
        <x:v>Wave 2 (31–60 дней)</x:v>
      </x:c>
    </x:row>
    <x:row r="113">
      <x:c r="A113" s="206" t="str">
        <x:v>DEC-00109</x:v>
      </x:c>
      <x:c r="B113" s="207" t="str">
        <x:v>SKU alias</x:v>
      </x:c>
      <x:c r="C113" s="207" t="str">
        <x:v>MAP-0109</x:v>
      </x:c>
      <x:c r="D113" s="207" t="str">
        <x:v>T-3179A ↔ 0-3179A</x:v>
      </x:c>
      <x:c r="E113" s="207" t="str">
        <x:v>Совпадает номер и вариант после дефиса; отличается префикс</x:v>
      </x:c>
      <x:c r="F113" s="207" t="str">
        <x:v>Подтвердить/отклонить и указать canonical_sku + период</x:v>
      </x:c>
      <x:c r="G113" s="207" t="str">
        <x:v>Продуктовый блок + коммерция</x:v>
      </x:c>
      <x:c r="H113" s="207" t="str">
        <x:v>Высокий</x:v>
      </x:c>
      <x:c r="I113" s="207" t="str">
        <x:v>Маржа SKU/коллекции; производство; склад; продажи</x:v>
      </x:c>
      <x:c r="J113" s="207" t="str">
        <x:v>результат круиз 09.04.25.xlsx / прайс / строка 1065</x:v>
      </x:c>
      <x:c r="K113" s="207" t="str"/>
      <x:c r="L113" s="207" t="str"/>
      <x:c r="M113" s="207" t="str">
        <x:v>Не рассмотрено</x:v>
      </x:c>
      <x:c r="N113" s="207" t="str"/>
      <x:c r="O113" s="207" t="str">
        <x:v>17</x:v>
      </x:c>
      <x:c r="P113" s="207" t="n">
        <x:v>3</x:v>
      </x:c>
      <x:c r="Q113" s="208" t="str">
        <x:v>Wave 2 (31–60 дней)</x:v>
      </x:c>
    </x:row>
    <x:row r="114">
      <x:c r="A114" s="206" t="str">
        <x:v>DEC-00110</x:v>
      </x:c>
      <x:c r="B114" s="207" t="str">
        <x:v>SKU alias</x:v>
      </x:c>
      <x:c r="C114" s="207" t="str">
        <x:v>MAP-0110</x:v>
      </x:c>
      <x:c r="D114" s="207" t="str">
        <x:v>T-3179A ↔ 0-3179A</x:v>
      </x:c>
      <x:c r="E114" s="207" t="str">
        <x:v>Совпадает номер и вариант после дефиса; отличается префикс</x:v>
      </x:c>
      <x:c r="F114" s="207" t="str">
        <x:v>Подтвердить/отклонить и указать canonical_sku + период</x:v>
      </x:c>
      <x:c r="G114" s="207" t="str">
        <x:v>Продуктовый блок + коммерция</x:v>
      </x:c>
      <x:c r="H114" s="207" t="str">
        <x:v>Высокий</x:v>
      </x:c>
      <x:c r="I114" s="207" t="str">
        <x:v>Маржа SKU/коллекции; производство; склад; продажи</x:v>
      </x:c>
      <x:c r="J114" s="207" t="str">
        <x:v>Себестоимость Жукова.xlsx / 2025 / строка 1573 / 900.00</x:v>
      </x:c>
      <x:c r="K114" s="207" t="str"/>
      <x:c r="L114" s="207" t="str"/>
      <x:c r="M114" s="207" t="str">
        <x:v>Не рассмотрено</x:v>
      </x:c>
      <x:c r="N114" s="207" t="str"/>
      <x:c r="O114" s="207" t="str">
        <x:v>17</x:v>
      </x:c>
      <x:c r="P114" s="207" t="n">
        <x:v>3</x:v>
      </x:c>
      <x:c r="Q114" s="208" t="str">
        <x:v>Wave 2 (31–60 дней)</x:v>
      </x:c>
    </x:row>
    <x:row r="115">
      <x:c r="A115" s="206" t="str">
        <x:v>DEC-00111</x:v>
      </x:c>
      <x:c r="B115" s="207" t="str">
        <x:v>SKU alias</x:v>
      </x:c>
      <x:c r="C115" s="207" t="str">
        <x:v>MAP-0111</x:v>
      </x:c>
      <x:c r="D115" s="207" t="str">
        <x:v>T-3179 ↔ 0-3179</x:v>
      </x:c>
      <x:c r="E115" s="207" t="str">
        <x:v>Совпадает номер и вариант после дефиса; отличается префикс</x:v>
      </x:c>
      <x:c r="F115" s="207" t="str">
        <x:v>Подтвердить/отклонить и указать canonical_sku + период</x:v>
      </x:c>
      <x:c r="G115" s="207" t="str">
        <x:v>Продуктовый блок + коммерция</x:v>
      </x:c>
      <x:c r="H115" s="207" t="str">
        <x:v>Высокий</x:v>
      </x:c>
      <x:c r="I115" s="207" t="str">
        <x:v>Маржа SKU/коллекции; производство; склад; продажи</x:v>
      </x:c>
      <x:c r="J115" s="207" t="str">
        <x:v>результат круиз 09.04.25.xlsx / прайс / строка 1057</x:v>
      </x:c>
      <x:c r="K115" s="207" t="str"/>
      <x:c r="L115" s="207" t="str"/>
      <x:c r="M115" s="207" t="str">
        <x:v>Не рассмотрено</x:v>
      </x:c>
      <x:c r="N115" s="207" t="str"/>
      <x:c r="O115" s="207" t="str">
        <x:v>17</x:v>
      </x:c>
      <x:c r="P115" s="207" t="n">
        <x:v>3</x:v>
      </x:c>
      <x:c r="Q115" s="208" t="str">
        <x:v>Wave 2 (31–60 дней)</x:v>
      </x:c>
    </x:row>
    <x:row r="116">
      <x:c r="A116" s="206" t="str">
        <x:v>DEC-00112</x:v>
      </x:c>
      <x:c r="B116" s="207" t="str">
        <x:v>SKU alias</x:v>
      </x:c>
      <x:c r="C116" s="207" t="str">
        <x:v>MAP-0112</x:v>
      </x:c>
      <x:c r="D116" s="207" t="str">
        <x:v>T-3179 ↔ 0-3179</x:v>
      </x:c>
      <x:c r="E116" s="207" t="str">
        <x:v>Совпадает номер и вариант после дефиса; отличается префикс</x:v>
      </x:c>
      <x:c r="F116" s="207" t="str">
        <x:v>Подтвердить/отклонить и указать canonical_sku + период</x:v>
      </x:c>
      <x:c r="G116" s="207" t="str">
        <x:v>Продуктовый блок + коммерция</x:v>
      </x:c>
      <x:c r="H116" s="207" t="str">
        <x:v>Высокий</x:v>
      </x:c>
      <x:c r="I116" s="207" t="str">
        <x:v>Маржа SKU/коллекции; производство; склад; продажи</x:v>
      </x:c>
      <x:c r="J116" s="207" t="str">
        <x:v>Себестоимость Жукова.xlsx / 2025 / строка 1243 / 825.00; Себестоимость Жукова.xlsx / 2025 / строка 1603 / 1320.00; Себестоимость Жукова.xlsx / 2025 / строка 2165 / 1304.00</x:v>
      </x:c>
      <x:c r="K116" s="207" t="str"/>
      <x:c r="L116" s="207" t="str"/>
      <x:c r="M116" s="207" t="str">
        <x:v>Не рассмотрено</x:v>
      </x:c>
      <x:c r="N116" s="207" t="str"/>
      <x:c r="O116" s="207" t="str">
        <x:v>17</x:v>
      </x:c>
      <x:c r="P116" s="207" t="n">
        <x:v>3</x:v>
      </x:c>
      <x:c r="Q116" s="208" t="str">
        <x:v>Wave 2 (31–60 дней)</x:v>
      </x:c>
    </x:row>
    <x:row r="117">
      <x:c r="A117" s="206" t="str">
        <x:v>DEC-00113</x:v>
      </x:c>
      <x:c r="B117" s="207" t="str">
        <x:v>SKU alias</x:v>
      </x:c>
      <x:c r="C117" s="207" t="str">
        <x:v>MAP-0113</x:v>
      </x:c>
      <x:c r="D117" s="207" t="str">
        <x:v>T-2750A ↔ 0-2750A</x:v>
      </x:c>
      <x:c r="E117" s="207" t="str">
        <x:v>Совпадает номер и вариант после дефиса; отличается префикс</x:v>
      </x:c>
      <x:c r="F117" s="207" t="str">
        <x:v>Подтвердить/отклонить и указать canonical_sku + период</x:v>
      </x:c>
      <x:c r="G117" s="207" t="str">
        <x:v>Продуктовый блок + коммерция</x:v>
      </x:c>
      <x:c r="H117" s="207" t="str">
        <x:v>Высокий</x:v>
      </x:c>
      <x:c r="I117" s="207" t="str">
        <x:v>Маржа SKU/коллекции; производство; склад; продажи</x:v>
      </x:c>
      <x:c r="J117" s="207" t="str">
        <x:v>себестоимость Мокеева 2025.xlsx / себестоимость 2025 / строка 284 / 15959.14; себестоимость Мокеева 2025.xlsx / себестоимость 2025 / строка 285 / 15959.14</x:v>
      </x:c>
      <x:c r="K117" s="207" t="str"/>
      <x:c r="L117" s="207" t="str"/>
      <x:c r="M117" s="207" t="str">
        <x:v>Не рассмотрено</x:v>
      </x:c>
      <x:c r="N117" s="207" t="str"/>
      <x:c r="O117" s="207" t="str">
        <x:v>17</x:v>
      </x:c>
      <x:c r="P117" s="207" t="n">
        <x:v>3</x:v>
      </x:c>
      <x:c r="Q117" s="208" t="str">
        <x:v>Wave 2 (31–60 дней)</x:v>
      </x:c>
    </x:row>
    <x:row r="118">
      <x:c r="A118" s="206" t="str">
        <x:v>DEC-00114</x:v>
      </x:c>
      <x:c r="B118" s="207" t="str">
        <x:v>SKU alias</x:v>
      </x:c>
      <x:c r="C118" s="207" t="str">
        <x:v>MAP-0114</x:v>
      </x:c>
      <x:c r="D118" s="207" t="str">
        <x:v>0-2604 ↔ M-2604</x:v>
      </x:c>
      <x:c r="E118" s="207" t="str">
        <x:v>Совпадает номер и вариант после дефиса; отличается префикс</x:v>
      </x:c>
      <x:c r="F118" s="207" t="str">
        <x:v>Подтвердить/отклонить и указать canonical_sku + период</x:v>
      </x:c>
      <x:c r="G118" s="207" t="str">
        <x:v>Продуктовый блок + коммерция</x:v>
      </x:c>
      <x:c r="H118" s="207" t="str">
        <x:v>Высокий</x:v>
      </x:c>
      <x:c r="I118" s="207" t="str">
        <x:v>Маржа SKU/коллекции; производство; склад; продажи</x:v>
      </x:c>
      <x:c r="J118" s="207" t="str">
        <x:v>результат капсула 2024.xlsx / прайс / строка 2</x:v>
      </x:c>
      <x:c r="K118" s="207" t="str"/>
      <x:c r="L118" s="207" t="str"/>
      <x:c r="M118" s="207" t="str">
        <x:v>Не рассмотрено</x:v>
      </x:c>
      <x:c r="N118" s="207" t="str"/>
      <x:c r="O118" s="207" t="str">
        <x:v>17</x:v>
      </x:c>
      <x:c r="P118" s="207" t="n">
        <x:v>3</x:v>
      </x:c>
      <x:c r="Q118" s="208" t="str">
        <x:v>Wave 2 (31–60 дней)</x:v>
      </x:c>
    </x:row>
    <x:row r="119">
      <x:c r="A119" s="206" t="str">
        <x:v>DEC-00115</x:v>
      </x:c>
      <x:c r="B119" s="207" t="str">
        <x:v>SKU alias</x:v>
      </x:c>
      <x:c r="C119" s="207" t="str">
        <x:v>MAP-0115</x:v>
      </x:c>
      <x:c r="D119" s="207" t="str">
        <x:v>0-2604 ↔ T-2604</x:v>
      </x:c>
      <x:c r="E119" s="207" t="str">
        <x:v>Совпадает номер и вариант после дефиса; отличается префикс</x:v>
      </x:c>
      <x:c r="F119" s="207" t="str">
        <x:v>Подтвердить/отклонить и указать canonical_sku + период</x:v>
      </x:c>
      <x:c r="G119" s="207" t="str">
        <x:v>Продуктовый блок + коммерция</x:v>
      </x:c>
      <x:c r="H119" s="207" t="str">
        <x:v>Высокий</x:v>
      </x:c>
      <x:c r="I119" s="207" t="str">
        <x:v>Маржа SKU/коллекции; производство; склад; продажи</x:v>
      </x:c>
      <x:c r="J119" s="207" t="str">
        <x:v>Себестоимость Меркушина.xlsx / ИМ / строка 224 / 5744.82; Себестоимость Меркушина.xlsx / Площадки / строка 358 / 5744.82</x:v>
      </x:c>
      <x:c r="K119" s="207" t="str"/>
      <x:c r="L119" s="207" t="str"/>
      <x:c r="M119" s="207" t="str">
        <x:v>Не рассмотрено</x:v>
      </x:c>
      <x:c r="N119" s="207" t="str"/>
      <x:c r="O119" s="207" t="str">
        <x:v>17</x:v>
      </x:c>
      <x:c r="P119" s="207" t="n">
        <x:v>3</x:v>
      </x:c>
      <x:c r="Q119" s="208" t="str">
        <x:v>Wave 2 (31–60 дней)</x:v>
      </x:c>
    </x:row>
    <x:row r="120">
      <x:c r="A120" s="206" t="str">
        <x:v>DEC-00116</x:v>
      </x:c>
      <x:c r="B120" s="207" t="str">
        <x:v>SKU alias</x:v>
      </x:c>
      <x:c r="C120" s="207" t="str">
        <x:v>MAP-0116</x:v>
      </x:c>
      <x:c r="D120" s="207" t="str">
        <x:v>T-3178 ↔ 0-3178</x:v>
      </x:c>
      <x:c r="E120" s="207" t="str">
        <x:v>Совпадает номер и вариант после дефиса; отличается префикс</x:v>
      </x:c>
      <x:c r="F120" s="207" t="str">
        <x:v>Подтвердить/отклонить и указать canonical_sku + период</x:v>
      </x:c>
      <x:c r="G120" s="207" t="str">
        <x:v>Продуктовый блок + коммерция</x:v>
      </x:c>
      <x:c r="H120" s="207" t="str">
        <x:v>Высокий</x:v>
      </x:c>
      <x:c r="I120" s="207" t="str">
        <x:v>Маржа SKU/коллекции; производство; склад; продажи</x:v>
      </x:c>
      <x:c r="J120" s="207" t="str">
        <x:v>результат круиз 09.04.25.xlsx / прайс / строка 1030</x:v>
      </x:c>
      <x:c r="K120" s="207" t="str"/>
      <x:c r="L120" s="207" t="str"/>
      <x:c r="M120" s="207" t="str">
        <x:v>Не рассмотрено</x:v>
      </x:c>
      <x:c r="N120" s="207" t="str"/>
      <x:c r="O120" s="207" t="str">
        <x:v>17</x:v>
      </x:c>
      <x:c r="P120" s="207" t="n">
        <x:v>3</x:v>
      </x:c>
      <x:c r="Q120" s="208" t="str">
        <x:v>Wave 2 (31–60 дней)</x:v>
      </x:c>
    </x:row>
    <x:row r="121">
      <x:c r="A121" s="206" t="str">
        <x:v>DEC-00117</x:v>
      </x:c>
      <x:c r="B121" s="207" t="str">
        <x:v>SKU alias</x:v>
      </x:c>
      <x:c r="C121" s="207" t="str">
        <x:v>MAP-0117</x:v>
      </x:c>
      <x:c r="D121" s="207" t="str">
        <x:v>T-3178 ↔ 0-3178</x:v>
      </x:c>
      <x:c r="E121" s="207" t="str">
        <x:v>Совпадает номер и вариант после дефиса; отличается префикс</x:v>
      </x:c>
      <x:c r="F121" s="207" t="str">
        <x:v>Подтвердить/отклонить и указать canonical_sku + период</x:v>
      </x:c>
      <x:c r="G121" s="207" t="str">
        <x:v>Продуктовый блок + коммерция</x:v>
      </x:c>
      <x:c r="H121" s="207" t="str">
        <x:v>Высокий</x:v>
      </x:c>
      <x:c r="I121" s="207" t="str">
        <x:v>Маржа SKU/коллекции; производство; склад; продажи</x:v>
      </x:c>
      <x:c r="J121" s="207" t="str">
        <x:v>Себестоимость Жукова.xlsx / 2025 / строка 1279 / 160.00; Себестоимость Жукова.xlsx / 2025 / строка 1441 / 330.00; Себестоимость Жукова.xlsx / 2025 / строка 1447 / 13355.00; Себестоимость Жукова.xlsx / 2025 / строка 1901 / 1079.00</x:v>
      </x:c>
      <x:c r="K121" s="207" t="str"/>
      <x:c r="L121" s="207" t="str"/>
      <x:c r="M121" s="207" t="str">
        <x:v>Не рассмотрено</x:v>
      </x:c>
      <x:c r="N121" s="207" t="str"/>
      <x:c r="O121" s="207" t="str">
        <x:v>17</x:v>
      </x:c>
      <x:c r="P121" s="207" t="n">
        <x:v>3</x:v>
      </x:c>
      <x:c r="Q121" s="208" t="str">
        <x:v>Wave 2 (31–60 дней)</x:v>
      </x:c>
    </x:row>
    <x:row r="122">
      <x:c r="A122" s="206" t="str">
        <x:v>DEC-00118</x:v>
      </x:c>
      <x:c r="B122" s="207" t="str">
        <x:v>SKU alias</x:v>
      </x:c>
      <x:c r="C122" s="207" t="str">
        <x:v>MAP-0118</x:v>
      </x:c>
      <x:c r="D122" s="207" t="str">
        <x:v>T-2861A ↔ 0-2861A</x:v>
      </x:c>
      <x:c r="E122" s="207" t="str">
        <x:v>Совпадает номер и вариант после дефиса; отличается префикс</x:v>
      </x:c>
      <x:c r="F122" s="207" t="str">
        <x:v>Подтвердить/отклонить и указать canonical_sku + период</x:v>
      </x:c>
      <x:c r="G122" s="207" t="str">
        <x:v>Продуктовый блок + коммерция</x:v>
      </x:c>
      <x:c r="H122" s="207" t="str">
        <x:v>Высокий</x:v>
      </x:c>
      <x:c r="I122" s="207" t="str">
        <x:v>Маржа SKU/коллекции; производство; склад; продажи</x:v>
      </x:c>
      <x:c r="J122" s="207" t="str">
        <x:v>результат круиз 22.04.24.xlsx / прайс / строка 267</x:v>
      </x:c>
      <x:c r="K122" s="207" t="str"/>
      <x:c r="L122" s="207" t="str"/>
      <x:c r="M122" s="207" t="str">
        <x:v>Не рассмотрено</x:v>
      </x:c>
      <x:c r="N122" s="207" t="str"/>
      <x:c r="O122" s="207" t="str">
        <x:v>17</x:v>
      </x:c>
      <x:c r="P122" s="207" t="n">
        <x:v>3</x:v>
      </x:c>
      <x:c r="Q122" s="208" t="str">
        <x:v>Wave 2 (31–60 дней)</x:v>
      </x:c>
    </x:row>
    <x:row r="123">
      <x:c r="A123" s="206" t="str">
        <x:v>DEC-00119</x:v>
      </x:c>
      <x:c r="B123" s="207" t="str">
        <x:v>SKU alias</x:v>
      </x:c>
      <x:c r="C123" s="207" t="str">
        <x:v>MAP-0119</x:v>
      </x:c>
      <x:c r="D123" s="207" t="str">
        <x:v>T-2909 ↔ 0-2909</x:v>
      </x:c>
      <x:c r="E123" s="207" t="str">
        <x:v>Совпадает номер и вариант после дефиса; отличается префикс</x:v>
      </x:c>
      <x:c r="F123" s="207" t="str">
        <x:v>Подтвердить/отклонить и указать canonical_sku + период</x:v>
      </x:c>
      <x:c r="G123" s="207" t="str">
        <x:v>Продуктовый блок + коммерция</x:v>
      </x:c>
      <x:c r="H123" s="207" t="str">
        <x:v>Высокий</x:v>
      </x:c>
      <x:c r="I123" s="207" t="str">
        <x:v>Маржа SKU/коллекции; производство; склад; продажи</x:v>
      </x:c>
      <x:c r="J123" s="207" t="str">
        <x:v>результат круиз 22.04.24.xlsx / прайс / строка 697</x:v>
      </x:c>
      <x:c r="K123" s="207" t="str"/>
      <x:c r="L123" s="207" t="str"/>
      <x:c r="M123" s="207" t="str">
        <x:v>Не рассмотрено</x:v>
      </x:c>
      <x:c r="N123" s="207" t="str"/>
      <x:c r="O123" s="207" t="str">
        <x:v>17</x:v>
      </x:c>
      <x:c r="P123" s="207" t="n">
        <x:v>3</x:v>
      </x:c>
      <x:c r="Q123" s="208" t="str">
        <x:v>Wave 2 (31–60 дней)</x:v>
      </x:c>
    </x:row>
    <x:row r="124">
      <x:c r="A124" s="206" t="str">
        <x:v>DEC-00120</x:v>
      </x:c>
      <x:c r="B124" s="207" t="str">
        <x:v>SKU alias</x:v>
      </x:c>
      <x:c r="C124" s="207" t="str">
        <x:v>MAP-0120</x:v>
      </x:c>
      <x:c r="D124" s="207" t="str">
        <x:v>0-2600 ↔ PO0-2600</x:v>
      </x:c>
      <x:c r="E124" s="207" t="str">
        <x:v>Совпадает номер и вариант после дефиса; отличается префикс</x:v>
      </x:c>
      <x:c r="F124" s="207" t="str">
        <x:v>Подтвердить/отклонить и указать canonical_sku + период</x:v>
      </x:c>
      <x:c r="G124" s="207" t="str">
        <x:v>Продуктовый блок + коммерция</x:v>
      </x:c>
      <x:c r="H124" s="207" t="str">
        <x:v>Высокий</x:v>
      </x:c>
      <x:c r="I124" s="207" t="str">
        <x:v>Маржа SKU/коллекции; производство; склад; продажи</x:v>
      </x:c>
      <x:c r="J124" s="207" t="str">
        <x:v>себестоимость Мокеева 2025.xlsx / себестоимость 2025 / строка 329 / 18688.72</x:v>
      </x:c>
      <x:c r="K124" s="207" t="str"/>
      <x:c r="L124" s="207" t="str"/>
      <x:c r="M124" s="207" t="str">
        <x:v>Не рассмотрено</x:v>
      </x:c>
      <x:c r="N124" s="207" t="str"/>
      <x:c r="O124" s="207" t="str">
        <x:v>17</x:v>
      </x:c>
      <x:c r="P124" s="207" t="n">
        <x:v>3</x:v>
      </x:c>
      <x:c r="Q124" s="208" t="str">
        <x:v>Wave 2 (31–60 дней)</x:v>
      </x:c>
    </x:row>
    <x:row r="125">
      <x:c r="A125" s="206" t="str">
        <x:v>DEC-00121</x:v>
      </x:c>
      <x:c r="B125" s="207" t="str">
        <x:v>SKU alias</x:v>
      </x:c>
      <x:c r="C125" s="207" t="str">
        <x:v>MAP-0121</x:v>
      </x:c>
      <x:c r="D125" s="207" t="str">
        <x:v>T-3156 ↔ 0-3156</x:v>
      </x:c>
      <x:c r="E125" s="207" t="str">
        <x:v>Совпадает номер и вариант после дефиса; отличается префикс</x:v>
      </x:c>
      <x:c r="F125" s="207" t="str">
        <x:v>Подтвердить/отклонить и указать canonical_sku + период</x:v>
      </x:c>
      <x:c r="G125" s="207" t="str">
        <x:v>Продуктовый блок + коммерция</x:v>
      </x:c>
      <x:c r="H125" s="207" t="str">
        <x:v>Высокий</x:v>
      </x:c>
      <x:c r="I125" s="207" t="str">
        <x:v>Маржа SKU/коллекции; производство; склад; продажи</x:v>
      </x:c>
      <x:c r="J125" s="207" t="str">
        <x:v>результат круиз 09.04.25.xlsx / прайс / строка 800</x:v>
      </x:c>
      <x:c r="K125" s="207" t="str"/>
      <x:c r="L125" s="207" t="str"/>
      <x:c r="M125" s="207" t="str">
        <x:v>Не рассмотрено</x:v>
      </x:c>
      <x:c r="N125" s="207" t="str"/>
      <x:c r="O125" s="207" t="str">
        <x:v>17</x:v>
      </x:c>
      <x:c r="P125" s="207" t="n">
        <x:v>3</x:v>
      </x:c>
      <x:c r="Q125" s="208" t="str">
        <x:v>Wave 2 (31–60 дней)</x:v>
      </x:c>
    </x:row>
    <x:row r="126">
      <x:c r="A126" s="206" t="str">
        <x:v>DEC-00122</x:v>
      </x:c>
      <x:c r="B126" s="207" t="str">
        <x:v>SKU alias</x:v>
      </x:c>
      <x:c r="C126" s="207" t="str">
        <x:v>MAP-0122</x:v>
      </x:c>
      <x:c r="D126" s="207" t="str">
        <x:v>T-3156 ↔ 0-3156</x:v>
      </x:c>
      <x:c r="E126" s="207" t="str">
        <x:v>Совпадает номер и вариант после дефиса; отличается префикс</x:v>
      </x:c>
      <x:c r="F126" s="207" t="str">
        <x:v>Подтвердить/отклонить и указать canonical_sku + период</x:v>
      </x:c>
      <x:c r="G126" s="207" t="str">
        <x:v>Продуктовый блок + коммерция</x:v>
      </x:c>
      <x:c r="H126" s="207" t="str">
        <x:v>Высокий</x:v>
      </x:c>
      <x:c r="I126" s="207" t="str">
        <x:v>Маржа SKU/коллекции; производство; склад; продажи</x:v>
      </x:c>
      <x:c r="J126" s="207" t="str">
        <x:v>Себестоимость Жукова.xlsx / 2025 / строка 1219 / 1100.00; Себестоимость Жукова.xlsx / 2025 / строка 1717 / 6435.00; Себестоимость Жукова.xlsx / 2025 / строка 1747 / 7660.00; Себестоимость Жукова.xlsx / 2025 / строка 1797 / 6572.50; Себестоимость Жукова.xlsx / 2025 / строка 2093 / 7335.00; Себестоимость Жукова.xlsx / 2025 / строка 777 / 6785.00; себестоимость Мокеева 2025.xlsx / себестоимость 2025 / строка 323 / 18070.00</x:v>
      </x:c>
      <x:c r="K126" s="207" t="str"/>
      <x:c r="L126" s="207" t="str"/>
      <x:c r="M126" s="207" t="str">
        <x:v>Не рассмотрено</x:v>
      </x:c>
      <x:c r="N126" s="207" t="str"/>
      <x:c r="O126" s="207" t="str">
        <x:v>17</x:v>
      </x:c>
      <x:c r="P126" s="207" t="n">
        <x:v>3</x:v>
      </x:c>
      <x:c r="Q126" s="208" t="str">
        <x:v>Wave 2 (31–60 дней)</x:v>
      </x:c>
    </x:row>
    <x:row r="127">
      <x:c r="A127" s="206" t="str">
        <x:v>DEC-00123</x:v>
      </x:c>
      <x:c r="B127" s="207" t="str">
        <x:v>SKU alias</x:v>
      </x:c>
      <x:c r="C127" s="207" t="str">
        <x:v>MAP-0123</x:v>
      </x:c>
      <x:c r="D127" s="207" t="str">
        <x:v>T-2894 ↔ 0-2894</x:v>
      </x:c>
      <x:c r="E127" s="207" t="str">
        <x:v>Совпадает номер и вариант после дефиса; отличается префикс</x:v>
      </x:c>
      <x:c r="F127" s="207" t="str">
        <x:v>Подтвердить/отклонить и указать canonical_sku + период</x:v>
      </x:c>
      <x:c r="G127" s="207" t="str">
        <x:v>Продуктовый блок + коммерция</x:v>
      </x:c>
      <x:c r="H127" s="207" t="str">
        <x:v>Высокий</x:v>
      </x:c>
      <x:c r="I127" s="207" t="str">
        <x:v>Маржа SKU/коллекции; производство; склад; продажи</x:v>
      </x:c>
      <x:c r="J127" s="207" t="str">
        <x:v>результат круиз 14.04.26.xlsx / прайс / строка 62; результат круиз 22.04.24.xlsx / прайс / строка 573</x:v>
      </x:c>
      <x:c r="K127" s="207" t="str"/>
      <x:c r="L127" s="207" t="str"/>
      <x:c r="M127" s="207" t="str">
        <x:v>Не рассмотрено</x:v>
      </x:c>
      <x:c r="N127" s="207" t="str"/>
      <x:c r="O127" s="207" t="str">
        <x:v>17</x:v>
      </x:c>
      <x:c r="P127" s="207" t="n">
        <x:v>3</x:v>
      </x:c>
      <x:c r="Q127" s="208" t="str">
        <x:v>Wave 2 (31–60 дней)</x:v>
      </x:c>
    </x:row>
    <x:row r="128">
      <x:c r="A128" s="206" t="str">
        <x:v>DEC-00124</x:v>
      </x:c>
      <x:c r="B128" s="207" t="str">
        <x:v>SKU alias</x:v>
      </x:c>
      <x:c r="C128" s="207" t="str">
        <x:v>MAP-0124</x:v>
      </x:c>
      <x:c r="D128" s="207" t="str">
        <x:v>T-2894 ↔ 0-2894</x:v>
      </x:c>
      <x:c r="E128" s="207" t="str">
        <x:v>Совпадает номер и вариант после дефиса; отличается префикс</x:v>
      </x:c>
      <x:c r="F128" s="207" t="str">
        <x:v>Подтвердить/отклонить и указать canonical_sku + период</x:v>
      </x:c>
      <x:c r="G128" s="207" t="str">
        <x:v>Продуктовый блок + коммерция</x:v>
      </x:c>
      <x:c r="H128" s="207" t="str">
        <x:v>Высокий</x:v>
      </x:c>
      <x:c r="I128" s="207" t="str">
        <x:v>Маржа SKU/коллекции; производство; склад; продажи</x:v>
      </x:c>
      <x:c r="J128" s="207" t="str">
        <x:v>Себестоимость Жукова.xlsx / 2025 / строка 3533 / 21799.00</x:v>
      </x:c>
      <x:c r="K128" s="207" t="str"/>
      <x:c r="L128" s="207" t="str"/>
      <x:c r="M128" s="207" t="str">
        <x:v>Не рассмотрено</x:v>
      </x:c>
      <x:c r="N128" s="207" t="str"/>
      <x:c r="O128" s="207" t="str">
        <x:v>17</x:v>
      </x:c>
      <x:c r="P128" s="207" t="n">
        <x:v>3</x:v>
      </x:c>
      <x:c r="Q128" s="208" t="str">
        <x:v>Wave 2 (31–60 дней)</x:v>
      </x:c>
    </x:row>
    <x:row r="129">
      <x:c r="A129" s="206" t="str">
        <x:v>DEC-00125</x:v>
      </x:c>
      <x:c r="B129" s="207" t="str">
        <x:v>Cost version</x:v>
      </x:c>
      <x:c r="C129" s="207" t="str">
        <x:v>0-1043</x:v>
      </x:c>
      <x:c r="D129" s="207" t="str">
        <x:v>Нет точной полной себестоимости</x:v>
      </x:c>
      <x:c r="E129" s="207" t="str">
        <x:v>Значение отсутствует</x:v>
      </x:c>
      <x:c r="F129" s="207" t="str">
        <x:v>Найти калькуляцию или подтвердить отсутствие</x:v>
      </x:c>
      <x:c r="G129" s="207" t="str">
        <x:v>Финансы + производство</x:v>
      </x:c>
      <x:c r="H129" s="207" t="str">
        <x:v>Критический</x:v>
      </x:c>
      <x:c r="I129" s="207" t="str">
        <x:v>Маржа SKU/коллекции/заказа</x:v>
      </x:c>
      <x:c r="J129" s="207" t="str"/>
      <x:c r="K129" s="207" t="str"/>
      <x:c r="L129" s="207" t="str"/>
      <x:c r="M129" s="207" t="str">
        <x:v>Не рассмотрено</x:v>
      </x:c>
      <x:c r="N129" s="207" t="str"/>
      <x:c r="O129" s="207" t="str">
        <x:v>17</x:v>
      </x:c>
      <x:c r="P129" s="207" t="n">
        <x:v>4</x:v>
      </x:c>
      <x:c r="Q129" s="208" t="str">
        <x:v>Wave 1 (0–30 дней)</x:v>
      </x:c>
    </x:row>
    <x:row r="130">
      <x:c r="A130" s="206" t="str">
        <x:v>DEC-00126</x:v>
      </x:c>
      <x:c r="B130" s="207" t="str">
        <x:v>Cost version</x:v>
      </x:c>
      <x:c r="C130" s="207" t="str">
        <x:v>0-1187D</x:v>
      </x:c>
      <x:c r="D130" s="207" t="str">
        <x:v>Нет точной полной себестоимости</x:v>
      </x:c>
      <x:c r="E130" s="207" t="str">
        <x:v>Значение отсутствует</x:v>
      </x:c>
      <x:c r="F130" s="207" t="str">
        <x:v>Найти калькуляцию или подтвердить отсутствие</x:v>
      </x:c>
      <x:c r="G130" s="207" t="str">
        <x:v>Финансы + производство</x:v>
      </x:c>
      <x:c r="H130" s="207" t="str">
        <x:v>Критический</x:v>
      </x:c>
      <x:c r="I130" s="207" t="str">
        <x:v>Маржа SKU/коллекции/заказа</x:v>
      </x:c>
      <x:c r="J130" s="207" t="str"/>
      <x:c r="K130" s="207" t="str"/>
      <x:c r="L130" s="207" t="str"/>
      <x:c r="M130" s="207" t="str">
        <x:v>Не рассмотрено</x:v>
      </x:c>
      <x:c r="N130" s="207" t="str"/>
      <x:c r="O130" s="207" t="str">
        <x:v>17</x:v>
      </x:c>
      <x:c r="P130" s="207" t="n">
        <x:v>4</x:v>
      </x:c>
      <x:c r="Q130" s="208" t="str">
        <x:v>Wave 1 (0–30 дней)</x:v>
      </x:c>
    </x:row>
    <x:row r="131">
      <x:c r="A131" s="206" t="str">
        <x:v>DEC-00127</x:v>
      </x:c>
      <x:c r="B131" s="207" t="str">
        <x:v>Cost version</x:v>
      </x:c>
      <x:c r="C131" s="207" t="str">
        <x:v>0-1672A</x:v>
      </x:c>
      <x:c r="D131" s="207" t="str">
        <x:v>Нет точной полной себестоимости</x:v>
      </x:c>
      <x:c r="E131" s="207" t="str">
        <x:v>Значение отсутствует</x:v>
      </x:c>
      <x:c r="F131" s="207" t="str">
        <x:v>Найти калькуляцию или подтвердить отсутствие</x:v>
      </x:c>
      <x:c r="G131" s="207" t="str">
        <x:v>Финансы + производство</x:v>
      </x:c>
      <x:c r="H131" s="207" t="str">
        <x:v>Критический</x:v>
      </x:c>
      <x:c r="I131" s="207" t="str">
        <x:v>Маржа SKU/коллекции/заказа</x:v>
      </x:c>
      <x:c r="J131" s="207" t="str"/>
      <x:c r="K131" s="207" t="str"/>
      <x:c r="L131" s="207" t="str"/>
      <x:c r="M131" s="207" t="str">
        <x:v>Не рассмотрено</x:v>
      </x:c>
      <x:c r="N131" s="207" t="str"/>
      <x:c r="O131" s="207" t="str">
        <x:v>17</x:v>
      </x:c>
      <x:c r="P131" s="207" t="n">
        <x:v>4</x:v>
      </x:c>
      <x:c r="Q131" s="208" t="str">
        <x:v>Wave 1 (0–30 дней)</x:v>
      </x:c>
    </x:row>
    <x:row r="132">
      <x:c r="A132" s="206" t="str">
        <x:v>DEC-00128</x:v>
      </x:c>
      <x:c r="B132" s="207" t="str">
        <x:v>Cost version</x:v>
      </x:c>
      <x:c r="C132" s="207" t="str">
        <x:v>0-2125</x:v>
      </x:c>
      <x:c r="D132" s="207" t="str">
        <x:v>Нет точной полной себестоимости</x:v>
      </x:c>
      <x:c r="E132" s="207" t="str">
        <x:v>Значение отсутствует</x:v>
      </x:c>
      <x:c r="F132" s="207" t="str">
        <x:v>Найти калькуляцию или подтвердить отсутствие</x:v>
      </x:c>
      <x:c r="G132" s="207" t="str">
        <x:v>Финансы + производство</x:v>
      </x:c>
      <x:c r="H132" s="207" t="str">
        <x:v>Критический</x:v>
      </x:c>
      <x:c r="I132" s="207" t="str">
        <x:v>Маржа SKU/коллекции/заказа</x:v>
      </x:c>
      <x:c r="J132" s="207" t="str"/>
      <x:c r="K132" s="207" t="str"/>
      <x:c r="L132" s="207" t="str"/>
      <x:c r="M132" s="207" t="str">
        <x:v>Не рассмотрено</x:v>
      </x:c>
      <x:c r="N132" s="207" t="str"/>
      <x:c r="O132" s="207" t="str">
        <x:v>17</x:v>
      </x:c>
      <x:c r="P132" s="207" t="n">
        <x:v>4</x:v>
      </x:c>
      <x:c r="Q132" s="208" t="str">
        <x:v>Wave 1 (0–30 дней)</x:v>
      </x:c>
    </x:row>
    <x:row r="133">
      <x:c r="A133" s="206" t="str">
        <x:v>DEC-00129</x:v>
      </x:c>
      <x:c r="B133" s="207" t="str">
        <x:v>Cost version</x:v>
      </x:c>
      <x:c r="C133" s="207" t="str">
        <x:v>0-2246B</x:v>
      </x:c>
      <x:c r="D133" s="207" t="str">
        <x:v>Нет точной полной себестоимости</x:v>
      </x:c>
      <x:c r="E133" s="207" t="str">
        <x:v>Значение отсутствует</x:v>
      </x:c>
      <x:c r="F133" s="207" t="str">
        <x:v>Найти калькуляцию или подтвердить отсутствие</x:v>
      </x:c>
      <x:c r="G133" s="207" t="str">
        <x:v>Финансы + производство</x:v>
      </x:c>
      <x:c r="H133" s="207" t="str">
        <x:v>Критический</x:v>
      </x:c>
      <x:c r="I133" s="207" t="str">
        <x:v>Маржа SKU/коллекции/заказа</x:v>
      </x:c>
      <x:c r="J133" s="207" t="str"/>
      <x:c r="K133" s="207" t="str"/>
      <x:c r="L133" s="207" t="str"/>
      <x:c r="M133" s="207" t="str">
        <x:v>Не рассмотрено</x:v>
      </x:c>
      <x:c r="N133" s="207" t="str"/>
      <x:c r="O133" s="207" t="str">
        <x:v>17</x:v>
      </x:c>
      <x:c r="P133" s="207" t="n">
        <x:v>4</x:v>
      </x:c>
      <x:c r="Q133" s="208" t="str">
        <x:v>Wave 1 (0–30 дней)</x:v>
      </x:c>
    </x:row>
    <x:row r="134">
      <x:c r="A134" s="206" t="str">
        <x:v>DEC-00130</x:v>
      </x:c>
      <x:c r="B134" s="207" t="str">
        <x:v>Cost version</x:v>
      </x:c>
      <x:c r="C134" s="207" t="str">
        <x:v>0-2320A</x:v>
      </x:c>
      <x:c r="D134" s="207" t="str">
        <x:v>Нет точной полной себестоимости</x:v>
      </x:c>
      <x:c r="E134" s="207" t="str">
        <x:v>Значение отсутствует</x:v>
      </x:c>
      <x:c r="F134" s="207" t="str">
        <x:v>Найти калькуляцию или подтвердить отсутствие</x:v>
      </x:c>
      <x:c r="G134" s="207" t="str">
        <x:v>Финансы + производство</x:v>
      </x:c>
      <x:c r="H134" s="207" t="str">
        <x:v>Критический</x:v>
      </x:c>
      <x:c r="I134" s="207" t="str">
        <x:v>Маржа SKU/коллекции/заказа</x:v>
      </x:c>
      <x:c r="J134" s="207" t="str"/>
      <x:c r="K134" s="207" t="str"/>
      <x:c r="L134" s="207" t="str"/>
      <x:c r="M134" s="207" t="str">
        <x:v>Не рассмотрено</x:v>
      </x:c>
      <x:c r="N134" s="207" t="str"/>
      <x:c r="O134" s="207" t="str">
        <x:v>17</x:v>
      </x:c>
      <x:c r="P134" s="207" t="n">
        <x:v>4</x:v>
      </x:c>
      <x:c r="Q134" s="208" t="str">
        <x:v>Wave 1 (0–30 дней)</x:v>
      </x:c>
    </x:row>
    <x:row r="135">
      <x:c r="A135" s="206" t="str">
        <x:v>DEC-00131</x:v>
      </x:c>
      <x:c r="B135" s="207" t="str">
        <x:v>Cost version</x:v>
      </x:c>
      <x:c r="C135" s="207" t="str">
        <x:v>0-2397</x:v>
      </x:c>
      <x:c r="D135" s="207" t="str">
        <x:v>Нет точной полной себестоимости</x:v>
      </x:c>
      <x:c r="E135" s="207" t="str">
        <x:v>Значение отсутствует</x:v>
      </x:c>
      <x:c r="F135" s="207" t="str">
        <x:v>Найти калькуляцию или подтвердить отсутствие</x:v>
      </x:c>
      <x:c r="G135" s="207" t="str">
        <x:v>Финансы + производство</x:v>
      </x:c>
      <x:c r="H135" s="207" t="str">
        <x:v>Критический</x:v>
      </x:c>
      <x:c r="I135" s="207" t="str">
        <x:v>Маржа SKU/коллекции/заказа</x:v>
      </x:c>
      <x:c r="J135" s="207" t="str"/>
      <x:c r="K135" s="207" t="str"/>
      <x:c r="L135" s="207" t="str"/>
      <x:c r="M135" s="207" t="str">
        <x:v>Не рассмотрено</x:v>
      </x:c>
      <x:c r="N135" s="207" t="str"/>
      <x:c r="O135" s="207" t="str">
        <x:v>17</x:v>
      </x:c>
      <x:c r="P135" s="207" t="n">
        <x:v>4</x:v>
      </x:c>
      <x:c r="Q135" s="208" t="str">
        <x:v>Wave 1 (0–30 дней)</x:v>
      </x:c>
    </x:row>
    <x:row r="136">
      <x:c r="A136" s="206" t="str">
        <x:v>DEC-00132</x:v>
      </x:c>
      <x:c r="B136" s="207" t="str">
        <x:v>Cost version</x:v>
      </x:c>
      <x:c r="C136" s="207" t="str">
        <x:v>0-2397B</x:v>
      </x:c>
      <x:c r="D136" s="207" t="str">
        <x:v>Нет точной полной себестоимости</x:v>
      </x:c>
      <x:c r="E136" s="207" t="str">
        <x:v>Значение отсутствует</x:v>
      </x:c>
      <x:c r="F136" s="207" t="str">
        <x:v>Найти калькуляцию или подтвердить отсутствие</x:v>
      </x:c>
      <x:c r="G136" s="207" t="str">
        <x:v>Финансы + производство</x:v>
      </x:c>
      <x:c r="H136" s="207" t="str">
        <x:v>Критический</x:v>
      </x:c>
      <x:c r="I136" s="207" t="str">
        <x:v>Маржа SKU/коллекции/заказа</x:v>
      </x:c>
      <x:c r="J136" s="207" t="str"/>
      <x:c r="K136" s="207" t="str"/>
      <x:c r="L136" s="207" t="str"/>
      <x:c r="M136" s="207" t="str">
        <x:v>Не рассмотрено</x:v>
      </x:c>
      <x:c r="N136" s="207" t="str"/>
      <x:c r="O136" s="207" t="str">
        <x:v>17</x:v>
      </x:c>
      <x:c r="P136" s="207" t="n">
        <x:v>4</x:v>
      </x:c>
      <x:c r="Q136" s="208" t="str">
        <x:v>Wave 1 (0–30 дней)</x:v>
      </x:c>
    </x:row>
    <x:row r="137">
      <x:c r="A137" s="206" t="str">
        <x:v>DEC-00133</x:v>
      </x:c>
      <x:c r="B137" s="207" t="str">
        <x:v>Cost version</x:v>
      </x:c>
      <x:c r="C137" s="207" t="str">
        <x:v>0-2415</x:v>
      </x:c>
      <x:c r="D137" s="207" t="str">
        <x:v>Нет точной полной себестоимости</x:v>
      </x:c>
      <x:c r="E137" s="207" t="str">
        <x:v>Значение отсутствует</x:v>
      </x:c>
      <x:c r="F137" s="207" t="str">
        <x:v>Найти калькуляцию или подтвердить отсутствие</x:v>
      </x:c>
      <x:c r="G137" s="207" t="str">
        <x:v>Финансы + производство</x:v>
      </x:c>
      <x:c r="H137" s="207" t="str">
        <x:v>Критический</x:v>
      </x:c>
      <x:c r="I137" s="207" t="str">
        <x:v>Маржа SKU/коллекции/заказа</x:v>
      </x:c>
      <x:c r="J137" s="207" t="str"/>
      <x:c r="K137" s="207" t="str"/>
      <x:c r="L137" s="207" t="str"/>
      <x:c r="M137" s="207" t="str">
        <x:v>Не рассмотрено</x:v>
      </x:c>
      <x:c r="N137" s="207" t="str"/>
      <x:c r="O137" s="207" t="str">
        <x:v>17</x:v>
      </x:c>
      <x:c r="P137" s="207" t="n">
        <x:v>4</x:v>
      </x:c>
      <x:c r="Q137" s="208" t="str">
        <x:v>Wave 1 (0–30 дней)</x:v>
      </x:c>
    </x:row>
    <x:row r="138">
      <x:c r="A138" s="206" t="str">
        <x:v>DEC-00134</x:v>
      </x:c>
      <x:c r="B138" s="207" t="str">
        <x:v>Cost version</x:v>
      </x:c>
      <x:c r="C138" s="207" t="str">
        <x:v>0-2455</x:v>
      </x:c>
      <x:c r="D138" s="207" t="str">
        <x:v>Нет точной полной себестоимости</x:v>
      </x:c>
      <x:c r="E138" s="207" t="str">
        <x:v>Значение отсутствует</x:v>
      </x:c>
      <x:c r="F138" s="207" t="str">
        <x:v>Найти калькуляцию или подтвердить отсутствие</x:v>
      </x:c>
      <x:c r="G138" s="207" t="str">
        <x:v>Финансы + производство</x:v>
      </x:c>
      <x:c r="H138" s="207" t="str">
        <x:v>Критический</x:v>
      </x:c>
      <x:c r="I138" s="207" t="str">
        <x:v>Маржа SKU/коллекции/заказа</x:v>
      </x:c>
      <x:c r="J138" s="207" t="str"/>
      <x:c r="K138" s="207" t="str"/>
      <x:c r="L138" s="207" t="str"/>
      <x:c r="M138" s="207" t="str">
        <x:v>Не рассмотрено</x:v>
      </x:c>
      <x:c r="N138" s="207" t="str"/>
      <x:c r="O138" s="207" t="str">
        <x:v>17</x:v>
      </x:c>
      <x:c r="P138" s="207" t="n">
        <x:v>4</x:v>
      </x:c>
      <x:c r="Q138" s="208" t="str">
        <x:v>Wave 1 (0–30 дней)</x:v>
      </x:c>
    </x:row>
    <x:row r="139">
      <x:c r="A139" s="206" t="str">
        <x:v>DEC-00135</x:v>
      </x:c>
      <x:c r="B139" s="207" t="str">
        <x:v>Cost version</x:v>
      </x:c>
      <x:c r="C139" s="207" t="str">
        <x:v>0-2456A</x:v>
      </x:c>
      <x:c r="D139" s="207" t="str">
        <x:v>Нет точной полной себестоимости</x:v>
      </x:c>
      <x:c r="E139" s="207" t="str">
        <x:v>Значение отсутствует</x:v>
      </x:c>
      <x:c r="F139" s="207" t="str">
        <x:v>Найти калькуляцию или подтвердить отсутствие</x:v>
      </x:c>
      <x:c r="G139" s="207" t="str">
        <x:v>Финансы + производство</x:v>
      </x:c>
      <x:c r="H139" s="207" t="str">
        <x:v>Критический</x:v>
      </x:c>
      <x:c r="I139" s="207" t="str">
        <x:v>Маржа SKU/коллекции/заказа</x:v>
      </x:c>
      <x:c r="J139" s="207" t="str"/>
      <x:c r="K139" s="207" t="str"/>
      <x:c r="L139" s="207" t="str"/>
      <x:c r="M139" s="207" t="str">
        <x:v>Не рассмотрено</x:v>
      </x:c>
      <x:c r="N139" s="207" t="str"/>
      <x:c r="O139" s="207" t="str">
        <x:v>17</x:v>
      </x:c>
      <x:c r="P139" s="207" t="n">
        <x:v>4</x:v>
      </x:c>
      <x:c r="Q139" s="208" t="str">
        <x:v>Wave 1 (0–30 дней)</x:v>
      </x:c>
    </x:row>
    <x:row r="140">
      <x:c r="A140" s="206" t="str">
        <x:v>DEC-00136</x:v>
      </x:c>
      <x:c r="B140" s="207" t="str">
        <x:v>Cost version</x:v>
      </x:c>
      <x:c r="C140" s="207" t="str">
        <x:v>0-2458</x:v>
      </x:c>
      <x:c r="D140" s="207" t="str">
        <x:v>Нет точной полной себестоимости</x:v>
      </x:c>
      <x:c r="E140" s="207" t="str">
        <x:v>Значение отсутствует</x:v>
      </x:c>
      <x:c r="F140" s="207" t="str">
        <x:v>Найти калькуляцию или подтвердить отсутствие</x:v>
      </x:c>
      <x:c r="G140" s="207" t="str">
        <x:v>Финансы + производство</x:v>
      </x:c>
      <x:c r="H140" s="207" t="str">
        <x:v>Критический</x:v>
      </x:c>
      <x:c r="I140" s="207" t="str">
        <x:v>Маржа SKU/коллекции/заказа</x:v>
      </x:c>
      <x:c r="J140" s="207" t="str"/>
      <x:c r="K140" s="207" t="str"/>
      <x:c r="L140" s="207" t="str"/>
      <x:c r="M140" s="207" t="str">
        <x:v>Не рассмотрено</x:v>
      </x:c>
      <x:c r="N140" s="207" t="str"/>
      <x:c r="O140" s="207" t="str">
        <x:v>17</x:v>
      </x:c>
      <x:c r="P140" s="207" t="n">
        <x:v>4</x:v>
      </x:c>
      <x:c r="Q140" s="208" t="str">
        <x:v>Wave 1 (0–30 дней)</x:v>
      </x:c>
    </x:row>
    <x:row r="141">
      <x:c r="A141" s="206" t="str">
        <x:v>DEC-00137</x:v>
      </x:c>
      <x:c r="B141" s="207" t="str">
        <x:v>Cost version</x:v>
      </x:c>
      <x:c r="C141" s="207" t="str">
        <x:v>0-2461</x:v>
      </x:c>
      <x:c r="D141" s="207" t="str">
        <x:v>Нет точной полной себестоимости</x:v>
      </x:c>
      <x:c r="E141" s="207" t="str">
        <x:v>Значение отсутствует</x:v>
      </x:c>
      <x:c r="F141" s="207" t="str">
        <x:v>Найти калькуляцию или подтвердить отсутствие</x:v>
      </x:c>
      <x:c r="G141" s="207" t="str">
        <x:v>Финансы + производство</x:v>
      </x:c>
      <x:c r="H141" s="207" t="str">
        <x:v>Критический</x:v>
      </x:c>
      <x:c r="I141" s="207" t="str">
        <x:v>Маржа SKU/коллекции/заказа</x:v>
      </x:c>
      <x:c r="J141" s="207" t="str"/>
      <x:c r="K141" s="207" t="str"/>
      <x:c r="L141" s="207" t="str"/>
      <x:c r="M141" s="207" t="str">
        <x:v>Не рассмотрено</x:v>
      </x:c>
      <x:c r="N141" s="207" t="str"/>
      <x:c r="O141" s="207" t="str">
        <x:v>17</x:v>
      </x:c>
      <x:c r="P141" s="207" t="n">
        <x:v>4</x:v>
      </x:c>
      <x:c r="Q141" s="208" t="str">
        <x:v>Wave 1 (0–30 дней)</x:v>
      </x:c>
    </x:row>
    <x:row r="142">
      <x:c r="A142" s="206" t="str">
        <x:v>DEC-00138</x:v>
      </x:c>
      <x:c r="B142" s="207" t="str">
        <x:v>Cost version</x:v>
      </x:c>
      <x:c r="C142" s="207" t="str">
        <x:v>0-2462A</x:v>
      </x:c>
      <x:c r="D142" s="207" t="str">
        <x:v>Нет точной полной себестоимости</x:v>
      </x:c>
      <x:c r="E142" s="207" t="str">
        <x:v>Значение отсутствует</x:v>
      </x:c>
      <x:c r="F142" s="207" t="str">
        <x:v>Найти калькуляцию или подтвердить отсутствие</x:v>
      </x:c>
      <x:c r="G142" s="207" t="str">
        <x:v>Финансы + производство</x:v>
      </x:c>
      <x:c r="H142" s="207" t="str">
        <x:v>Критический</x:v>
      </x:c>
      <x:c r="I142" s="207" t="str">
        <x:v>Маржа SKU/коллекции/заказа</x:v>
      </x:c>
      <x:c r="J142" s="207" t="str"/>
      <x:c r="K142" s="207" t="str"/>
      <x:c r="L142" s="207" t="str"/>
      <x:c r="M142" s="207" t="str">
        <x:v>Не рассмотрено</x:v>
      </x:c>
      <x:c r="N142" s="207" t="str"/>
      <x:c r="O142" s="207" t="str">
        <x:v>17</x:v>
      </x:c>
      <x:c r="P142" s="207" t="n">
        <x:v>4</x:v>
      </x:c>
      <x:c r="Q142" s="208" t="str">
        <x:v>Wave 1 (0–30 дней)</x:v>
      </x:c>
    </x:row>
    <x:row r="143">
      <x:c r="A143" s="206" t="str">
        <x:v>DEC-00139</x:v>
      </x:c>
      <x:c r="B143" s="207" t="str">
        <x:v>Cost version</x:v>
      </x:c>
      <x:c r="C143" s="207" t="str">
        <x:v>0-2464</x:v>
      </x:c>
      <x:c r="D143" s="207" t="str">
        <x:v>Нет точной полной себестоимости</x:v>
      </x:c>
      <x:c r="E143" s="207" t="str">
        <x:v>Значение отсутствует</x:v>
      </x:c>
      <x:c r="F143" s="207" t="str">
        <x:v>Найти калькуляцию или подтвердить отсутствие</x:v>
      </x:c>
      <x:c r="G143" s="207" t="str">
        <x:v>Финансы + производство</x:v>
      </x:c>
      <x:c r="H143" s="207" t="str">
        <x:v>Критический</x:v>
      </x:c>
      <x:c r="I143" s="207" t="str">
        <x:v>Маржа SKU/коллекции/заказа</x:v>
      </x:c>
      <x:c r="J143" s="207" t="str"/>
      <x:c r="K143" s="207" t="str"/>
      <x:c r="L143" s="207" t="str"/>
      <x:c r="M143" s="207" t="str">
        <x:v>Не рассмотрено</x:v>
      </x:c>
      <x:c r="N143" s="207" t="str"/>
      <x:c r="O143" s="207" t="str">
        <x:v>17</x:v>
      </x:c>
      <x:c r="P143" s="207" t="n">
        <x:v>4</x:v>
      </x:c>
      <x:c r="Q143" s="208" t="str">
        <x:v>Wave 1 (0–30 дней)</x:v>
      </x:c>
    </x:row>
    <x:row r="144">
      <x:c r="A144" s="206" t="str">
        <x:v>DEC-00140</x:v>
      </x:c>
      <x:c r="B144" s="207" t="str">
        <x:v>Cost version</x:v>
      </x:c>
      <x:c r="C144" s="207" t="str">
        <x:v>0-2468A</x:v>
      </x:c>
      <x:c r="D144" s="207" t="str">
        <x:v>Нет точной полной себестоимости</x:v>
      </x:c>
      <x:c r="E144" s="207" t="str">
        <x:v>Значение отсутствует</x:v>
      </x:c>
      <x:c r="F144" s="207" t="str">
        <x:v>Найти калькуляцию или подтвердить отсутствие</x:v>
      </x:c>
      <x:c r="G144" s="207" t="str">
        <x:v>Финансы + производство</x:v>
      </x:c>
      <x:c r="H144" s="207" t="str">
        <x:v>Критический</x:v>
      </x:c>
      <x:c r="I144" s="207" t="str">
        <x:v>Маржа SKU/коллекции/заказа</x:v>
      </x:c>
      <x:c r="J144" s="207" t="str"/>
      <x:c r="K144" s="207" t="str"/>
      <x:c r="L144" s="207" t="str"/>
      <x:c r="M144" s="207" t="str">
        <x:v>Не рассмотрено</x:v>
      </x:c>
      <x:c r="N144" s="207" t="str"/>
      <x:c r="O144" s="207" t="str">
        <x:v>17</x:v>
      </x:c>
      <x:c r="P144" s="207" t="n">
        <x:v>4</x:v>
      </x:c>
      <x:c r="Q144" s="208" t="str">
        <x:v>Wave 1 (0–30 дней)</x:v>
      </x:c>
    </x:row>
    <x:row r="145">
      <x:c r="A145" s="206" t="str">
        <x:v>DEC-00141</x:v>
      </x:c>
      <x:c r="B145" s="207" t="str">
        <x:v>Cost version</x:v>
      </x:c>
      <x:c r="C145" s="207" t="str">
        <x:v>0-2469A</x:v>
      </x:c>
      <x:c r="D145" s="207" t="str">
        <x:v>Нет точной полной себестоимости</x:v>
      </x:c>
      <x:c r="E145" s="207" t="str">
        <x:v>Значение отсутствует</x:v>
      </x:c>
      <x:c r="F145" s="207" t="str">
        <x:v>Найти калькуляцию или подтвердить отсутствие</x:v>
      </x:c>
      <x:c r="G145" s="207" t="str">
        <x:v>Финансы + производство</x:v>
      </x:c>
      <x:c r="H145" s="207" t="str">
        <x:v>Критический</x:v>
      </x:c>
      <x:c r="I145" s="207" t="str">
        <x:v>Маржа SKU/коллекции/заказа</x:v>
      </x:c>
      <x:c r="J145" s="207" t="str"/>
      <x:c r="K145" s="207" t="str"/>
      <x:c r="L145" s="207" t="str"/>
      <x:c r="M145" s="207" t="str">
        <x:v>Не рассмотрено</x:v>
      </x:c>
      <x:c r="N145" s="207" t="str"/>
      <x:c r="O145" s="207" t="str">
        <x:v>17</x:v>
      </x:c>
      <x:c r="P145" s="207" t="n">
        <x:v>4</x:v>
      </x:c>
      <x:c r="Q145" s="208" t="str">
        <x:v>Wave 1 (0–30 дней)</x:v>
      </x:c>
    </x:row>
    <x:row r="146">
      <x:c r="A146" s="206" t="str">
        <x:v>DEC-00142</x:v>
      </x:c>
      <x:c r="B146" s="207" t="str">
        <x:v>Cost version</x:v>
      </x:c>
      <x:c r="C146" s="207" t="str">
        <x:v>0-2475B</x:v>
      </x:c>
      <x:c r="D146" s="207" t="str">
        <x:v>Нет точной полной себестоимости</x:v>
      </x:c>
      <x:c r="E146" s="207" t="str">
        <x:v>Значение отсутствует</x:v>
      </x:c>
      <x:c r="F146" s="207" t="str">
        <x:v>Найти калькуляцию или подтвердить отсутствие</x:v>
      </x:c>
      <x:c r="G146" s="207" t="str">
        <x:v>Финансы + производство</x:v>
      </x:c>
      <x:c r="H146" s="207" t="str">
        <x:v>Критический</x:v>
      </x:c>
      <x:c r="I146" s="207" t="str">
        <x:v>Маржа SKU/коллекции/заказа</x:v>
      </x:c>
      <x:c r="J146" s="207" t="str"/>
      <x:c r="K146" s="207" t="str"/>
      <x:c r="L146" s="207" t="str"/>
      <x:c r="M146" s="207" t="str">
        <x:v>Не рассмотрено</x:v>
      </x:c>
      <x:c r="N146" s="207" t="str"/>
      <x:c r="O146" s="207" t="str">
        <x:v>17</x:v>
      </x:c>
      <x:c r="P146" s="207" t="n">
        <x:v>4</x:v>
      </x:c>
      <x:c r="Q146" s="208" t="str">
        <x:v>Wave 1 (0–30 дней)</x:v>
      </x:c>
    </x:row>
    <x:row r="147">
      <x:c r="A147" s="206" t="str">
        <x:v>DEC-00143</x:v>
      </x:c>
      <x:c r="B147" s="207" t="str">
        <x:v>Cost version</x:v>
      </x:c>
      <x:c r="C147" s="207" t="str">
        <x:v>0-2475C</x:v>
      </x:c>
      <x:c r="D147" s="207" t="str">
        <x:v>Нет точной полной себестоимости</x:v>
      </x:c>
      <x:c r="E147" s="207" t="str">
        <x:v>Значение отсутствует</x:v>
      </x:c>
      <x:c r="F147" s="207" t="str">
        <x:v>Найти калькуляцию или подтвердить отсутствие</x:v>
      </x:c>
      <x:c r="G147" s="207" t="str">
        <x:v>Финансы + производство</x:v>
      </x:c>
      <x:c r="H147" s="207" t="str">
        <x:v>Критический</x:v>
      </x:c>
      <x:c r="I147" s="207" t="str">
        <x:v>Маржа SKU/коллекции/заказа</x:v>
      </x:c>
      <x:c r="J147" s="207" t="str"/>
      <x:c r="K147" s="207" t="str"/>
      <x:c r="L147" s="207" t="str"/>
      <x:c r="M147" s="207" t="str">
        <x:v>Не рассмотрено</x:v>
      </x:c>
      <x:c r="N147" s="207" t="str"/>
      <x:c r="O147" s="207" t="str">
        <x:v>17</x:v>
      </x:c>
      <x:c r="P147" s="207" t="n">
        <x:v>4</x:v>
      </x:c>
      <x:c r="Q147" s="208" t="str">
        <x:v>Wave 1 (0–30 дней)</x:v>
      </x:c>
    </x:row>
    <x:row r="148">
      <x:c r="A148" s="206" t="str">
        <x:v>DEC-00144</x:v>
      </x:c>
      <x:c r="B148" s="207" t="str">
        <x:v>Cost version</x:v>
      </x:c>
      <x:c r="C148" s="207" t="str">
        <x:v>0-2477A</x:v>
      </x:c>
      <x:c r="D148" s="207" t="str">
        <x:v>Нет точной полной себестоимости</x:v>
      </x:c>
      <x:c r="E148" s="207" t="str">
        <x:v>Значение отсутствует</x:v>
      </x:c>
      <x:c r="F148" s="207" t="str">
        <x:v>Найти калькуляцию или подтвердить отсутствие</x:v>
      </x:c>
      <x:c r="G148" s="207" t="str">
        <x:v>Финансы + производство</x:v>
      </x:c>
      <x:c r="H148" s="207" t="str">
        <x:v>Критический</x:v>
      </x:c>
      <x:c r="I148" s="207" t="str">
        <x:v>Маржа SKU/коллекции/заказа</x:v>
      </x:c>
      <x:c r="J148" s="207" t="str"/>
      <x:c r="K148" s="207" t="str"/>
      <x:c r="L148" s="207" t="str"/>
      <x:c r="M148" s="207" t="str">
        <x:v>Не рассмотрено</x:v>
      </x:c>
      <x:c r="N148" s="207" t="str"/>
      <x:c r="O148" s="207" t="str">
        <x:v>17</x:v>
      </x:c>
      <x:c r="P148" s="207" t="n">
        <x:v>4</x:v>
      </x:c>
      <x:c r="Q148" s="208" t="str">
        <x:v>Wave 1 (0–30 дней)</x:v>
      </x:c>
    </x:row>
    <x:row r="149">
      <x:c r="A149" s="206" t="str">
        <x:v>DEC-00145</x:v>
      </x:c>
      <x:c r="B149" s="207" t="str">
        <x:v>Cost version</x:v>
      </x:c>
      <x:c r="C149" s="207" t="str">
        <x:v>0-2478</x:v>
      </x:c>
      <x:c r="D149" s="207" t="str">
        <x:v>Нет точной полной себестоимости</x:v>
      </x:c>
      <x:c r="E149" s="207" t="str">
        <x:v>Значение отсутствует</x:v>
      </x:c>
      <x:c r="F149" s="207" t="str">
        <x:v>Найти калькуляцию или подтвердить отсутствие</x:v>
      </x:c>
      <x:c r="G149" s="207" t="str">
        <x:v>Финансы + производство</x:v>
      </x:c>
      <x:c r="H149" s="207" t="str">
        <x:v>Критический</x:v>
      </x:c>
      <x:c r="I149" s="207" t="str">
        <x:v>Маржа SKU/коллекции/заказа</x:v>
      </x:c>
      <x:c r="J149" s="207" t="str"/>
      <x:c r="K149" s="207" t="str"/>
      <x:c r="L149" s="207" t="str"/>
      <x:c r="M149" s="207" t="str">
        <x:v>Не рассмотрено</x:v>
      </x:c>
      <x:c r="N149" s="207" t="str"/>
      <x:c r="O149" s="207" t="str">
        <x:v>17</x:v>
      </x:c>
      <x:c r="P149" s="207" t="n">
        <x:v>4</x:v>
      </x:c>
      <x:c r="Q149" s="208" t="str">
        <x:v>Wave 1 (0–30 дней)</x:v>
      </x:c>
    </x:row>
    <x:row r="150">
      <x:c r="A150" s="206" t="str">
        <x:v>DEC-00146</x:v>
      </x:c>
      <x:c r="B150" s="207" t="str">
        <x:v>Cost version</x:v>
      </x:c>
      <x:c r="C150" s="207" t="str">
        <x:v>0-2479A</x:v>
      </x:c>
      <x:c r="D150" s="207" t="str">
        <x:v>Нет точной полной себестоимости</x:v>
      </x:c>
      <x:c r="E150" s="207" t="str">
        <x:v>Значение отсутствует</x:v>
      </x:c>
      <x:c r="F150" s="207" t="str">
        <x:v>Найти калькуляцию или подтвердить отсутствие</x:v>
      </x:c>
      <x:c r="G150" s="207" t="str">
        <x:v>Финансы + производство</x:v>
      </x:c>
      <x:c r="H150" s="207" t="str">
        <x:v>Критический</x:v>
      </x:c>
      <x:c r="I150" s="207" t="str">
        <x:v>Маржа SKU/коллекции/заказа</x:v>
      </x:c>
      <x:c r="J150" s="207" t="str"/>
      <x:c r="K150" s="207" t="str"/>
      <x:c r="L150" s="207" t="str"/>
      <x:c r="M150" s="207" t="str">
        <x:v>Не рассмотрено</x:v>
      </x:c>
      <x:c r="N150" s="207" t="str"/>
      <x:c r="O150" s="207" t="str">
        <x:v>17</x:v>
      </x:c>
      <x:c r="P150" s="207" t="n">
        <x:v>4</x:v>
      </x:c>
      <x:c r="Q150" s="208" t="str">
        <x:v>Wave 1 (0–30 дней)</x:v>
      </x:c>
    </x:row>
    <x:row r="151">
      <x:c r="A151" s="206" t="str">
        <x:v>DEC-00147</x:v>
      </x:c>
      <x:c r="B151" s="207" t="str">
        <x:v>Cost version</x:v>
      </x:c>
      <x:c r="C151" s="207" t="str">
        <x:v>0-2480A</x:v>
      </x:c>
      <x:c r="D151" s="207" t="str">
        <x:v>Нет точной полной себестоимости</x:v>
      </x:c>
      <x:c r="E151" s="207" t="str">
        <x:v>Значение отсутствует</x:v>
      </x:c>
      <x:c r="F151" s="207" t="str">
        <x:v>Найти калькуляцию или подтвердить отсутствие</x:v>
      </x:c>
      <x:c r="G151" s="207" t="str">
        <x:v>Финансы + производство</x:v>
      </x:c>
      <x:c r="H151" s="207" t="str">
        <x:v>Критический</x:v>
      </x:c>
      <x:c r="I151" s="207" t="str">
        <x:v>Маржа SKU/коллекции/заказа</x:v>
      </x:c>
      <x:c r="J151" s="207" t="str"/>
      <x:c r="K151" s="207" t="str"/>
      <x:c r="L151" s="207" t="str"/>
      <x:c r="M151" s="207" t="str">
        <x:v>Не рассмотрено</x:v>
      </x:c>
      <x:c r="N151" s="207" t="str"/>
      <x:c r="O151" s="207" t="str">
        <x:v>17</x:v>
      </x:c>
      <x:c r="P151" s="207" t="n">
        <x:v>4</x:v>
      </x:c>
      <x:c r="Q151" s="208" t="str">
        <x:v>Wave 1 (0–30 дней)</x:v>
      </x:c>
    </x:row>
    <x:row r="152">
      <x:c r="A152" s="206" t="str">
        <x:v>DEC-00148</x:v>
      </x:c>
      <x:c r="B152" s="207" t="str">
        <x:v>Cost version</x:v>
      </x:c>
      <x:c r="C152" s="207" t="str">
        <x:v>0-2481A</x:v>
      </x:c>
      <x:c r="D152" s="207" t="str">
        <x:v>Нет точной полной себестоимости</x:v>
      </x:c>
      <x:c r="E152" s="207" t="str">
        <x:v>Значение отсутствует</x:v>
      </x:c>
      <x:c r="F152" s="207" t="str">
        <x:v>Найти калькуляцию или подтвердить отсутствие</x:v>
      </x:c>
      <x:c r="G152" s="207" t="str">
        <x:v>Финансы + производство</x:v>
      </x:c>
      <x:c r="H152" s="207" t="str">
        <x:v>Критический</x:v>
      </x:c>
      <x:c r="I152" s="207" t="str">
        <x:v>Маржа SKU/коллекции/заказа</x:v>
      </x:c>
      <x:c r="J152" s="207" t="str"/>
      <x:c r="K152" s="207" t="str"/>
      <x:c r="L152" s="207" t="str"/>
      <x:c r="M152" s="207" t="str">
        <x:v>Не рассмотрено</x:v>
      </x:c>
      <x:c r="N152" s="207" t="str"/>
      <x:c r="O152" s="207" t="str">
        <x:v>17</x:v>
      </x:c>
      <x:c r="P152" s="207" t="n">
        <x:v>4</x:v>
      </x:c>
      <x:c r="Q152" s="208" t="str">
        <x:v>Wave 1 (0–30 дней)</x:v>
      </x:c>
    </x:row>
    <x:row r="153">
      <x:c r="A153" s="206" t="str">
        <x:v>DEC-00149</x:v>
      </x:c>
      <x:c r="B153" s="207" t="str">
        <x:v>Cost version</x:v>
      </x:c>
      <x:c r="C153" s="207" t="str">
        <x:v>0-2481D</x:v>
      </x:c>
      <x:c r="D153" s="207" t="str">
        <x:v>Нет точной полной себестоимости</x:v>
      </x:c>
      <x:c r="E153" s="207" t="str">
        <x:v>Значение отсутствует</x:v>
      </x:c>
      <x:c r="F153" s="207" t="str">
        <x:v>Найти калькуляцию или подтвердить отсутствие</x:v>
      </x:c>
      <x:c r="G153" s="207" t="str">
        <x:v>Финансы + производство</x:v>
      </x:c>
      <x:c r="H153" s="207" t="str">
        <x:v>Критический</x:v>
      </x:c>
      <x:c r="I153" s="207" t="str">
        <x:v>Маржа SKU/коллекции/заказа</x:v>
      </x:c>
      <x:c r="J153" s="207" t="str"/>
      <x:c r="K153" s="207" t="str"/>
      <x:c r="L153" s="207" t="str"/>
      <x:c r="M153" s="207" t="str">
        <x:v>Не рассмотрено</x:v>
      </x:c>
      <x:c r="N153" s="207" t="str"/>
      <x:c r="O153" s="207" t="str">
        <x:v>17</x:v>
      </x:c>
      <x:c r="P153" s="207" t="n">
        <x:v>4</x:v>
      </x:c>
      <x:c r="Q153" s="208" t="str">
        <x:v>Wave 1 (0–30 дней)</x:v>
      </x:c>
    </x:row>
    <x:row r="154">
      <x:c r="A154" s="206" t="str">
        <x:v>DEC-00150</x:v>
      </x:c>
      <x:c r="B154" s="207" t="str">
        <x:v>Cost version</x:v>
      </x:c>
      <x:c r="C154" s="207" t="str">
        <x:v>0-2482A</x:v>
      </x:c>
      <x:c r="D154" s="207" t="str">
        <x:v>Нет точной полной себестоимости</x:v>
      </x:c>
      <x:c r="E154" s="207" t="str">
        <x:v>Значение отсутствует</x:v>
      </x:c>
      <x:c r="F154" s="207" t="str">
        <x:v>Найти калькуляцию или подтвердить отсутствие</x:v>
      </x:c>
      <x:c r="G154" s="207" t="str">
        <x:v>Финансы + производство</x:v>
      </x:c>
      <x:c r="H154" s="207" t="str">
        <x:v>Критический</x:v>
      </x:c>
      <x:c r="I154" s="207" t="str">
        <x:v>Маржа SKU/коллекции/заказа</x:v>
      </x:c>
      <x:c r="J154" s="207" t="str"/>
      <x:c r="K154" s="207" t="str"/>
      <x:c r="L154" s="207" t="str"/>
      <x:c r="M154" s="207" t="str">
        <x:v>Не рассмотрено</x:v>
      </x:c>
      <x:c r="N154" s="207" t="str"/>
      <x:c r="O154" s="207" t="str">
        <x:v>17</x:v>
      </x:c>
      <x:c r="P154" s="207" t="n">
        <x:v>4</x:v>
      </x:c>
      <x:c r="Q154" s="208" t="str">
        <x:v>Wave 1 (0–30 дней)</x:v>
      </x:c>
    </x:row>
    <x:row r="155">
      <x:c r="A155" s="206" t="str">
        <x:v>DEC-00151</x:v>
      </x:c>
      <x:c r="B155" s="207" t="str">
        <x:v>Cost version</x:v>
      </x:c>
      <x:c r="C155" s="207" t="str">
        <x:v>0-2487A</x:v>
      </x:c>
      <x:c r="D155" s="207" t="str">
        <x:v>Нет точной полной себестоимости</x:v>
      </x:c>
      <x:c r="E155" s="207" t="str">
        <x:v>Значение отсутствует</x:v>
      </x:c>
      <x:c r="F155" s="207" t="str">
        <x:v>Найти калькуляцию или подтвердить отсутствие</x:v>
      </x:c>
      <x:c r="G155" s="207" t="str">
        <x:v>Финансы + производство</x:v>
      </x:c>
      <x:c r="H155" s="207" t="str">
        <x:v>Критический</x:v>
      </x:c>
      <x:c r="I155" s="207" t="str">
        <x:v>Маржа SKU/коллекции/заказа</x:v>
      </x:c>
      <x:c r="J155" s="207" t="str"/>
      <x:c r="K155" s="207" t="str"/>
      <x:c r="L155" s="207" t="str"/>
      <x:c r="M155" s="207" t="str">
        <x:v>Не рассмотрено</x:v>
      </x:c>
      <x:c r="N155" s="207" t="str"/>
      <x:c r="O155" s="207" t="str">
        <x:v>17</x:v>
      </x:c>
      <x:c r="P155" s="207" t="n">
        <x:v>4</x:v>
      </x:c>
      <x:c r="Q155" s="208" t="str">
        <x:v>Wave 1 (0–30 дней)</x:v>
      </x:c>
    </x:row>
    <x:row r="156">
      <x:c r="A156" s="206" t="str">
        <x:v>DEC-00152</x:v>
      </x:c>
      <x:c r="B156" s="207" t="str">
        <x:v>Cost version</x:v>
      </x:c>
      <x:c r="C156" s="207" t="str">
        <x:v>0-2487B</x:v>
      </x:c>
      <x:c r="D156" s="207" t="str">
        <x:v>Нет точной полной себестоимости</x:v>
      </x:c>
      <x:c r="E156" s="207" t="str">
        <x:v>Значение отсутствует</x:v>
      </x:c>
      <x:c r="F156" s="207" t="str">
        <x:v>Найти калькуляцию или подтвердить отсутствие</x:v>
      </x:c>
      <x:c r="G156" s="207" t="str">
        <x:v>Финансы + производство</x:v>
      </x:c>
      <x:c r="H156" s="207" t="str">
        <x:v>Критический</x:v>
      </x:c>
      <x:c r="I156" s="207" t="str">
        <x:v>Маржа SKU/коллекции/заказа</x:v>
      </x:c>
      <x:c r="J156" s="207" t="str"/>
      <x:c r="K156" s="207" t="str"/>
      <x:c r="L156" s="207" t="str"/>
      <x:c r="M156" s="207" t="str">
        <x:v>Не рассмотрено</x:v>
      </x:c>
      <x:c r="N156" s="207" t="str"/>
      <x:c r="O156" s="207" t="str">
        <x:v>17</x:v>
      </x:c>
      <x:c r="P156" s="207" t="n">
        <x:v>4</x:v>
      </x:c>
      <x:c r="Q156" s="208" t="str">
        <x:v>Wave 1 (0–30 дней)</x:v>
      </x:c>
    </x:row>
    <x:row r="157">
      <x:c r="A157" s="206" t="str">
        <x:v>DEC-00153</x:v>
      </x:c>
      <x:c r="B157" s="207" t="str">
        <x:v>Cost version</x:v>
      </x:c>
      <x:c r="C157" s="207" t="str">
        <x:v>0-2490</x:v>
      </x:c>
      <x:c r="D157" s="207" t="str">
        <x:v>Нет точной полной себестоимости</x:v>
      </x:c>
      <x:c r="E157" s="207" t="str">
        <x:v>Значение отсутствует</x:v>
      </x:c>
      <x:c r="F157" s="207" t="str">
        <x:v>Найти калькуляцию или подтвердить отсутствие</x:v>
      </x:c>
      <x:c r="G157" s="207" t="str">
        <x:v>Финансы + производство</x:v>
      </x:c>
      <x:c r="H157" s="207" t="str">
        <x:v>Критический</x:v>
      </x:c>
      <x:c r="I157" s="207" t="str">
        <x:v>Маржа SKU/коллекции/заказа</x:v>
      </x:c>
      <x:c r="J157" s="207" t="str"/>
      <x:c r="K157" s="207" t="str"/>
      <x:c r="L157" s="207" t="str"/>
      <x:c r="M157" s="207" t="str">
        <x:v>Не рассмотрено</x:v>
      </x:c>
      <x:c r="N157" s="207" t="str"/>
      <x:c r="O157" s="207" t="str">
        <x:v>17</x:v>
      </x:c>
      <x:c r="P157" s="207" t="n">
        <x:v>4</x:v>
      </x:c>
      <x:c r="Q157" s="208" t="str">
        <x:v>Wave 1 (0–30 дней)</x:v>
      </x:c>
    </x:row>
    <x:row r="158">
      <x:c r="A158" s="206" t="str">
        <x:v>DEC-00154</x:v>
      </x:c>
      <x:c r="B158" s="207" t="str">
        <x:v>Cost version</x:v>
      </x:c>
      <x:c r="C158" s="207" t="str">
        <x:v>0-2491</x:v>
      </x:c>
      <x:c r="D158" s="207" t="str">
        <x:v>Нет точной полной себестоимости</x:v>
      </x:c>
      <x:c r="E158" s="207" t="str">
        <x:v>Значение отсутствует</x:v>
      </x:c>
      <x:c r="F158" s="207" t="str">
        <x:v>Найти калькуляцию или подтвердить отсутствие</x:v>
      </x:c>
      <x:c r="G158" s="207" t="str">
        <x:v>Финансы + производство</x:v>
      </x:c>
      <x:c r="H158" s="207" t="str">
        <x:v>Критический</x:v>
      </x:c>
      <x:c r="I158" s="207" t="str">
        <x:v>Маржа SKU/коллекции/заказа</x:v>
      </x:c>
      <x:c r="J158" s="207" t="str"/>
      <x:c r="K158" s="207" t="str"/>
      <x:c r="L158" s="207" t="str"/>
      <x:c r="M158" s="207" t="str">
        <x:v>Не рассмотрено</x:v>
      </x:c>
      <x:c r="N158" s="207" t="str"/>
      <x:c r="O158" s="207" t="str">
        <x:v>17</x:v>
      </x:c>
      <x:c r="P158" s="207" t="n">
        <x:v>4</x:v>
      </x:c>
      <x:c r="Q158" s="208" t="str">
        <x:v>Wave 1 (0–30 дней)</x:v>
      </x:c>
    </x:row>
    <x:row r="159">
      <x:c r="A159" s="206" t="str">
        <x:v>DEC-00155</x:v>
      </x:c>
      <x:c r="B159" s="207" t="str">
        <x:v>Cost version</x:v>
      </x:c>
      <x:c r="C159" s="207" t="str">
        <x:v>0-2492</x:v>
      </x:c>
      <x:c r="D159" s="207" t="str">
        <x:v>Нет точной полной себестоимости</x:v>
      </x:c>
      <x:c r="E159" s="207" t="str">
        <x:v>Значение отсутствует</x:v>
      </x:c>
      <x:c r="F159" s="207" t="str">
        <x:v>Найти калькуляцию или подтвердить отсутствие</x:v>
      </x:c>
      <x:c r="G159" s="207" t="str">
        <x:v>Финансы + производство</x:v>
      </x:c>
      <x:c r="H159" s="207" t="str">
        <x:v>Критический</x:v>
      </x:c>
      <x:c r="I159" s="207" t="str">
        <x:v>Маржа SKU/коллекции/заказа</x:v>
      </x:c>
      <x:c r="J159" s="207" t="str"/>
      <x:c r="K159" s="207" t="str"/>
      <x:c r="L159" s="207" t="str"/>
      <x:c r="M159" s="207" t="str">
        <x:v>Не рассмотрено</x:v>
      </x:c>
      <x:c r="N159" s="207" t="str"/>
      <x:c r="O159" s="207" t="str">
        <x:v>17</x:v>
      </x:c>
      <x:c r="P159" s="207" t="n">
        <x:v>4</x:v>
      </x:c>
      <x:c r="Q159" s="208" t="str">
        <x:v>Wave 1 (0–30 дней)</x:v>
      </x:c>
    </x:row>
    <x:row r="160">
      <x:c r="A160" s="206" t="str">
        <x:v>DEC-00156</x:v>
      </x:c>
      <x:c r="B160" s="207" t="str">
        <x:v>Cost version</x:v>
      </x:c>
      <x:c r="C160" s="207" t="str">
        <x:v>0-2499</x:v>
      </x:c>
      <x:c r="D160" s="207" t="str">
        <x:v>Нет точной полной себестоимости</x:v>
      </x:c>
      <x:c r="E160" s="207" t="str">
        <x:v>Значение отсутствует</x:v>
      </x:c>
      <x:c r="F160" s="207" t="str">
        <x:v>Найти калькуляцию или подтвердить отсутствие</x:v>
      </x:c>
      <x:c r="G160" s="207" t="str">
        <x:v>Финансы + производство</x:v>
      </x:c>
      <x:c r="H160" s="207" t="str">
        <x:v>Критический</x:v>
      </x:c>
      <x:c r="I160" s="207" t="str">
        <x:v>Маржа SKU/коллекции/заказа</x:v>
      </x:c>
      <x:c r="J160" s="207" t="str"/>
      <x:c r="K160" s="207" t="str"/>
      <x:c r="L160" s="207" t="str"/>
      <x:c r="M160" s="207" t="str">
        <x:v>Не рассмотрено</x:v>
      </x:c>
      <x:c r="N160" s="207" t="str"/>
      <x:c r="O160" s="207" t="str">
        <x:v>17</x:v>
      </x:c>
      <x:c r="P160" s="207" t="n">
        <x:v>4</x:v>
      </x:c>
      <x:c r="Q160" s="208" t="str">
        <x:v>Wave 1 (0–30 дней)</x:v>
      </x:c>
    </x:row>
    <x:row r="161">
      <x:c r="A161" s="206" t="str">
        <x:v>DEC-00157</x:v>
      </x:c>
      <x:c r="B161" s="207" t="str">
        <x:v>Cost version</x:v>
      </x:c>
      <x:c r="C161" s="207" t="str">
        <x:v>0-2590</x:v>
      </x:c>
      <x:c r="D161" s="207" t="str">
        <x:v>Нет точной полной себестоимости</x:v>
      </x:c>
      <x:c r="E161" s="207" t="str">
        <x:v>Значение отсутствует</x:v>
      </x:c>
      <x:c r="F161" s="207" t="str">
        <x:v>Найти калькуляцию или подтвердить отсутствие</x:v>
      </x:c>
      <x:c r="G161" s="207" t="str">
        <x:v>Финансы + производство</x:v>
      </x:c>
      <x:c r="H161" s="207" t="str">
        <x:v>Критический</x:v>
      </x:c>
      <x:c r="I161" s="207" t="str">
        <x:v>Маржа SKU/коллекции/заказа</x:v>
      </x:c>
      <x:c r="J161" s="207" t="str"/>
      <x:c r="K161" s="207" t="str"/>
      <x:c r="L161" s="207" t="str"/>
      <x:c r="M161" s="207" t="str">
        <x:v>Не рассмотрено</x:v>
      </x:c>
      <x:c r="N161" s="207" t="str"/>
      <x:c r="O161" s="207" t="str">
        <x:v>17</x:v>
      </x:c>
      <x:c r="P161" s="207" t="n">
        <x:v>4</x:v>
      </x:c>
      <x:c r="Q161" s="208" t="str">
        <x:v>Wave 1 (0–30 дней)</x:v>
      </x:c>
    </x:row>
    <x:row r="162">
      <x:c r="A162" s="206" t="str">
        <x:v>DEC-00158</x:v>
      </x:c>
      <x:c r="B162" s="207" t="str">
        <x:v>Cost version</x:v>
      </x:c>
      <x:c r="C162" s="207" t="str">
        <x:v>0-2592/1</x:v>
      </x:c>
      <x:c r="D162" s="207" t="str">
        <x:v>Нет точной полной себестоимости</x:v>
      </x:c>
      <x:c r="E162" s="207" t="str">
        <x:v>Значение отсутствует</x:v>
      </x:c>
      <x:c r="F162" s="207" t="str">
        <x:v>Найти калькуляцию или подтвердить отсутствие</x:v>
      </x:c>
      <x:c r="G162" s="207" t="str">
        <x:v>Финансы + производство</x:v>
      </x:c>
      <x:c r="H162" s="207" t="str">
        <x:v>Критический</x:v>
      </x:c>
      <x:c r="I162" s="207" t="str">
        <x:v>Маржа SKU/коллекции/заказа</x:v>
      </x:c>
      <x:c r="J162" s="207" t="str"/>
      <x:c r="K162" s="207" t="str"/>
      <x:c r="L162" s="207" t="str"/>
      <x:c r="M162" s="207" t="str">
        <x:v>Не рассмотрено</x:v>
      </x:c>
      <x:c r="N162" s="207" t="str"/>
      <x:c r="O162" s="207" t="str">
        <x:v>17</x:v>
      </x:c>
      <x:c r="P162" s="207" t="n">
        <x:v>4</x:v>
      </x:c>
      <x:c r="Q162" s="208" t="str">
        <x:v>Wave 1 (0–30 дней)</x:v>
      </x:c>
    </x:row>
    <x:row r="163">
      <x:c r="A163" s="206" t="str">
        <x:v>DEC-00159</x:v>
      </x:c>
      <x:c r="B163" s="207" t="str">
        <x:v>Cost version</x:v>
      </x:c>
      <x:c r="C163" s="207" t="str">
        <x:v>0-2592/4</x:v>
      </x:c>
      <x:c r="D163" s="207" t="str">
        <x:v>Нет точной полной себестоимости</x:v>
      </x:c>
      <x:c r="E163" s="207" t="str">
        <x:v>Значение отсутствует</x:v>
      </x:c>
      <x:c r="F163" s="207" t="str">
        <x:v>Найти калькуляцию или подтвердить отсутствие</x:v>
      </x:c>
      <x:c r="G163" s="207" t="str">
        <x:v>Финансы + производство</x:v>
      </x:c>
      <x:c r="H163" s="207" t="str">
        <x:v>Критический</x:v>
      </x:c>
      <x:c r="I163" s="207" t="str">
        <x:v>Маржа SKU/коллекции/заказа</x:v>
      </x:c>
      <x:c r="J163" s="207" t="str"/>
      <x:c r="K163" s="207" t="str"/>
      <x:c r="L163" s="207" t="str"/>
      <x:c r="M163" s="207" t="str">
        <x:v>Не рассмотрено</x:v>
      </x:c>
      <x:c r="N163" s="207" t="str"/>
      <x:c r="O163" s="207" t="str">
        <x:v>17</x:v>
      </x:c>
      <x:c r="P163" s="207" t="n">
        <x:v>4</x:v>
      </x:c>
      <x:c r="Q163" s="208" t="str">
        <x:v>Wave 1 (0–30 дней)</x:v>
      </x:c>
    </x:row>
    <x:row r="164">
      <x:c r="A164" s="206" t="str">
        <x:v>DEC-00160</x:v>
      </x:c>
      <x:c r="B164" s="207" t="str">
        <x:v>Cost version</x:v>
      </x:c>
      <x:c r="C164" s="207" t="str">
        <x:v>0-2593/2</x:v>
      </x:c>
      <x:c r="D164" s="207" t="str">
        <x:v>Нет точной полной себестоимости</x:v>
      </x:c>
      <x:c r="E164" s="207" t="str">
        <x:v>Значение отсутствует</x:v>
      </x:c>
      <x:c r="F164" s="207" t="str">
        <x:v>Найти калькуляцию или подтвердить отсутствие</x:v>
      </x:c>
      <x:c r="G164" s="207" t="str">
        <x:v>Финансы + производство</x:v>
      </x:c>
      <x:c r="H164" s="207" t="str">
        <x:v>Критический</x:v>
      </x:c>
      <x:c r="I164" s="207" t="str">
        <x:v>Маржа SKU/коллекции/заказа</x:v>
      </x:c>
      <x:c r="J164" s="207" t="str"/>
      <x:c r="K164" s="207" t="str"/>
      <x:c r="L164" s="207" t="str"/>
      <x:c r="M164" s="207" t="str">
        <x:v>Не рассмотрено</x:v>
      </x:c>
      <x:c r="N164" s="207" t="str"/>
      <x:c r="O164" s="207" t="str">
        <x:v>17</x:v>
      </x:c>
      <x:c r="P164" s="207" t="n">
        <x:v>4</x:v>
      </x:c>
      <x:c r="Q164" s="208" t="str">
        <x:v>Wave 1 (0–30 дней)</x:v>
      </x:c>
    </x:row>
    <x:row r="165">
      <x:c r="A165" s="206" t="str">
        <x:v>DEC-00161</x:v>
      </x:c>
      <x:c r="B165" s="207" t="str">
        <x:v>Cost version</x:v>
      </x:c>
      <x:c r="C165" s="207" t="str">
        <x:v>0-2594</x:v>
      </x:c>
      <x:c r="D165" s="207" t="str">
        <x:v>Нет точной полной себестоимости</x:v>
      </x:c>
      <x:c r="E165" s="207" t="str">
        <x:v>Значение отсутствует</x:v>
      </x:c>
      <x:c r="F165" s="207" t="str">
        <x:v>Найти калькуляцию или подтвердить отсутствие</x:v>
      </x:c>
      <x:c r="G165" s="207" t="str">
        <x:v>Финансы + производство</x:v>
      </x:c>
      <x:c r="H165" s="207" t="str">
        <x:v>Критический</x:v>
      </x:c>
      <x:c r="I165" s="207" t="str">
        <x:v>Маржа SKU/коллекции/заказа</x:v>
      </x:c>
      <x:c r="J165" s="207" t="str"/>
      <x:c r="K165" s="207" t="str"/>
      <x:c r="L165" s="207" t="str"/>
      <x:c r="M165" s="207" t="str">
        <x:v>Не рассмотрено</x:v>
      </x:c>
      <x:c r="N165" s="207" t="str"/>
      <x:c r="O165" s="207" t="str">
        <x:v>17</x:v>
      </x:c>
      <x:c r="P165" s="207" t="n">
        <x:v>4</x:v>
      </x:c>
      <x:c r="Q165" s="208" t="str">
        <x:v>Wave 1 (0–30 дней)</x:v>
      </x:c>
    </x:row>
    <x:row r="166">
      <x:c r="A166" s="206" t="str">
        <x:v>DEC-00162</x:v>
      </x:c>
      <x:c r="B166" s="207" t="str">
        <x:v>Cost version</x:v>
      </x:c>
      <x:c r="C166" s="207" t="str">
        <x:v>0-2595</x:v>
      </x:c>
      <x:c r="D166" s="207" t="str">
        <x:v>Нет точной полной себестоимости</x:v>
      </x:c>
      <x:c r="E166" s="207" t="str">
        <x:v>Значение отсутствует</x:v>
      </x:c>
      <x:c r="F166" s="207" t="str">
        <x:v>Найти калькуляцию или подтвердить отсутствие</x:v>
      </x:c>
      <x:c r="G166" s="207" t="str">
        <x:v>Финансы + производство</x:v>
      </x:c>
      <x:c r="H166" s="207" t="str">
        <x:v>Критический</x:v>
      </x:c>
      <x:c r="I166" s="207" t="str">
        <x:v>Маржа SKU/коллекции/заказа</x:v>
      </x:c>
      <x:c r="J166" s="207" t="str"/>
      <x:c r="K166" s="207" t="str"/>
      <x:c r="L166" s="207" t="str"/>
      <x:c r="M166" s="207" t="str">
        <x:v>Не рассмотрено</x:v>
      </x:c>
      <x:c r="N166" s="207" t="str"/>
      <x:c r="O166" s="207" t="str">
        <x:v>17</x:v>
      </x:c>
      <x:c r="P166" s="207" t="n">
        <x:v>4</x:v>
      </x:c>
      <x:c r="Q166" s="208" t="str">
        <x:v>Wave 1 (0–30 дней)</x:v>
      </x:c>
    </x:row>
    <x:row r="167">
      <x:c r="A167" s="206" t="str">
        <x:v>DEC-00163</x:v>
      </x:c>
      <x:c r="B167" s="207" t="str">
        <x:v>Cost version</x:v>
      </x:c>
      <x:c r="C167" s="207" t="str">
        <x:v>0-2596</x:v>
      </x:c>
      <x:c r="D167" s="207" t="str">
        <x:v>Нет точной полной себестоимости</x:v>
      </x:c>
      <x:c r="E167" s="207" t="str">
        <x:v>Значение отсутствует</x:v>
      </x:c>
      <x:c r="F167" s="207" t="str">
        <x:v>Найти калькуляцию или подтвердить отсутствие</x:v>
      </x:c>
      <x:c r="G167" s="207" t="str">
        <x:v>Финансы + производство</x:v>
      </x:c>
      <x:c r="H167" s="207" t="str">
        <x:v>Критический</x:v>
      </x:c>
      <x:c r="I167" s="207" t="str">
        <x:v>Маржа SKU/коллекции/заказа</x:v>
      </x:c>
      <x:c r="J167" s="207" t="str"/>
      <x:c r="K167" s="207" t="str"/>
      <x:c r="L167" s="207" t="str"/>
      <x:c r="M167" s="207" t="str">
        <x:v>Не рассмотрено</x:v>
      </x:c>
      <x:c r="N167" s="207" t="str"/>
      <x:c r="O167" s="207" t="str">
        <x:v>17</x:v>
      </x:c>
      <x:c r="P167" s="207" t="n">
        <x:v>4</x:v>
      </x:c>
      <x:c r="Q167" s="208" t="str">
        <x:v>Wave 1 (0–30 дней)</x:v>
      </x:c>
    </x:row>
    <x:row r="168">
      <x:c r="A168" s="206" t="str">
        <x:v>DEC-00164</x:v>
      </x:c>
      <x:c r="B168" s="207" t="str">
        <x:v>Cost version</x:v>
      </x:c>
      <x:c r="C168" s="207" t="str">
        <x:v>0-2597</x:v>
      </x:c>
      <x:c r="D168" s="207" t="str">
        <x:v>Нет точной полной себестоимости</x:v>
      </x:c>
      <x:c r="E168" s="207" t="str">
        <x:v>Значение отсутствует</x:v>
      </x:c>
      <x:c r="F168" s="207" t="str">
        <x:v>Найти калькуляцию или подтвердить отсутствие</x:v>
      </x:c>
      <x:c r="G168" s="207" t="str">
        <x:v>Финансы + производство</x:v>
      </x:c>
      <x:c r="H168" s="207" t="str">
        <x:v>Критический</x:v>
      </x:c>
      <x:c r="I168" s="207" t="str">
        <x:v>Маржа SKU/коллекции/заказа</x:v>
      </x:c>
      <x:c r="J168" s="207" t="str"/>
      <x:c r="K168" s="207" t="str"/>
      <x:c r="L168" s="207" t="str"/>
      <x:c r="M168" s="207" t="str">
        <x:v>Не рассмотрено</x:v>
      </x:c>
      <x:c r="N168" s="207" t="str"/>
      <x:c r="O168" s="207" t="str">
        <x:v>17</x:v>
      </x:c>
      <x:c r="P168" s="207" t="n">
        <x:v>4</x:v>
      </x:c>
      <x:c r="Q168" s="208" t="str">
        <x:v>Wave 1 (0–30 дней)</x:v>
      </x:c>
    </x:row>
    <x:row r="169">
      <x:c r="A169" s="206" t="str">
        <x:v>DEC-00165</x:v>
      </x:c>
      <x:c r="B169" s="207" t="str">
        <x:v>Cost version</x:v>
      </x:c>
      <x:c r="C169" s="207" t="str">
        <x:v>0-2598</x:v>
      </x:c>
      <x:c r="D169" s="207" t="str">
        <x:v>Нет точной полной себестоимости</x:v>
      </x:c>
      <x:c r="E169" s="207" t="str">
        <x:v>Значение отсутствует</x:v>
      </x:c>
      <x:c r="F169" s="207" t="str">
        <x:v>Найти калькуляцию или подтвердить отсутствие</x:v>
      </x:c>
      <x:c r="G169" s="207" t="str">
        <x:v>Финансы + производство</x:v>
      </x:c>
      <x:c r="H169" s="207" t="str">
        <x:v>Критический</x:v>
      </x:c>
      <x:c r="I169" s="207" t="str">
        <x:v>Маржа SKU/коллекции/заказа</x:v>
      </x:c>
      <x:c r="J169" s="207" t="str"/>
      <x:c r="K169" s="207" t="str"/>
      <x:c r="L169" s="207" t="str"/>
      <x:c r="M169" s="207" t="str">
        <x:v>Не рассмотрено</x:v>
      </x:c>
      <x:c r="N169" s="207" t="str"/>
      <x:c r="O169" s="207" t="str">
        <x:v>17</x:v>
      </x:c>
      <x:c r="P169" s="207" t="n">
        <x:v>4</x:v>
      </x:c>
      <x:c r="Q169" s="208" t="str">
        <x:v>Wave 1 (0–30 дней)</x:v>
      </x:c>
    </x:row>
    <x:row r="170">
      <x:c r="A170" s="206" t="str">
        <x:v>DEC-00166</x:v>
      </x:c>
      <x:c r="B170" s="207" t="str">
        <x:v>Cost version</x:v>
      </x:c>
      <x:c r="C170" s="207" t="str">
        <x:v>0-2599</x:v>
      </x:c>
      <x:c r="D170" s="207" t="str">
        <x:v>Нет точной полной себестоимости</x:v>
      </x:c>
      <x:c r="E170" s="207" t="str">
        <x:v>Значение отсутствует</x:v>
      </x:c>
      <x:c r="F170" s="207" t="str">
        <x:v>Найти калькуляцию или подтвердить отсутствие</x:v>
      </x:c>
      <x:c r="G170" s="207" t="str">
        <x:v>Финансы + производство</x:v>
      </x:c>
      <x:c r="H170" s="207" t="str">
        <x:v>Критический</x:v>
      </x:c>
      <x:c r="I170" s="207" t="str">
        <x:v>Маржа SKU/коллекции/заказа</x:v>
      </x:c>
      <x:c r="J170" s="207" t="str"/>
      <x:c r="K170" s="207" t="str"/>
      <x:c r="L170" s="207" t="str"/>
      <x:c r="M170" s="207" t="str">
        <x:v>Не рассмотрено</x:v>
      </x:c>
      <x:c r="N170" s="207" t="str"/>
      <x:c r="O170" s="207" t="str">
        <x:v>17</x:v>
      </x:c>
      <x:c r="P170" s="207" t="n">
        <x:v>4</x:v>
      </x:c>
      <x:c r="Q170" s="208" t="str">
        <x:v>Wave 1 (0–30 дней)</x:v>
      </x:c>
    </x:row>
    <x:row r="171">
      <x:c r="A171" s="206" t="str">
        <x:v>DEC-00167</x:v>
      </x:c>
      <x:c r="B171" s="207" t="str">
        <x:v>Cost version</x:v>
      </x:c>
      <x:c r="C171" s="207" t="str">
        <x:v>0-2600</x:v>
      </x:c>
      <x:c r="D171" s="207" t="str">
        <x:v>Неоднозначно: несколько значений</x:v>
      </x:c>
      <x:c r="E171" s="207" t="str">
        <x:v>4220.00; 4834.73; 5832.00; 5932.00; 6332.00</x:v>
      </x:c>
      <x:c r="F171" s="207" t="str">
        <x:v>Выбрать правильную версию после проверки модели/партии/периода</x:v>
      </x:c>
      <x:c r="G171" s="207" t="str">
        <x:v>Финансы + производство</x:v>
      </x:c>
      <x:c r="H171" s="207" t="str">
        <x:v>Высокий</x:v>
      </x:c>
      <x:c r="I171" s="207" t="str">
        <x:v>Маржа SKU/коллекции/заказа</x:v>
      </x:c>
      <x:c r="J171" s="207" t="str">
        <x:v>Себестоимость Меркушина.xlsx / ИМ / строка 167 / 4220.00 / ; Себестоимость Меркушина.xlsx / ИМ / строка 677 / 4834.73 / ; Себестоимость Жукова.xlsx / 2025 / строка 124 / 6332.00 / ИМ ЗАКАЗ; Себестоимость Жукова.xlsx / 2025 / строка 741 / 5932.00 / ИМ ЗАКАЗ; Себестоимость Жукова.xlsx / 2024 / строка 588 / 5832.00 / ИМ ЗАКАЗ; Себестоимость Жукова.xlsx / 2024 / строка 596 / 5832.00 / ИМ ЗАКАЗ</x:v>
      </x:c>
      <x:c r="K171" s="207" t="str"/>
      <x:c r="L171" s="207" t="str"/>
      <x:c r="M171" s="207" t="str">
        <x:v>Не рассмотрено</x:v>
      </x:c>
      <x:c r="N171" s="207" t="str"/>
      <x:c r="O171" s="207" t="str">
        <x:v>17</x:v>
      </x:c>
      <x:c r="P171" s="207" t="n">
        <x:v>3</x:v>
      </x:c>
      <x:c r="Q171" s="208" t="str">
        <x:v>Wave 2 (31–60 дней)</x:v>
      </x:c>
    </x:row>
    <x:row r="172">
      <x:c r="A172" s="206" t="str">
        <x:v>DEC-00168</x:v>
      </x:c>
      <x:c r="B172" s="207" t="str">
        <x:v>Cost version</x:v>
      </x:c>
      <x:c r="C172" s="207" t="str">
        <x:v>0-2604</x:v>
      </x:c>
      <x:c r="D172" s="207" t="str">
        <x:v>Неоднозначно: несколько значений</x:v>
      </x:c>
      <x:c r="E172" s="207" t="str">
        <x:v>2705.00; 5391.00; 5530.00; 5705.00; 21395.00; 37557.00; 37562.00; 41393.00; 43019.00</x:v>
      </x:c>
      <x:c r="F172" s="207" t="str">
        <x:v>Выбрать правильную версию после проверки модели/партии/периода</x:v>
      </x:c>
      <x:c r="G172" s="207" t="str">
        <x:v>Финансы + производство</x:v>
      </x:c>
      <x:c r="H172" s="207" t="str">
        <x:v>Высокий</x:v>
      </x:c>
      <x:c r="I172" s="207" t="str">
        <x:v>Маржа SKU/коллекции/заказа</x:v>
      </x:c>
      <x:c r="J172" s="207" t="str">
        <x:v>Себестоимость Жукова.xlsx / 2025 / строка 284 / 5391.00 / ИМ ТИРАЖ; Себестоимость Жукова.xlsx / 2024 / строка 168 / 5530.00 / ИМ ЗАКАЗ; Себестоимость Жукова.xlsx / 2024 / строка 592 / 5705.00 / ИМ ЗАКАЗ; Себестоимость Жукова.xlsx / 2024 / строка 758 / 2705.00 / ИМ ЗАКАЗ; себестоимость Мокеева 2025.xlsx / себестоимость 2025 / строка 518 / 37562.00 / барх стр черн 6-030; себестоимость Мокеева 2025.xlsx / себестоимость 2025 / строка 527 / 37557.00 / стр черн барх 6-030; себестоимость Мокеева 2025.xlsx / себестоимость 2025 / строка 528 / 41393.00 / стр черн барх 6-030; себестоимость Мокеева 2025.xlsx / себестоимость 2025 / строка 590 / 43019.00 / стр черн барх 6-030; себестоимость Мокеева 2025.xlsx / себестоимость 2025 / строка 607 / 21395.00 / стр черн барх 6-030</x:v>
      </x:c>
      <x:c r="K172" s="207" t="str"/>
      <x:c r="L172" s="207" t="str"/>
      <x:c r="M172" s="207" t="str">
        <x:v>Не рассмотрено</x:v>
      </x:c>
      <x:c r="N172" s="207" t="str"/>
      <x:c r="O172" s="207" t="str">
        <x:v>17</x:v>
      </x:c>
      <x:c r="P172" s="207" t="n">
        <x:v>3</x:v>
      </x:c>
      <x:c r="Q172" s="208" t="str">
        <x:v>Wave 2 (31–60 дней)</x:v>
      </x:c>
    </x:row>
    <x:row r="173">
      <x:c r="A173" s="206" t="str">
        <x:v>DEC-00169</x:v>
      </x:c>
      <x:c r="B173" s="207" t="str">
        <x:v>Cost version</x:v>
      </x:c>
      <x:c r="C173" s="207" t="str">
        <x:v>0-2658</x:v>
      </x:c>
      <x:c r="D173" s="207" t="str">
        <x:v>Нет точной полной себестоимости</x:v>
      </x:c>
      <x:c r="E173" s="207" t="str">
        <x:v>Значение отсутствует</x:v>
      </x:c>
      <x:c r="F173" s="207" t="str">
        <x:v>Найти калькуляцию или подтвердить отсутствие</x:v>
      </x:c>
      <x:c r="G173" s="207" t="str">
        <x:v>Финансы + производство</x:v>
      </x:c>
      <x:c r="H173" s="207" t="str">
        <x:v>Критический</x:v>
      </x:c>
      <x:c r="I173" s="207" t="str">
        <x:v>Маржа SKU/коллекции/заказа</x:v>
      </x:c>
      <x:c r="J173" s="207" t="str"/>
      <x:c r="K173" s="207" t="str"/>
      <x:c r="L173" s="207" t="str"/>
      <x:c r="M173" s="207" t="str">
        <x:v>Не рассмотрено</x:v>
      </x:c>
      <x:c r="N173" s="207" t="str"/>
      <x:c r="O173" s="207" t="str">
        <x:v>17</x:v>
      </x:c>
      <x:c r="P173" s="207" t="n">
        <x:v>4</x:v>
      </x:c>
      <x:c r="Q173" s="208" t="str">
        <x:v>Wave 1 (0–30 дней)</x:v>
      </x:c>
    </x:row>
    <x:row r="174">
      <x:c r="A174" s="206" t="str">
        <x:v>DEC-00170</x:v>
      </x:c>
      <x:c r="B174" s="207" t="str">
        <x:v>Cost version</x:v>
      </x:c>
      <x:c r="C174" s="207" t="str">
        <x:v>0-2658A</x:v>
      </x:c>
      <x:c r="D174" s="207" t="str">
        <x:v>Нет точной полной себестоимости</x:v>
      </x:c>
      <x:c r="E174" s="207" t="str">
        <x:v>Значение отсутствует</x:v>
      </x:c>
      <x:c r="F174" s="207" t="str">
        <x:v>Найти калькуляцию или подтвердить отсутствие</x:v>
      </x:c>
      <x:c r="G174" s="207" t="str">
        <x:v>Финансы + производство</x:v>
      </x:c>
      <x:c r="H174" s="207" t="str">
        <x:v>Критический</x:v>
      </x:c>
      <x:c r="I174" s="207" t="str">
        <x:v>Маржа SKU/коллекции/заказа</x:v>
      </x:c>
      <x:c r="J174" s="207" t="str"/>
      <x:c r="K174" s="207" t="str"/>
      <x:c r="L174" s="207" t="str"/>
      <x:c r="M174" s="207" t="str">
        <x:v>Не рассмотрено</x:v>
      </x:c>
      <x:c r="N174" s="207" t="str"/>
      <x:c r="O174" s="207" t="str">
        <x:v>17</x:v>
      </x:c>
      <x:c r="P174" s="207" t="n">
        <x:v>4</x:v>
      </x:c>
      <x:c r="Q174" s="208" t="str">
        <x:v>Wave 1 (0–30 дней)</x:v>
      </x:c>
    </x:row>
    <x:row r="175">
      <x:c r="A175" s="206" t="str">
        <x:v>DEC-00171</x:v>
      </x:c>
      <x:c r="B175" s="207" t="str">
        <x:v>Cost version</x:v>
      </x:c>
      <x:c r="C175" s="207" t="str">
        <x:v>0-2661</x:v>
      </x:c>
      <x:c r="D175" s="207" t="str">
        <x:v>Нет точной полной себестоимости</x:v>
      </x:c>
      <x:c r="E175" s="207" t="str">
        <x:v>Значение отсутствует</x:v>
      </x:c>
      <x:c r="F175" s="207" t="str">
        <x:v>Найти калькуляцию или подтвердить отсутствие</x:v>
      </x:c>
      <x:c r="G175" s="207" t="str">
        <x:v>Финансы + производство</x:v>
      </x:c>
      <x:c r="H175" s="207" t="str">
        <x:v>Критический</x:v>
      </x:c>
      <x:c r="I175" s="207" t="str">
        <x:v>Маржа SKU/коллекции/заказа</x:v>
      </x:c>
      <x:c r="J175" s="207" t="str"/>
      <x:c r="K175" s="207" t="str"/>
      <x:c r="L175" s="207" t="str"/>
      <x:c r="M175" s="207" t="str">
        <x:v>Не рассмотрено</x:v>
      </x:c>
      <x:c r="N175" s="207" t="str"/>
      <x:c r="O175" s="207" t="str">
        <x:v>17</x:v>
      </x:c>
      <x:c r="P175" s="207" t="n">
        <x:v>4</x:v>
      </x:c>
      <x:c r="Q175" s="208" t="str">
        <x:v>Wave 1 (0–30 дней)</x:v>
      </x:c>
    </x:row>
    <x:row r="176">
      <x:c r="A176" s="206" t="str">
        <x:v>DEC-00172</x:v>
      </x:c>
      <x:c r="B176" s="207" t="str">
        <x:v>Cost version</x:v>
      </x:c>
      <x:c r="C176" s="207" t="str">
        <x:v>0-2665</x:v>
      </x:c>
      <x:c r="D176" s="207" t="str">
        <x:v>Нет точной полной себестоимости</x:v>
      </x:c>
      <x:c r="E176" s="207" t="str">
        <x:v>Значение отсутствует</x:v>
      </x:c>
      <x:c r="F176" s="207" t="str">
        <x:v>Найти калькуляцию или подтвердить отсутствие</x:v>
      </x:c>
      <x:c r="G176" s="207" t="str">
        <x:v>Финансы + производство</x:v>
      </x:c>
      <x:c r="H176" s="207" t="str">
        <x:v>Критический</x:v>
      </x:c>
      <x:c r="I176" s="207" t="str">
        <x:v>Маржа SKU/коллекции/заказа</x:v>
      </x:c>
      <x:c r="J176" s="207" t="str"/>
      <x:c r="K176" s="207" t="str"/>
      <x:c r="L176" s="207" t="str"/>
      <x:c r="M176" s="207" t="str">
        <x:v>Не рассмотрено</x:v>
      </x:c>
      <x:c r="N176" s="207" t="str"/>
      <x:c r="O176" s="207" t="str">
        <x:v>17</x:v>
      </x:c>
      <x:c r="P176" s="207" t="n">
        <x:v>4</x:v>
      </x:c>
      <x:c r="Q176" s="208" t="str">
        <x:v>Wave 1 (0–30 дней)</x:v>
      </x:c>
    </x:row>
    <x:row r="177">
      <x:c r="A177" s="206" t="str">
        <x:v>DEC-00173</x:v>
      </x:c>
      <x:c r="B177" s="207" t="str">
        <x:v>Cost version</x:v>
      </x:c>
      <x:c r="C177" s="207" t="str">
        <x:v>0-2666</x:v>
      </x:c>
      <x:c r="D177" s="207" t="str">
        <x:v>Нет точной полной себестоимости</x:v>
      </x:c>
      <x:c r="E177" s="207" t="str">
        <x:v>Значение отсутствует</x:v>
      </x:c>
      <x:c r="F177" s="207" t="str">
        <x:v>Найти калькуляцию или подтвердить отсутствие</x:v>
      </x:c>
      <x:c r="G177" s="207" t="str">
        <x:v>Финансы + производство</x:v>
      </x:c>
      <x:c r="H177" s="207" t="str">
        <x:v>Критический</x:v>
      </x:c>
      <x:c r="I177" s="207" t="str">
        <x:v>Маржа SKU/коллекции/заказа</x:v>
      </x:c>
      <x:c r="J177" s="207" t="str"/>
      <x:c r="K177" s="207" t="str"/>
      <x:c r="L177" s="207" t="str"/>
      <x:c r="M177" s="207" t="str">
        <x:v>Не рассмотрено</x:v>
      </x:c>
      <x:c r="N177" s="207" t="str"/>
      <x:c r="O177" s="207" t="str">
        <x:v>17</x:v>
      </x:c>
      <x:c r="P177" s="207" t="n">
        <x:v>4</x:v>
      </x:c>
      <x:c r="Q177" s="208" t="str">
        <x:v>Wave 1 (0–30 дней)</x:v>
      </x:c>
    </x:row>
    <x:row r="178">
      <x:c r="A178" s="206" t="str">
        <x:v>DEC-00174</x:v>
      </x:c>
      <x:c r="B178" s="207" t="str">
        <x:v>Cost version</x:v>
      </x:c>
      <x:c r="C178" s="207" t="str">
        <x:v>0-2668</x:v>
      </x:c>
      <x:c r="D178" s="207" t="str">
        <x:v>Нет точной полной себестоимости</x:v>
      </x:c>
      <x:c r="E178" s="207" t="str">
        <x:v>Значение отсутствует</x:v>
      </x:c>
      <x:c r="F178" s="207" t="str">
        <x:v>Найти калькуляцию или подтвердить отсутствие</x:v>
      </x:c>
      <x:c r="G178" s="207" t="str">
        <x:v>Финансы + производство</x:v>
      </x:c>
      <x:c r="H178" s="207" t="str">
        <x:v>Критический</x:v>
      </x:c>
      <x:c r="I178" s="207" t="str">
        <x:v>Маржа SKU/коллекции/заказа</x:v>
      </x:c>
      <x:c r="J178" s="207" t="str"/>
      <x:c r="K178" s="207" t="str"/>
      <x:c r="L178" s="207" t="str"/>
      <x:c r="M178" s="207" t="str">
        <x:v>Не рассмотрено</x:v>
      </x:c>
      <x:c r="N178" s="207" t="str"/>
      <x:c r="O178" s="207" t="str">
        <x:v>17</x:v>
      </x:c>
      <x:c r="P178" s="207" t="n">
        <x:v>4</x:v>
      </x:c>
      <x:c r="Q178" s="208" t="str">
        <x:v>Wave 1 (0–30 дней)</x:v>
      </x:c>
    </x:row>
    <x:row r="179">
      <x:c r="A179" s="206" t="str">
        <x:v>DEC-00175</x:v>
      </x:c>
      <x:c r="B179" s="207" t="str">
        <x:v>Cost version</x:v>
      </x:c>
      <x:c r="C179" s="207" t="str">
        <x:v>0-2669A</x:v>
      </x:c>
      <x:c r="D179" s="207" t="str">
        <x:v>Нет точной полной себестоимости</x:v>
      </x:c>
      <x:c r="E179" s="207" t="str">
        <x:v>Значение отсутствует</x:v>
      </x:c>
      <x:c r="F179" s="207" t="str">
        <x:v>Найти калькуляцию или подтвердить отсутствие</x:v>
      </x:c>
      <x:c r="G179" s="207" t="str">
        <x:v>Финансы + производство</x:v>
      </x:c>
      <x:c r="H179" s="207" t="str">
        <x:v>Критический</x:v>
      </x:c>
      <x:c r="I179" s="207" t="str">
        <x:v>Маржа SKU/коллекции/заказа</x:v>
      </x:c>
      <x:c r="J179" s="207" t="str"/>
      <x:c r="K179" s="207" t="str"/>
      <x:c r="L179" s="207" t="str"/>
      <x:c r="M179" s="207" t="str">
        <x:v>Не рассмотрено</x:v>
      </x:c>
      <x:c r="N179" s="207" t="str"/>
      <x:c r="O179" s="207" t="str">
        <x:v>17</x:v>
      </x:c>
      <x:c r="P179" s="207" t="n">
        <x:v>4</x:v>
      </x:c>
      <x:c r="Q179" s="208" t="str">
        <x:v>Wave 1 (0–30 дней)</x:v>
      </x:c>
    </x:row>
    <x:row r="180">
      <x:c r="A180" s="206" t="str">
        <x:v>DEC-00176</x:v>
      </x:c>
      <x:c r="B180" s="207" t="str">
        <x:v>Cost version</x:v>
      </x:c>
      <x:c r="C180" s="207" t="str">
        <x:v>0-2671</x:v>
      </x:c>
      <x:c r="D180" s="207" t="str">
        <x:v>Нет точной полной себестоимости</x:v>
      </x:c>
      <x:c r="E180" s="207" t="str">
        <x:v>Значение отсутствует</x:v>
      </x:c>
      <x:c r="F180" s="207" t="str">
        <x:v>Найти калькуляцию или подтвердить отсутствие</x:v>
      </x:c>
      <x:c r="G180" s="207" t="str">
        <x:v>Финансы + производство</x:v>
      </x:c>
      <x:c r="H180" s="207" t="str">
        <x:v>Критический</x:v>
      </x:c>
      <x:c r="I180" s="207" t="str">
        <x:v>Маржа SKU/коллекции/заказа</x:v>
      </x:c>
      <x:c r="J180" s="207" t="str"/>
      <x:c r="K180" s="207" t="str"/>
      <x:c r="L180" s="207" t="str"/>
      <x:c r="M180" s="207" t="str">
        <x:v>Не рассмотрено</x:v>
      </x:c>
      <x:c r="N180" s="207" t="str"/>
      <x:c r="O180" s="207" t="str">
        <x:v>17</x:v>
      </x:c>
      <x:c r="P180" s="207" t="n">
        <x:v>4</x:v>
      </x:c>
      <x:c r="Q180" s="208" t="str">
        <x:v>Wave 1 (0–30 дней)</x:v>
      </x:c>
    </x:row>
    <x:row r="181">
      <x:c r="A181" s="206" t="str">
        <x:v>DEC-00177</x:v>
      </x:c>
      <x:c r="B181" s="207" t="str">
        <x:v>Cost version</x:v>
      </x:c>
      <x:c r="C181" s="207" t="str">
        <x:v>0-2672</x:v>
      </x:c>
      <x:c r="D181" s="207" t="str">
        <x:v>Нет точной полной себестоимости</x:v>
      </x:c>
      <x:c r="E181" s="207" t="str">
        <x:v>Значение отсутствует</x:v>
      </x:c>
      <x:c r="F181" s="207" t="str">
        <x:v>Найти калькуляцию или подтвердить отсутствие</x:v>
      </x:c>
      <x:c r="G181" s="207" t="str">
        <x:v>Финансы + производство</x:v>
      </x:c>
      <x:c r="H181" s="207" t="str">
        <x:v>Критический</x:v>
      </x:c>
      <x:c r="I181" s="207" t="str">
        <x:v>Маржа SKU/коллекции/заказа</x:v>
      </x:c>
      <x:c r="J181" s="207" t="str"/>
      <x:c r="K181" s="207" t="str"/>
      <x:c r="L181" s="207" t="str"/>
      <x:c r="M181" s="207" t="str">
        <x:v>Не рассмотрено</x:v>
      </x:c>
      <x:c r="N181" s="207" t="str"/>
      <x:c r="O181" s="207" t="str">
        <x:v>17</x:v>
      </x:c>
      <x:c r="P181" s="207" t="n">
        <x:v>4</x:v>
      </x:c>
      <x:c r="Q181" s="208" t="str">
        <x:v>Wave 1 (0–30 дней)</x:v>
      </x:c>
    </x:row>
    <x:row r="182">
      <x:c r="A182" s="206" t="str">
        <x:v>DEC-00178</x:v>
      </x:c>
      <x:c r="B182" s="207" t="str">
        <x:v>Cost version</x:v>
      </x:c>
      <x:c r="C182" s="207" t="str">
        <x:v>0-2673</x:v>
      </x:c>
      <x:c r="D182" s="207" t="str">
        <x:v>Неоднозначно: несколько значений</x:v>
      </x:c>
      <x:c r="E182" s="207" t="str">
        <x:v>16500.39; 18508.00</x:v>
      </x:c>
      <x:c r="F182" s="207" t="str">
        <x:v>Выбрать правильную версию после проверки модели/партии/периода</x:v>
      </x:c>
      <x:c r="G182" s="207" t="str">
        <x:v>Финансы + производство</x:v>
      </x:c>
      <x:c r="H182" s="207" t="str">
        <x:v>Высокий</x:v>
      </x:c>
      <x:c r="I182" s="207" t="str">
        <x:v>Маржа SKU/коллекции/заказа</x:v>
      </x:c>
      <x:c r="J182" s="207" t="str">
        <x:v>Себестоимость Меркушина.xlsx / ИМ / строка 635 / 16500.39 / ; Себестоимость Жукова.xlsx / 2024 / строка 470 / 18508.00 / ИМ</x:v>
      </x:c>
      <x:c r="K182" s="207" t="str"/>
      <x:c r="L182" s="207" t="str"/>
      <x:c r="M182" s="207" t="str">
        <x:v>Не рассмотрено</x:v>
      </x:c>
      <x:c r="N182" s="207" t="str"/>
      <x:c r="O182" s="207" t="str">
        <x:v>17</x:v>
      </x:c>
      <x:c r="P182" s="207" t="n">
        <x:v>3</x:v>
      </x:c>
      <x:c r="Q182" s="208" t="str">
        <x:v>Wave 2 (31–60 дней)</x:v>
      </x:c>
    </x:row>
    <x:row r="183">
      <x:c r="A183" s="206" t="str">
        <x:v>DEC-00179</x:v>
      </x:c>
      <x:c r="B183" s="207" t="str">
        <x:v>Cost version</x:v>
      </x:c>
      <x:c r="C183" s="207" t="str">
        <x:v>0-2674</x:v>
      </x:c>
      <x:c r="D183" s="207" t="str">
        <x:v>Нет точной полной себестоимости</x:v>
      </x:c>
      <x:c r="E183" s="207" t="str">
        <x:v>Значение отсутствует</x:v>
      </x:c>
      <x:c r="F183" s="207" t="str">
        <x:v>Найти калькуляцию или подтвердить отсутствие</x:v>
      </x:c>
      <x:c r="G183" s="207" t="str">
        <x:v>Финансы + производство</x:v>
      </x:c>
      <x:c r="H183" s="207" t="str">
        <x:v>Критический</x:v>
      </x:c>
      <x:c r="I183" s="207" t="str">
        <x:v>Маржа SKU/коллекции/заказа</x:v>
      </x:c>
      <x:c r="J183" s="207" t="str"/>
      <x:c r="K183" s="207" t="str"/>
      <x:c r="L183" s="207" t="str"/>
      <x:c r="M183" s="207" t="str">
        <x:v>Не рассмотрено</x:v>
      </x:c>
      <x:c r="N183" s="207" t="str"/>
      <x:c r="O183" s="207" t="str">
        <x:v>17</x:v>
      </x:c>
      <x:c r="P183" s="207" t="n">
        <x:v>4</x:v>
      </x:c>
      <x:c r="Q183" s="208" t="str">
        <x:v>Wave 1 (0–30 дней)</x:v>
      </x:c>
    </x:row>
    <x:row r="184">
      <x:c r="A184" s="206" t="str">
        <x:v>DEC-00180</x:v>
      </x:c>
      <x:c r="B184" s="207" t="str">
        <x:v>Cost version</x:v>
      </x:c>
      <x:c r="C184" s="207" t="str">
        <x:v>0-2675</x:v>
      </x:c>
      <x:c r="D184" s="207" t="str">
        <x:v>Нет точной полной себестоимости</x:v>
      </x:c>
      <x:c r="E184" s="207" t="str">
        <x:v>Значение отсутствует</x:v>
      </x:c>
      <x:c r="F184" s="207" t="str">
        <x:v>Найти калькуляцию или подтвердить отсутствие</x:v>
      </x:c>
      <x:c r="G184" s="207" t="str">
        <x:v>Финансы + производство</x:v>
      </x:c>
      <x:c r="H184" s="207" t="str">
        <x:v>Критический</x:v>
      </x:c>
      <x:c r="I184" s="207" t="str">
        <x:v>Маржа SKU/коллекции/заказа</x:v>
      </x:c>
      <x:c r="J184" s="207" t="str"/>
      <x:c r="K184" s="207" t="str"/>
      <x:c r="L184" s="207" t="str"/>
      <x:c r="M184" s="207" t="str">
        <x:v>Не рассмотрено</x:v>
      </x:c>
      <x:c r="N184" s="207" t="str"/>
      <x:c r="O184" s="207" t="str">
        <x:v>17</x:v>
      </x:c>
      <x:c r="P184" s="207" t="n">
        <x:v>4</x:v>
      </x:c>
      <x:c r="Q184" s="208" t="str">
        <x:v>Wave 1 (0–30 дней)</x:v>
      </x:c>
    </x:row>
    <x:row r="185">
      <x:c r="A185" s="206" t="str">
        <x:v>DEC-00181</x:v>
      </x:c>
      <x:c r="B185" s="207" t="str">
        <x:v>Cost version</x:v>
      </x:c>
      <x:c r="C185" s="207" t="str">
        <x:v>0-2676</x:v>
      </x:c>
      <x:c r="D185" s="207" t="str">
        <x:v>Нет точной полной себестоимости</x:v>
      </x:c>
      <x:c r="E185" s="207" t="str">
        <x:v>Значение отсутствует</x:v>
      </x:c>
      <x:c r="F185" s="207" t="str">
        <x:v>Найти калькуляцию или подтвердить отсутствие</x:v>
      </x:c>
      <x:c r="G185" s="207" t="str">
        <x:v>Финансы + производство</x:v>
      </x:c>
      <x:c r="H185" s="207" t="str">
        <x:v>Критический</x:v>
      </x:c>
      <x:c r="I185" s="207" t="str">
        <x:v>Маржа SKU/коллекции/заказа</x:v>
      </x:c>
      <x:c r="J185" s="207" t="str"/>
      <x:c r="K185" s="207" t="str"/>
      <x:c r="L185" s="207" t="str"/>
      <x:c r="M185" s="207" t="str">
        <x:v>Не рассмотрено</x:v>
      </x:c>
      <x:c r="N185" s="207" t="str"/>
      <x:c r="O185" s="207" t="str">
        <x:v>17</x:v>
      </x:c>
      <x:c r="P185" s="207" t="n">
        <x:v>4</x:v>
      </x:c>
      <x:c r="Q185" s="208" t="str">
        <x:v>Wave 1 (0–30 дней)</x:v>
      </x:c>
    </x:row>
    <x:row r="186">
      <x:c r="A186" s="206" t="str">
        <x:v>DEC-00182</x:v>
      </x:c>
      <x:c r="B186" s="207" t="str">
        <x:v>Cost version</x:v>
      </x:c>
      <x:c r="C186" s="207" t="str">
        <x:v>0-2683</x:v>
      </x:c>
      <x:c r="D186" s="207" t="str">
        <x:v>Нет точной полной себестоимости</x:v>
      </x:c>
      <x:c r="E186" s="207" t="str">
        <x:v>Значение отсутствует</x:v>
      </x:c>
      <x:c r="F186" s="207" t="str">
        <x:v>Найти калькуляцию или подтвердить отсутствие</x:v>
      </x:c>
      <x:c r="G186" s="207" t="str">
        <x:v>Финансы + производство</x:v>
      </x:c>
      <x:c r="H186" s="207" t="str">
        <x:v>Критический</x:v>
      </x:c>
      <x:c r="I186" s="207" t="str">
        <x:v>Маржа SKU/коллекции/заказа</x:v>
      </x:c>
      <x:c r="J186" s="207" t="str"/>
      <x:c r="K186" s="207" t="str"/>
      <x:c r="L186" s="207" t="str"/>
      <x:c r="M186" s="207" t="str">
        <x:v>Не рассмотрено</x:v>
      </x:c>
      <x:c r="N186" s="207" t="str"/>
      <x:c r="O186" s="207" t="str">
        <x:v>17</x:v>
      </x:c>
      <x:c r="P186" s="207" t="n">
        <x:v>4</x:v>
      </x:c>
      <x:c r="Q186" s="208" t="str">
        <x:v>Wave 1 (0–30 дней)</x:v>
      </x:c>
    </x:row>
    <x:row r="187">
      <x:c r="A187" s="206" t="str">
        <x:v>DEC-00183</x:v>
      </x:c>
      <x:c r="B187" s="207" t="str">
        <x:v>Cost version</x:v>
      </x:c>
      <x:c r="C187" s="207" t="str">
        <x:v>0-2689</x:v>
      </x:c>
      <x:c r="D187" s="207" t="str">
        <x:v>Нет точной полной себестоимости</x:v>
      </x:c>
      <x:c r="E187" s="207" t="str">
        <x:v>Значение отсутствует</x:v>
      </x:c>
      <x:c r="F187" s="207" t="str">
        <x:v>Найти калькуляцию или подтвердить отсутствие</x:v>
      </x:c>
      <x:c r="G187" s="207" t="str">
        <x:v>Финансы + производство</x:v>
      </x:c>
      <x:c r="H187" s="207" t="str">
        <x:v>Критический</x:v>
      </x:c>
      <x:c r="I187" s="207" t="str">
        <x:v>Маржа SKU/коллекции/заказа</x:v>
      </x:c>
      <x:c r="J187" s="207" t="str"/>
      <x:c r="K187" s="207" t="str"/>
      <x:c r="L187" s="207" t="str"/>
      <x:c r="M187" s="207" t="str">
        <x:v>Не рассмотрено</x:v>
      </x:c>
      <x:c r="N187" s="207" t="str"/>
      <x:c r="O187" s="207" t="str">
        <x:v>17</x:v>
      </x:c>
      <x:c r="P187" s="207" t="n">
        <x:v>4</x:v>
      </x:c>
      <x:c r="Q187" s="208" t="str">
        <x:v>Wave 1 (0–30 дней)</x:v>
      </x:c>
    </x:row>
    <x:row r="188">
      <x:c r="A188" s="206" t="str">
        <x:v>DEC-00184</x:v>
      </x:c>
      <x:c r="B188" s="207" t="str">
        <x:v>Cost version</x:v>
      </x:c>
      <x:c r="C188" s="207" t="str">
        <x:v>0-2690</x:v>
      </x:c>
      <x:c r="D188" s="207" t="str">
        <x:v>Нет точной полной себестоимости</x:v>
      </x:c>
      <x:c r="E188" s="207" t="str">
        <x:v>Значение отсутствует</x:v>
      </x:c>
      <x:c r="F188" s="207" t="str">
        <x:v>Найти калькуляцию или подтвердить отсутствие</x:v>
      </x:c>
      <x:c r="G188" s="207" t="str">
        <x:v>Финансы + производство</x:v>
      </x:c>
      <x:c r="H188" s="207" t="str">
        <x:v>Критический</x:v>
      </x:c>
      <x:c r="I188" s="207" t="str">
        <x:v>Маржа SKU/коллекции/заказа</x:v>
      </x:c>
      <x:c r="J188" s="207" t="str"/>
      <x:c r="K188" s="207" t="str"/>
      <x:c r="L188" s="207" t="str"/>
      <x:c r="M188" s="207" t="str">
        <x:v>Не рассмотрено</x:v>
      </x:c>
      <x:c r="N188" s="207" t="str"/>
      <x:c r="O188" s="207" t="str">
        <x:v>17</x:v>
      </x:c>
      <x:c r="P188" s="207" t="n">
        <x:v>4</x:v>
      </x:c>
      <x:c r="Q188" s="208" t="str">
        <x:v>Wave 1 (0–30 дней)</x:v>
      </x:c>
    </x:row>
    <x:row r="189">
      <x:c r="A189" s="206" t="str">
        <x:v>DEC-00185</x:v>
      </x:c>
      <x:c r="B189" s="207" t="str">
        <x:v>Cost version</x:v>
      </x:c>
      <x:c r="C189" s="207" t="str">
        <x:v>0-2691</x:v>
      </x:c>
      <x:c r="D189" s="207" t="str">
        <x:v>Нет точной полной себестоимости</x:v>
      </x:c>
      <x:c r="E189" s="207" t="str">
        <x:v>Значение отсутствует</x:v>
      </x:c>
      <x:c r="F189" s="207" t="str">
        <x:v>Найти калькуляцию или подтвердить отсутствие</x:v>
      </x:c>
      <x:c r="G189" s="207" t="str">
        <x:v>Финансы + производство</x:v>
      </x:c>
      <x:c r="H189" s="207" t="str">
        <x:v>Критический</x:v>
      </x:c>
      <x:c r="I189" s="207" t="str">
        <x:v>Маржа SKU/коллекции/заказа</x:v>
      </x:c>
      <x:c r="J189" s="207" t="str"/>
      <x:c r="K189" s="207" t="str"/>
      <x:c r="L189" s="207" t="str"/>
      <x:c r="M189" s="207" t="str">
        <x:v>Не рассмотрено</x:v>
      </x:c>
      <x:c r="N189" s="207" t="str"/>
      <x:c r="O189" s="207" t="str">
        <x:v>17</x:v>
      </x:c>
      <x:c r="P189" s="207" t="n">
        <x:v>4</x:v>
      </x:c>
      <x:c r="Q189" s="208" t="str">
        <x:v>Wave 1 (0–30 дней)</x:v>
      </x:c>
    </x:row>
    <x:row r="190">
      <x:c r="A190" s="206" t="str">
        <x:v>DEC-00186</x:v>
      </x:c>
      <x:c r="B190" s="207" t="str">
        <x:v>Cost version</x:v>
      </x:c>
      <x:c r="C190" s="207" t="str">
        <x:v>0-2721</x:v>
      </x:c>
      <x:c r="D190" s="207" t="str">
        <x:v>Нет точной полной себестоимости</x:v>
      </x:c>
      <x:c r="E190" s="207" t="str">
        <x:v>Значение отсутствует</x:v>
      </x:c>
      <x:c r="F190" s="207" t="str">
        <x:v>Найти калькуляцию или подтвердить отсутствие</x:v>
      </x:c>
      <x:c r="G190" s="207" t="str">
        <x:v>Финансы + производство</x:v>
      </x:c>
      <x:c r="H190" s="207" t="str">
        <x:v>Критический</x:v>
      </x:c>
      <x:c r="I190" s="207" t="str">
        <x:v>Маржа SKU/коллекции/заказа</x:v>
      </x:c>
      <x:c r="J190" s="207" t="str"/>
      <x:c r="K190" s="207" t="str"/>
      <x:c r="L190" s="207" t="str"/>
      <x:c r="M190" s="207" t="str">
        <x:v>Не рассмотрено</x:v>
      </x:c>
      <x:c r="N190" s="207" t="str"/>
      <x:c r="O190" s="207" t="str">
        <x:v>17</x:v>
      </x:c>
      <x:c r="P190" s="207" t="n">
        <x:v>4</x:v>
      </x:c>
      <x:c r="Q190" s="208" t="str">
        <x:v>Wave 1 (0–30 дней)</x:v>
      </x:c>
    </x:row>
    <x:row r="191">
      <x:c r="A191" s="206" t="str">
        <x:v>DEC-00187</x:v>
      </x:c>
      <x:c r="B191" s="207" t="str">
        <x:v>Cost version</x:v>
      </x:c>
      <x:c r="C191" s="207" t="str">
        <x:v>0-2814</x:v>
      </x:c>
      <x:c r="D191" s="207" t="str">
        <x:v>Нет точной полной себестоимости</x:v>
      </x:c>
      <x:c r="E191" s="207" t="str">
        <x:v>Значение отсутствует</x:v>
      </x:c>
      <x:c r="F191" s="207" t="str">
        <x:v>Найти калькуляцию или подтвердить отсутствие</x:v>
      </x:c>
      <x:c r="G191" s="207" t="str">
        <x:v>Финансы + производство</x:v>
      </x:c>
      <x:c r="H191" s="207" t="str">
        <x:v>Критический</x:v>
      </x:c>
      <x:c r="I191" s="207" t="str">
        <x:v>Маржа SKU/коллекции/заказа</x:v>
      </x:c>
      <x:c r="J191" s="207" t="str"/>
      <x:c r="K191" s="207" t="str"/>
      <x:c r="L191" s="207" t="str"/>
      <x:c r="M191" s="207" t="str">
        <x:v>Не рассмотрено</x:v>
      </x:c>
      <x:c r="N191" s="207" t="str"/>
      <x:c r="O191" s="207" t="str">
        <x:v>17</x:v>
      </x:c>
      <x:c r="P191" s="207" t="n">
        <x:v>4</x:v>
      </x:c>
      <x:c r="Q191" s="208" t="str">
        <x:v>Wave 1 (0–30 дней)</x:v>
      </x:c>
    </x:row>
    <x:row r="192">
      <x:c r="A192" s="206" t="str">
        <x:v>DEC-00188</x:v>
      </x:c>
      <x:c r="B192" s="207" t="str">
        <x:v>Cost version</x:v>
      </x:c>
      <x:c r="C192" s="207" t="str">
        <x:v>0-2815</x:v>
      </x:c>
      <x:c r="D192" s="207" t="str">
        <x:v>Нет точной полной себестоимости</x:v>
      </x:c>
      <x:c r="E192" s="207" t="str">
        <x:v>Значение отсутствует</x:v>
      </x:c>
      <x:c r="F192" s="207" t="str">
        <x:v>Найти калькуляцию или подтвердить отсутствие</x:v>
      </x:c>
      <x:c r="G192" s="207" t="str">
        <x:v>Финансы + производство</x:v>
      </x:c>
      <x:c r="H192" s="207" t="str">
        <x:v>Критический</x:v>
      </x:c>
      <x:c r="I192" s="207" t="str">
        <x:v>Маржа SKU/коллекции/заказа</x:v>
      </x:c>
      <x:c r="J192" s="207" t="str"/>
      <x:c r="K192" s="207" t="str"/>
      <x:c r="L192" s="207" t="str"/>
      <x:c r="M192" s="207" t="str">
        <x:v>Не рассмотрено</x:v>
      </x:c>
      <x:c r="N192" s="207" t="str"/>
      <x:c r="O192" s="207" t="str">
        <x:v>17</x:v>
      </x:c>
      <x:c r="P192" s="207" t="n">
        <x:v>4</x:v>
      </x:c>
      <x:c r="Q192" s="208" t="str">
        <x:v>Wave 1 (0–30 дней)</x:v>
      </x:c>
    </x:row>
    <x:row r="193">
      <x:c r="A193" s="206" t="str">
        <x:v>DEC-00189</x:v>
      </x:c>
      <x:c r="B193" s="207" t="str">
        <x:v>Cost version</x:v>
      </x:c>
      <x:c r="C193" s="207" t="str">
        <x:v>0-2816</x:v>
      </x:c>
      <x:c r="D193" s="207" t="str">
        <x:v>Нет точной полной себестоимости</x:v>
      </x:c>
      <x:c r="E193" s="207" t="str">
        <x:v>Значение отсутствует</x:v>
      </x:c>
      <x:c r="F193" s="207" t="str">
        <x:v>Найти калькуляцию или подтвердить отсутствие</x:v>
      </x:c>
      <x:c r="G193" s="207" t="str">
        <x:v>Финансы + производство</x:v>
      </x:c>
      <x:c r="H193" s="207" t="str">
        <x:v>Критический</x:v>
      </x:c>
      <x:c r="I193" s="207" t="str">
        <x:v>Маржа SKU/коллекции/заказа</x:v>
      </x:c>
      <x:c r="J193" s="207" t="str"/>
      <x:c r="K193" s="207" t="str"/>
      <x:c r="L193" s="207" t="str"/>
      <x:c r="M193" s="207" t="str">
        <x:v>Не рассмотрено</x:v>
      </x:c>
      <x:c r="N193" s="207" t="str"/>
      <x:c r="O193" s="207" t="str">
        <x:v>17</x:v>
      </x:c>
      <x:c r="P193" s="207" t="n">
        <x:v>4</x:v>
      </x:c>
      <x:c r="Q193" s="208" t="str">
        <x:v>Wave 1 (0–30 дней)</x:v>
      </x:c>
    </x:row>
    <x:row r="194">
      <x:c r="A194" s="206" t="str">
        <x:v>DEC-00190</x:v>
      </x:c>
      <x:c r="B194" s="207" t="str">
        <x:v>Cost version</x:v>
      </x:c>
      <x:c r="C194" s="207" t="str">
        <x:v>0-2817</x:v>
      </x:c>
      <x:c r="D194" s="207" t="str">
        <x:v>Нет точной полной себестоимости</x:v>
      </x:c>
      <x:c r="E194" s="207" t="str">
        <x:v>Значение отсутствует</x:v>
      </x:c>
      <x:c r="F194" s="207" t="str">
        <x:v>Найти калькуляцию или подтвердить отсутствие</x:v>
      </x:c>
      <x:c r="G194" s="207" t="str">
        <x:v>Финансы + производство</x:v>
      </x:c>
      <x:c r="H194" s="207" t="str">
        <x:v>Критический</x:v>
      </x:c>
      <x:c r="I194" s="207" t="str">
        <x:v>Маржа SKU/коллекции/заказа</x:v>
      </x:c>
      <x:c r="J194" s="207" t="str"/>
      <x:c r="K194" s="207" t="str"/>
      <x:c r="L194" s="207" t="str"/>
      <x:c r="M194" s="207" t="str">
        <x:v>Не рассмотрено</x:v>
      </x:c>
      <x:c r="N194" s="207" t="str"/>
      <x:c r="O194" s="207" t="str">
        <x:v>17</x:v>
      </x:c>
      <x:c r="P194" s="207" t="n">
        <x:v>4</x:v>
      </x:c>
      <x:c r="Q194" s="208" t="str">
        <x:v>Wave 1 (0–30 дней)</x:v>
      </x:c>
    </x:row>
    <x:row r="195">
      <x:c r="A195" s="206" t="str">
        <x:v>DEC-00191</x:v>
      </x:c>
      <x:c r="B195" s="207" t="str">
        <x:v>Cost version</x:v>
      </x:c>
      <x:c r="C195" s="207" t="str">
        <x:v>0-3073C</x:v>
      </x:c>
      <x:c r="D195" s="207" t="str">
        <x:v>Нет точной полной себестоимости</x:v>
      </x:c>
      <x:c r="E195" s="207" t="str">
        <x:v>Значение отсутствует</x:v>
      </x:c>
      <x:c r="F195" s="207" t="str">
        <x:v>Найти калькуляцию или подтвердить отсутствие</x:v>
      </x:c>
      <x:c r="G195" s="207" t="str">
        <x:v>Финансы + производство</x:v>
      </x:c>
      <x:c r="H195" s="207" t="str">
        <x:v>Критический</x:v>
      </x:c>
      <x:c r="I195" s="207" t="str">
        <x:v>Маржа SKU/коллекции/заказа</x:v>
      </x:c>
      <x:c r="J195" s="207" t="str"/>
      <x:c r="K195" s="207" t="str"/>
      <x:c r="L195" s="207" t="str"/>
      <x:c r="M195" s="207" t="str">
        <x:v>Не рассмотрено</x:v>
      </x:c>
      <x:c r="N195" s="207" t="str"/>
      <x:c r="O195" s="207" t="str">
        <x:v>17</x:v>
      </x:c>
      <x:c r="P195" s="207" t="n">
        <x:v>4</x:v>
      </x:c>
      <x:c r="Q195" s="208" t="str">
        <x:v>Wave 1 (0–30 дней)</x:v>
      </x:c>
    </x:row>
    <x:row r="196">
      <x:c r="A196" s="206" t="str">
        <x:v>DEC-00192</x:v>
      </x:c>
      <x:c r="B196" s="207" t="str">
        <x:v>Cost version</x:v>
      </x:c>
      <x:c r="C196" s="207" t="str">
        <x:v>T-1418</x:v>
      </x:c>
      <x:c r="D196" s="207" t="str">
        <x:v>Неоднозначно: несколько значений</x:v>
      </x:c>
      <x:c r="E196" s="207" t="str">
        <x:v>6444.00; 6445.52</x:v>
      </x:c>
      <x:c r="F196" s="207" t="str">
        <x:v>Выбрать правильную версию после проверки модели/партии/периода</x:v>
      </x:c>
      <x:c r="G196" s="207" t="str">
        <x:v>Финансы + производство</x:v>
      </x:c>
      <x:c r="H196" s="207" t="str">
        <x:v>Высокий</x:v>
      </x:c>
      <x:c r="I196" s="207" t="str">
        <x:v>Маржа SKU/коллекции/заказа</x:v>
      </x:c>
      <x:c r="J196" s="207" t="str">
        <x:v>Себестоимость Меркушина.xlsx / Площадки / строка 5 / 6445.52 / SS 25 Джерси ЦУМ; Себестоимость Меркушина.xlsx / Площадки / строка 429 / 6444.00 / Допзаказ трикотаж 25  ЦУМ; Себестоимость Меркушина.xlsx / ИМ / строка 153 / 6445.52 / ; Себестоимость Меркушина.xlsx / ИМ / строка 345 / 6444.00 / Трикотаж август 2025 ИМ</x:v>
      </x:c>
      <x:c r="K196" s="207" t="str"/>
      <x:c r="L196" s="207" t="str"/>
      <x:c r="M196" s="207" t="str">
        <x:v>Не рассмотрено</x:v>
      </x:c>
      <x:c r="N196" s="207" t="str"/>
      <x:c r="O196" s="207" t="str">
        <x:v>17</x:v>
      </x:c>
      <x:c r="P196" s="207" t="n">
        <x:v>3</x:v>
      </x:c>
      <x:c r="Q196" s="208" t="str">
        <x:v>Wave 2 (31–60 дней)</x:v>
      </x:c>
    </x:row>
    <x:row r="197">
      <x:c r="A197" s="206" t="str">
        <x:v>DEC-00193</x:v>
      </x:c>
      <x:c r="B197" s="207" t="str">
        <x:v>Cost version</x:v>
      </x:c>
      <x:c r="C197" s="207" t="str">
        <x:v>T-1879B</x:v>
      </x:c>
      <x:c r="D197" s="207" t="str">
        <x:v>Нет точной полной себестоимости</x:v>
      </x:c>
      <x:c r="E197" s="207" t="str">
        <x:v>Значение отсутствует</x:v>
      </x:c>
      <x:c r="F197" s="207" t="str">
        <x:v>Найти калькуляцию или подтвердить отсутствие</x:v>
      </x:c>
      <x:c r="G197" s="207" t="str">
        <x:v>Финансы + производство</x:v>
      </x:c>
      <x:c r="H197" s="207" t="str">
        <x:v>Критический</x:v>
      </x:c>
      <x:c r="I197" s="207" t="str">
        <x:v>Маржа SKU/коллекции/заказа</x:v>
      </x:c>
      <x:c r="J197" s="207" t="str"/>
      <x:c r="K197" s="207" t="str"/>
      <x:c r="L197" s="207" t="str"/>
      <x:c r="M197" s="207" t="str">
        <x:v>Не рассмотрено</x:v>
      </x:c>
      <x:c r="N197" s="207" t="str"/>
      <x:c r="O197" s="207" t="str">
        <x:v>17</x:v>
      </x:c>
      <x:c r="P197" s="207" t="n">
        <x:v>4</x:v>
      </x:c>
      <x:c r="Q197" s="208" t="str">
        <x:v>Wave 1 (0–30 дней)</x:v>
      </x:c>
    </x:row>
    <x:row r="198">
      <x:c r="A198" s="206" t="str">
        <x:v>DEC-00194</x:v>
      </x:c>
      <x:c r="B198" s="207" t="str">
        <x:v>Cost version</x:v>
      </x:c>
      <x:c r="C198" s="207" t="str">
        <x:v>T-1960</x:v>
      </x:c>
      <x:c r="D198" s="207" t="str">
        <x:v>Нет точной полной себестоимости</x:v>
      </x:c>
      <x:c r="E198" s="207" t="str">
        <x:v>Значение отсутствует</x:v>
      </x:c>
      <x:c r="F198" s="207" t="str">
        <x:v>Найти калькуляцию или подтвердить отсутствие</x:v>
      </x:c>
      <x:c r="G198" s="207" t="str">
        <x:v>Финансы + производство</x:v>
      </x:c>
      <x:c r="H198" s="207" t="str">
        <x:v>Критический</x:v>
      </x:c>
      <x:c r="I198" s="207" t="str">
        <x:v>Маржа SKU/коллекции/заказа</x:v>
      </x:c>
      <x:c r="J198" s="207" t="str"/>
      <x:c r="K198" s="207" t="str"/>
      <x:c r="L198" s="207" t="str"/>
      <x:c r="M198" s="207" t="str">
        <x:v>Не рассмотрено</x:v>
      </x:c>
      <x:c r="N198" s="207" t="str"/>
      <x:c r="O198" s="207" t="str">
        <x:v>17</x:v>
      </x:c>
      <x:c r="P198" s="207" t="n">
        <x:v>4</x:v>
      </x:c>
      <x:c r="Q198" s="208" t="str">
        <x:v>Wave 1 (0–30 дней)</x:v>
      </x:c>
    </x:row>
    <x:row r="199">
      <x:c r="A199" s="206" t="str">
        <x:v>DEC-00195</x:v>
      </x:c>
      <x:c r="B199" s="207" t="str">
        <x:v>Cost version</x:v>
      </x:c>
      <x:c r="C199" s="207" t="str">
        <x:v>T-2032C/3</x:v>
      </x:c>
      <x:c r="D199" s="207" t="str">
        <x:v>Нет точной полной себестоимости</x:v>
      </x:c>
      <x:c r="E199" s="207" t="str">
        <x:v>Значение отсутствует</x:v>
      </x:c>
      <x:c r="F199" s="207" t="str">
        <x:v>Найти калькуляцию или подтвердить отсутствие</x:v>
      </x:c>
      <x:c r="G199" s="207" t="str">
        <x:v>Финансы + производство</x:v>
      </x:c>
      <x:c r="H199" s="207" t="str">
        <x:v>Критический</x:v>
      </x:c>
      <x:c r="I199" s="207" t="str">
        <x:v>Маржа SKU/коллекции/заказа</x:v>
      </x:c>
      <x:c r="J199" s="207" t="str"/>
      <x:c r="K199" s="207" t="str"/>
      <x:c r="L199" s="207" t="str"/>
      <x:c r="M199" s="207" t="str">
        <x:v>Не рассмотрено</x:v>
      </x:c>
      <x:c r="N199" s="207" t="str"/>
      <x:c r="O199" s="207" t="str">
        <x:v>17</x:v>
      </x:c>
      <x:c r="P199" s="207" t="n">
        <x:v>4</x:v>
      </x:c>
      <x:c r="Q199" s="208" t="str">
        <x:v>Wave 1 (0–30 дней)</x:v>
      </x:c>
    </x:row>
    <x:row r="200">
      <x:c r="A200" s="206" t="str">
        <x:v>DEC-00196</x:v>
      </x:c>
      <x:c r="B200" s="207" t="str">
        <x:v>Cost version</x:v>
      </x:c>
      <x:c r="C200" s="207" t="str">
        <x:v>T-2037C/3</x:v>
      </x:c>
      <x:c r="D200" s="207" t="str">
        <x:v>Нет точной полной себестоимости</x:v>
      </x:c>
      <x:c r="E200" s="207" t="str">
        <x:v>Значение отсутствует</x:v>
      </x:c>
      <x:c r="F200" s="207" t="str">
        <x:v>Найти калькуляцию или подтвердить отсутствие</x:v>
      </x:c>
      <x:c r="G200" s="207" t="str">
        <x:v>Финансы + производство</x:v>
      </x:c>
      <x:c r="H200" s="207" t="str">
        <x:v>Критический</x:v>
      </x:c>
      <x:c r="I200" s="207" t="str">
        <x:v>Маржа SKU/коллекции/заказа</x:v>
      </x:c>
      <x:c r="J200" s="207" t="str"/>
      <x:c r="K200" s="207" t="str"/>
      <x:c r="L200" s="207" t="str"/>
      <x:c r="M200" s="207" t="str">
        <x:v>Не рассмотрено</x:v>
      </x:c>
      <x:c r="N200" s="207" t="str"/>
      <x:c r="O200" s="207" t="str">
        <x:v>17</x:v>
      </x:c>
      <x:c r="P200" s="207" t="n">
        <x:v>4</x:v>
      </x:c>
      <x:c r="Q200" s="208" t="str">
        <x:v>Wave 1 (0–30 дней)</x:v>
      </x:c>
    </x:row>
    <x:row r="201">
      <x:c r="A201" s="206" t="str">
        <x:v>DEC-00197</x:v>
      </x:c>
      <x:c r="B201" s="207" t="str">
        <x:v>Cost version</x:v>
      </x:c>
      <x:c r="C201" s="207" t="str">
        <x:v>T-2037D</x:v>
      </x:c>
      <x:c r="D201" s="207" t="str">
        <x:v>Нет точной полной себестоимости</x:v>
      </x:c>
      <x:c r="E201" s="207" t="str">
        <x:v>Значение отсутствует</x:v>
      </x:c>
      <x:c r="F201" s="207" t="str">
        <x:v>Найти калькуляцию или подтвердить отсутствие</x:v>
      </x:c>
      <x:c r="G201" s="207" t="str">
        <x:v>Финансы + производство</x:v>
      </x:c>
      <x:c r="H201" s="207" t="str">
        <x:v>Критический</x:v>
      </x:c>
      <x:c r="I201" s="207" t="str">
        <x:v>Маржа SKU/коллекции/заказа</x:v>
      </x:c>
      <x:c r="J201" s="207" t="str"/>
      <x:c r="K201" s="207" t="str"/>
      <x:c r="L201" s="207" t="str"/>
      <x:c r="M201" s="207" t="str">
        <x:v>Не рассмотрено</x:v>
      </x:c>
      <x:c r="N201" s="207" t="str"/>
      <x:c r="O201" s="207" t="str">
        <x:v>17</x:v>
      </x:c>
      <x:c r="P201" s="207" t="n">
        <x:v>4</x:v>
      </x:c>
      <x:c r="Q201" s="208" t="str">
        <x:v>Wave 1 (0–30 дней)</x:v>
      </x:c>
    </x:row>
    <x:row r="202">
      <x:c r="A202" s="206" t="str">
        <x:v>DEC-00198</x:v>
      </x:c>
      <x:c r="B202" s="207" t="str">
        <x:v>Cost version</x:v>
      </x:c>
      <x:c r="C202" s="207" t="str">
        <x:v>T-2050B/3</x:v>
      </x:c>
      <x:c r="D202" s="207" t="str">
        <x:v>Нет точной полной себестоимости</x:v>
      </x:c>
      <x:c r="E202" s="207" t="str">
        <x:v>Значение отсутствует</x:v>
      </x:c>
      <x:c r="F202" s="207" t="str">
        <x:v>Найти калькуляцию или подтвердить отсутствие</x:v>
      </x:c>
      <x:c r="G202" s="207" t="str">
        <x:v>Финансы + производство</x:v>
      </x:c>
      <x:c r="H202" s="207" t="str">
        <x:v>Критический</x:v>
      </x:c>
      <x:c r="I202" s="207" t="str">
        <x:v>Маржа SKU/коллекции/заказа</x:v>
      </x:c>
      <x:c r="J202" s="207" t="str"/>
      <x:c r="K202" s="207" t="str"/>
      <x:c r="L202" s="207" t="str"/>
      <x:c r="M202" s="207" t="str">
        <x:v>Не рассмотрено</x:v>
      </x:c>
      <x:c r="N202" s="207" t="str"/>
      <x:c r="O202" s="207" t="str">
        <x:v>17</x:v>
      </x:c>
      <x:c r="P202" s="207" t="n">
        <x:v>4</x:v>
      </x:c>
      <x:c r="Q202" s="208" t="str">
        <x:v>Wave 1 (0–30 дней)</x:v>
      </x:c>
    </x:row>
    <x:row r="203">
      <x:c r="A203" s="206" t="str">
        <x:v>DEC-00199</x:v>
      </x:c>
      <x:c r="B203" s="207" t="str">
        <x:v>Cost version</x:v>
      </x:c>
      <x:c r="C203" s="207" t="str">
        <x:v>T-2251A</x:v>
      </x:c>
      <x:c r="D203" s="207" t="str">
        <x:v>Нет точной полной себестоимости</x:v>
      </x:c>
      <x:c r="E203" s="207" t="str">
        <x:v>Значение отсутствует</x:v>
      </x:c>
      <x:c r="F203" s="207" t="str">
        <x:v>Найти калькуляцию или подтвердить отсутствие</x:v>
      </x:c>
      <x:c r="G203" s="207" t="str">
        <x:v>Финансы + производство</x:v>
      </x:c>
      <x:c r="H203" s="207" t="str">
        <x:v>Критический</x:v>
      </x:c>
      <x:c r="I203" s="207" t="str">
        <x:v>Маржа SKU/коллекции/заказа</x:v>
      </x:c>
      <x:c r="J203" s="207" t="str"/>
      <x:c r="K203" s="207" t="str"/>
      <x:c r="L203" s="207" t="str"/>
      <x:c r="M203" s="207" t="str">
        <x:v>Не рассмотрено</x:v>
      </x:c>
      <x:c r="N203" s="207" t="str"/>
      <x:c r="O203" s="207" t="str">
        <x:v>17</x:v>
      </x:c>
      <x:c r="P203" s="207" t="n">
        <x:v>4</x:v>
      </x:c>
      <x:c r="Q203" s="208" t="str">
        <x:v>Wave 1 (0–30 дней)</x:v>
      </x:c>
    </x:row>
    <x:row r="204">
      <x:c r="A204" s="206" t="str">
        <x:v>DEC-00200</x:v>
      </x:c>
      <x:c r="B204" s="207" t="str">
        <x:v>Cost version</x:v>
      </x:c>
      <x:c r="C204" s="207" t="str">
        <x:v>T-2251A/1</x:v>
      </x:c>
      <x:c r="D204" s="207" t="str">
        <x:v>Нет точной полной себестоимости</x:v>
      </x:c>
      <x:c r="E204" s="207" t="str">
        <x:v>Значение отсутствует</x:v>
      </x:c>
      <x:c r="F204" s="207" t="str">
        <x:v>Найти калькуляцию или подтвердить отсутствие</x:v>
      </x:c>
      <x:c r="G204" s="207" t="str">
        <x:v>Финансы + производство</x:v>
      </x:c>
      <x:c r="H204" s="207" t="str">
        <x:v>Критический</x:v>
      </x:c>
      <x:c r="I204" s="207" t="str">
        <x:v>Маржа SKU/коллекции/заказа</x:v>
      </x:c>
      <x:c r="J204" s="207" t="str"/>
      <x:c r="K204" s="207" t="str"/>
      <x:c r="L204" s="207" t="str"/>
      <x:c r="M204" s="207" t="str">
        <x:v>Не рассмотрено</x:v>
      </x:c>
      <x:c r="N204" s="207" t="str"/>
      <x:c r="O204" s="207" t="str">
        <x:v>17</x:v>
      </x:c>
      <x:c r="P204" s="207" t="n">
        <x:v>4</x:v>
      </x:c>
      <x:c r="Q204" s="208" t="str">
        <x:v>Wave 1 (0–30 дней)</x:v>
      </x:c>
    </x:row>
    <x:row r="205">
      <x:c r="A205" s="206" t="str">
        <x:v>DEC-00201</x:v>
      </x:c>
      <x:c r="B205" s="207" t="str">
        <x:v>Cost version</x:v>
      </x:c>
      <x:c r="C205" s="207" t="str">
        <x:v>T-2359</x:v>
      </x:c>
      <x:c r="D205" s="207" t="str">
        <x:v>Неоднозначно: несколько значений</x:v>
      </x:c>
      <x:c r="E205" s="207" t="str">
        <x:v>5109.10; 6005.70</x:v>
      </x:c>
      <x:c r="F205" s="207" t="str">
        <x:v>Выбрать правильную версию после проверки модели/партии/периода</x:v>
      </x:c>
      <x:c r="G205" s="207" t="str">
        <x:v>Финансы + производство</x:v>
      </x:c>
      <x:c r="H205" s="207" t="str">
        <x:v>Высокий</x:v>
      </x:c>
      <x:c r="I205" s="207" t="str">
        <x:v>Маржа SKU/коллекции/заказа</x:v>
      </x:c>
      <x:c r="J205" s="207" t="str">
        <x:v>Себестоимость Меркушина.xlsx / Площадки / строка 7 / 5109.10 / SS 25 Джерси ЦУМ; Себестоимость Меркушина.xlsx / Площадки / строка 436 / 6005.70 / Допзаказ трикотаж 25  ЦУМ; Себестоимость Меркушина.xlsx / ИМ / строка 352 / 6005.70 / Трикотаж август 2025 ИМ</x:v>
      </x:c>
      <x:c r="K205" s="207" t="str"/>
      <x:c r="L205" s="207" t="str"/>
      <x:c r="M205" s="207" t="str">
        <x:v>Не рассмотрено</x:v>
      </x:c>
      <x:c r="N205" s="207" t="str"/>
      <x:c r="O205" s="207" t="str">
        <x:v>17</x:v>
      </x:c>
      <x:c r="P205" s="207" t="n">
        <x:v>3</x:v>
      </x:c>
      <x:c r="Q205" s="208" t="str">
        <x:v>Wave 2 (31–60 дней)</x:v>
      </x:c>
    </x:row>
    <x:row r="206">
      <x:c r="A206" s="206" t="str">
        <x:v>DEC-00202</x:v>
      </x:c>
      <x:c r="B206" s="207" t="str">
        <x:v>Cost version</x:v>
      </x:c>
      <x:c r="C206" s="207" t="str">
        <x:v>T-2359A</x:v>
      </x:c>
      <x:c r="D206" s="207" t="str">
        <x:v>Неоднозначно: несколько значений</x:v>
      </x:c>
      <x:c r="E206" s="207" t="str">
        <x:v>7030.28; 7465.47</x:v>
      </x:c>
      <x:c r="F206" s="207" t="str">
        <x:v>Выбрать правильную версию после проверки модели/партии/периода</x:v>
      </x:c>
      <x:c r="G206" s="207" t="str">
        <x:v>Финансы + производство</x:v>
      </x:c>
      <x:c r="H206" s="207" t="str">
        <x:v>Высокий</x:v>
      </x:c>
      <x:c r="I206" s="207" t="str">
        <x:v>Маржа SKU/коллекции/заказа</x:v>
      </x:c>
      <x:c r="J206" s="207" t="str">
        <x:v>Себестоимость Меркушина.xlsx / Площадки / строка 8 / 7465.47 / SS 25 Джерси ЦУМ; Себестоимость Меркушина.xlsx / Площадки / строка 443 / 7030.28 / Допзаказ трикотаж 25  ЦУМ; Себестоимость Меркушина.xlsx / ИМ / строка 359 / 7030.28 / Трикотаж август 2025 ИМ</x:v>
      </x:c>
      <x:c r="K206" s="207" t="str"/>
      <x:c r="L206" s="207" t="str"/>
      <x:c r="M206" s="207" t="str">
        <x:v>Не рассмотрено</x:v>
      </x:c>
      <x:c r="N206" s="207" t="str"/>
      <x:c r="O206" s="207" t="str">
        <x:v>17</x:v>
      </x:c>
      <x:c r="P206" s="207" t="n">
        <x:v>3</x:v>
      </x:c>
      <x:c r="Q206" s="208" t="str">
        <x:v>Wave 2 (31–60 дней)</x:v>
      </x:c>
    </x:row>
    <x:row r="207">
      <x:c r="A207" s="206" t="str">
        <x:v>DEC-00203</x:v>
      </x:c>
      <x:c r="B207" s="207" t="str">
        <x:v>Cost version</x:v>
      </x:c>
      <x:c r="C207" s="207" t="str">
        <x:v>T-2381</x:v>
      </x:c>
      <x:c r="D207" s="207" t="str">
        <x:v>Неоднозначно: несколько значений</x:v>
      </x:c>
      <x:c r="E207" s="207" t="str">
        <x:v>5370.07; 18954.26</x:v>
      </x:c>
      <x:c r="F207" s="207" t="str">
        <x:v>Выбрать правильную версию после проверки модели/партии/периода</x:v>
      </x:c>
      <x:c r="G207" s="207" t="str">
        <x:v>Финансы + производство</x:v>
      </x:c>
      <x:c r="H207" s="207" t="str">
        <x:v>Высокий</x:v>
      </x:c>
      <x:c r="I207" s="207" t="str">
        <x:v>Маржа SKU/коллекции/заказа</x:v>
      </x:c>
      <x:c r="J207" s="207" t="str">
        <x:v>Себестоимость Меркушина.xlsx / Площадки / строка 400 / 5370.07 /  FW 25  ЦУМ; себестоимость Мокеева 2025.xlsx / себестоимость 2025 / строка 316 / 18954.26 / шелк роз 16-023</x:v>
      </x:c>
      <x:c r="K207" s="207" t="str"/>
      <x:c r="L207" s="207" t="str"/>
      <x:c r="M207" s="207" t="str">
        <x:v>Не рассмотрено</x:v>
      </x:c>
      <x:c r="N207" s="207" t="str"/>
      <x:c r="O207" s="207" t="str">
        <x:v>17</x:v>
      </x:c>
      <x:c r="P207" s="207" t="n">
        <x:v>3</x:v>
      </x:c>
      <x:c r="Q207" s="208" t="str">
        <x:v>Wave 2 (31–60 дней)</x:v>
      </x:c>
    </x:row>
    <x:row r="208">
      <x:c r="A208" s="206" t="str">
        <x:v>DEC-00204</x:v>
      </x:c>
      <x:c r="B208" s="207" t="str">
        <x:v>Cost version</x:v>
      </x:c>
      <x:c r="C208" s="207" t="str">
        <x:v>T-2401B/3</x:v>
      </x:c>
      <x:c r="D208" s="207" t="str">
        <x:v>Нет точной полной себестоимости</x:v>
      </x:c>
      <x:c r="E208" s="207" t="str">
        <x:v>Значение отсутствует</x:v>
      </x:c>
      <x:c r="F208" s="207" t="str">
        <x:v>Найти калькуляцию или подтвердить отсутствие</x:v>
      </x:c>
      <x:c r="G208" s="207" t="str">
        <x:v>Финансы + производство</x:v>
      </x:c>
      <x:c r="H208" s="207" t="str">
        <x:v>Критический</x:v>
      </x:c>
      <x:c r="I208" s="207" t="str">
        <x:v>Маржа SKU/коллекции/заказа</x:v>
      </x:c>
      <x:c r="J208" s="207" t="str"/>
      <x:c r="K208" s="207" t="str"/>
      <x:c r="L208" s="207" t="str"/>
      <x:c r="M208" s="207" t="str">
        <x:v>Не рассмотрено</x:v>
      </x:c>
      <x:c r="N208" s="207" t="str"/>
      <x:c r="O208" s="207" t="str">
        <x:v>17</x:v>
      </x:c>
      <x:c r="P208" s="207" t="n">
        <x:v>4</x:v>
      </x:c>
      <x:c r="Q208" s="208" t="str">
        <x:v>Wave 1 (0–30 дней)</x:v>
      </x:c>
    </x:row>
    <x:row r="209">
      <x:c r="A209" s="206" t="str">
        <x:v>DEC-00205</x:v>
      </x:c>
      <x:c r="B209" s="207" t="str">
        <x:v>Cost version</x:v>
      </x:c>
      <x:c r="C209" s="207" t="str">
        <x:v>T-2401B/6</x:v>
      </x:c>
      <x:c r="D209" s="207" t="str">
        <x:v>Нет точной полной себестоимости</x:v>
      </x:c>
      <x:c r="E209" s="207" t="str">
        <x:v>Значение отсутствует</x:v>
      </x:c>
      <x:c r="F209" s="207" t="str">
        <x:v>Найти калькуляцию или подтвердить отсутствие</x:v>
      </x:c>
      <x:c r="G209" s="207" t="str">
        <x:v>Финансы + производство</x:v>
      </x:c>
      <x:c r="H209" s="207" t="str">
        <x:v>Критический</x:v>
      </x:c>
      <x:c r="I209" s="207" t="str">
        <x:v>Маржа SKU/коллекции/заказа</x:v>
      </x:c>
      <x:c r="J209" s="207" t="str"/>
      <x:c r="K209" s="207" t="str"/>
      <x:c r="L209" s="207" t="str"/>
      <x:c r="M209" s="207" t="str">
        <x:v>Не рассмотрено</x:v>
      </x:c>
      <x:c r="N209" s="207" t="str"/>
      <x:c r="O209" s="207" t="str">
        <x:v>17</x:v>
      </x:c>
      <x:c r="P209" s="207" t="n">
        <x:v>4</x:v>
      </x:c>
      <x:c r="Q209" s="208" t="str">
        <x:v>Wave 1 (0–30 дней)</x:v>
      </x:c>
    </x:row>
    <x:row r="210">
      <x:c r="A210" s="206" t="str">
        <x:v>DEC-00206</x:v>
      </x:c>
      <x:c r="B210" s="207" t="str">
        <x:v>Cost version</x:v>
      </x:c>
      <x:c r="C210" s="207" t="str">
        <x:v>T-2401B/7</x:v>
      </x:c>
      <x:c r="D210" s="207" t="str">
        <x:v>Нет точной полной себестоимости</x:v>
      </x:c>
      <x:c r="E210" s="207" t="str">
        <x:v>Значение отсутствует</x:v>
      </x:c>
      <x:c r="F210" s="207" t="str">
        <x:v>Найти калькуляцию или подтвердить отсутствие</x:v>
      </x:c>
      <x:c r="G210" s="207" t="str">
        <x:v>Финансы + производство</x:v>
      </x:c>
      <x:c r="H210" s="207" t="str">
        <x:v>Критический</x:v>
      </x:c>
      <x:c r="I210" s="207" t="str">
        <x:v>Маржа SKU/коллекции/заказа</x:v>
      </x:c>
      <x:c r="J210" s="207" t="str"/>
      <x:c r="K210" s="207" t="str"/>
      <x:c r="L210" s="207" t="str"/>
      <x:c r="M210" s="207" t="str">
        <x:v>Не рассмотрено</x:v>
      </x:c>
      <x:c r="N210" s="207" t="str"/>
      <x:c r="O210" s="207" t="str">
        <x:v>17</x:v>
      </x:c>
      <x:c r="P210" s="207" t="n">
        <x:v>4</x:v>
      </x:c>
      <x:c r="Q210" s="208" t="str">
        <x:v>Wave 1 (0–30 дней)</x:v>
      </x:c>
    </x:row>
    <x:row r="211">
      <x:c r="A211" s="206" t="str">
        <x:v>DEC-00207</x:v>
      </x:c>
      <x:c r="B211" s="207" t="str">
        <x:v>Cost version</x:v>
      </x:c>
      <x:c r="C211" s="207" t="str">
        <x:v>T-2420A/1</x:v>
      </x:c>
      <x:c r="D211" s="207" t="str">
        <x:v>Нет точной полной себестоимости</x:v>
      </x:c>
      <x:c r="E211" s="207" t="str">
        <x:v>Значение отсутствует</x:v>
      </x:c>
      <x:c r="F211" s="207" t="str">
        <x:v>Найти калькуляцию или подтвердить отсутствие</x:v>
      </x:c>
      <x:c r="G211" s="207" t="str">
        <x:v>Финансы + производство</x:v>
      </x:c>
      <x:c r="H211" s="207" t="str">
        <x:v>Критический</x:v>
      </x:c>
      <x:c r="I211" s="207" t="str">
        <x:v>Маржа SKU/коллекции/заказа</x:v>
      </x:c>
      <x:c r="J211" s="207" t="str"/>
      <x:c r="K211" s="207" t="str"/>
      <x:c r="L211" s="207" t="str"/>
      <x:c r="M211" s="207" t="str">
        <x:v>Не рассмотрено</x:v>
      </x:c>
      <x:c r="N211" s="207" t="str"/>
      <x:c r="O211" s="207" t="str">
        <x:v>17</x:v>
      </x:c>
      <x:c r="P211" s="207" t="n">
        <x:v>4</x:v>
      </x:c>
      <x:c r="Q211" s="208" t="str">
        <x:v>Wave 1 (0–30 дней)</x:v>
      </x:c>
    </x:row>
    <x:row r="212">
      <x:c r="A212" s="206" t="str">
        <x:v>DEC-00208</x:v>
      </x:c>
      <x:c r="B212" s="207" t="str">
        <x:v>Cost version</x:v>
      </x:c>
      <x:c r="C212" s="207" t="str">
        <x:v>T-2420A/7</x:v>
      </x:c>
      <x:c r="D212" s="207" t="str">
        <x:v>Нет точной полной себестоимости</x:v>
      </x:c>
      <x:c r="E212" s="207" t="str">
        <x:v>Значение отсутствует</x:v>
      </x:c>
      <x:c r="F212" s="207" t="str">
        <x:v>Найти калькуляцию или подтвердить отсутствие</x:v>
      </x:c>
      <x:c r="G212" s="207" t="str">
        <x:v>Финансы + производство</x:v>
      </x:c>
      <x:c r="H212" s="207" t="str">
        <x:v>Критический</x:v>
      </x:c>
      <x:c r="I212" s="207" t="str">
        <x:v>Маржа SKU/коллекции/заказа</x:v>
      </x:c>
      <x:c r="J212" s="207" t="str"/>
      <x:c r="K212" s="207" t="str"/>
      <x:c r="L212" s="207" t="str"/>
      <x:c r="M212" s="207" t="str">
        <x:v>Не рассмотрено</x:v>
      </x:c>
      <x:c r="N212" s="207" t="str"/>
      <x:c r="O212" s="207" t="str">
        <x:v>17</x:v>
      </x:c>
      <x:c r="P212" s="207" t="n">
        <x:v>4</x:v>
      </x:c>
      <x:c r="Q212" s="208" t="str">
        <x:v>Wave 1 (0–30 дней)</x:v>
      </x:c>
    </x:row>
    <x:row r="213">
      <x:c r="A213" s="206" t="str">
        <x:v>DEC-00209</x:v>
      </x:c>
      <x:c r="B213" s="207" t="str">
        <x:v>Cost version</x:v>
      </x:c>
      <x:c r="C213" s="207" t="str">
        <x:v>T-2470</x:v>
      </x:c>
      <x:c r="D213" s="207" t="str">
        <x:v>Неоднозначно: несколько значений</x:v>
      </x:c>
      <x:c r="E213" s="207" t="str">
        <x:v>4541.82; 7329.38</x:v>
      </x:c>
      <x:c r="F213" s="207" t="str">
        <x:v>Выбрать правильную версию после проверки модели/партии/периода</x:v>
      </x:c>
      <x:c r="G213" s="207" t="str">
        <x:v>Финансы + производство</x:v>
      </x:c>
      <x:c r="H213" s="207" t="str">
        <x:v>Высокий</x:v>
      </x:c>
      <x:c r="I213" s="207" t="str">
        <x:v>Маржа SKU/коллекции/заказа</x:v>
      </x:c>
      <x:c r="J213" s="207" t="str">
        <x:v>Себестоимость Меркушина.xlsx / Площадки / строка 4 / 4541.82 / SS 25 Джерси ЦУМ; Себестоимость Меркушина.xlsx / Площадки / строка 415 / 7329.38 / Допзаказ трикотаж 25  ЦУМ; Себестоимость Меркушина.xlsx / ИМ / строка 331 / 7329.38 / Трикотаж август 2025 ИМ</x:v>
      </x:c>
      <x:c r="K213" s="207" t="str"/>
      <x:c r="L213" s="207" t="str"/>
      <x:c r="M213" s="207" t="str">
        <x:v>Не рассмотрено</x:v>
      </x:c>
      <x:c r="N213" s="207" t="str"/>
      <x:c r="O213" s="207" t="str">
        <x:v>17</x:v>
      </x:c>
      <x:c r="P213" s="207" t="n">
        <x:v>3</x:v>
      </x:c>
      <x:c r="Q213" s="208" t="str">
        <x:v>Wave 2 (31–60 дней)</x:v>
      </x:c>
    </x:row>
    <x:row r="214">
      <x:c r="A214" s="206" t="str">
        <x:v>DEC-00210</x:v>
      </x:c>
      <x:c r="B214" s="207" t="str">
        <x:v>Cost version</x:v>
      </x:c>
      <x:c r="C214" s="207" t="str">
        <x:v>T-2472</x:v>
      </x:c>
      <x:c r="D214" s="207" t="str">
        <x:v>Неоднозначно: несколько значений</x:v>
      </x:c>
      <x:c r="E214" s="207" t="str">
        <x:v>4768.41; 7061.38; 7185.63</x:v>
      </x:c>
      <x:c r="F214" s="207" t="str">
        <x:v>Выбрать правильную версию после проверки модели/партии/периода</x:v>
      </x:c>
      <x:c r="G214" s="207" t="str">
        <x:v>Финансы + производство</x:v>
      </x:c>
      <x:c r="H214" s="207" t="str">
        <x:v>Высокий</x:v>
      </x:c>
      <x:c r="I214" s="207" t="str">
        <x:v>Маржа SKU/коллекции/заказа</x:v>
      </x:c>
      <x:c r="J214" s="207" t="str">
        <x:v>Себестоимость Меркушина.xlsx / Площадки / строка 10 / 4768.41 / SS 25 Джерси ЦУМ; Себестоимость Меркушина.xlsx / Площадки / строка 422 / 7185.63 / Допзаказ трикотаж 25  ЦУМ; Себестоимость Меркушина.xlsx / Площадки / строка 557 / 7061.38 / Дошив FW  ЦУМ 2025; Себестоимость Меркушина.xlsx / ИМ / строка 338 / 7185.63 / Трикотаж август 2025 ИМ</x:v>
      </x:c>
      <x:c r="K214" s="207" t="str"/>
      <x:c r="L214" s="207" t="str"/>
      <x:c r="M214" s="207" t="str">
        <x:v>Не рассмотрено</x:v>
      </x:c>
      <x:c r="N214" s="207" t="str"/>
      <x:c r="O214" s="207" t="str">
        <x:v>17</x:v>
      </x:c>
      <x:c r="P214" s="207" t="n">
        <x:v>3</x:v>
      </x:c>
      <x:c r="Q214" s="208" t="str">
        <x:v>Wave 2 (31–60 дней)</x:v>
      </x:c>
    </x:row>
    <x:row r="215">
      <x:c r="A215" s="206" t="str">
        <x:v>DEC-00211</x:v>
      </x:c>
      <x:c r="B215" s="207" t="str">
        <x:v>Cost version</x:v>
      </x:c>
      <x:c r="C215" s="207" t="str">
        <x:v>T-2475B/1</x:v>
      </x:c>
      <x:c r="D215" s="207" t="str">
        <x:v>Нет точной полной себестоимости</x:v>
      </x:c>
      <x:c r="E215" s="207" t="str">
        <x:v>Значение отсутствует</x:v>
      </x:c>
      <x:c r="F215" s="207" t="str">
        <x:v>Найти калькуляцию или подтвердить отсутствие</x:v>
      </x:c>
      <x:c r="G215" s="207" t="str">
        <x:v>Финансы + производство</x:v>
      </x:c>
      <x:c r="H215" s="207" t="str">
        <x:v>Критический</x:v>
      </x:c>
      <x:c r="I215" s="207" t="str">
        <x:v>Маржа SKU/коллекции/заказа</x:v>
      </x:c>
      <x:c r="J215" s="207" t="str"/>
      <x:c r="K215" s="207" t="str"/>
      <x:c r="L215" s="207" t="str"/>
      <x:c r="M215" s="207" t="str">
        <x:v>Не рассмотрено</x:v>
      </x:c>
      <x:c r="N215" s="207" t="str"/>
      <x:c r="O215" s="207" t="str">
        <x:v>17</x:v>
      </x:c>
      <x:c r="P215" s="207" t="n">
        <x:v>4</x:v>
      </x:c>
      <x:c r="Q215" s="208" t="str">
        <x:v>Wave 1 (0–30 дней)</x:v>
      </x:c>
    </x:row>
    <x:row r="216">
      <x:c r="A216" s="206" t="str">
        <x:v>DEC-00212</x:v>
      </x:c>
      <x:c r="B216" s="207" t="str">
        <x:v>Cost version</x:v>
      </x:c>
      <x:c r="C216" s="207" t="str">
        <x:v>T-2475B/2</x:v>
      </x:c>
      <x:c r="D216" s="207" t="str">
        <x:v>Нет точной полной себестоимости</x:v>
      </x:c>
      <x:c r="E216" s="207" t="str">
        <x:v>Значение отсутствует</x:v>
      </x:c>
      <x:c r="F216" s="207" t="str">
        <x:v>Найти калькуляцию или подтвердить отсутствие</x:v>
      </x:c>
      <x:c r="G216" s="207" t="str">
        <x:v>Финансы + производство</x:v>
      </x:c>
      <x:c r="H216" s="207" t="str">
        <x:v>Критический</x:v>
      </x:c>
      <x:c r="I216" s="207" t="str">
        <x:v>Маржа SKU/коллекции/заказа</x:v>
      </x:c>
      <x:c r="J216" s="207" t="str"/>
      <x:c r="K216" s="207" t="str"/>
      <x:c r="L216" s="207" t="str"/>
      <x:c r="M216" s="207" t="str">
        <x:v>Не рассмотрено</x:v>
      </x:c>
      <x:c r="N216" s="207" t="str"/>
      <x:c r="O216" s="207" t="str">
        <x:v>17</x:v>
      </x:c>
      <x:c r="P216" s="207" t="n">
        <x:v>4</x:v>
      </x:c>
      <x:c r="Q216" s="208" t="str">
        <x:v>Wave 1 (0–30 дней)</x:v>
      </x:c>
    </x:row>
    <x:row r="217">
      <x:c r="A217" s="206" t="str">
        <x:v>DEC-00213</x:v>
      </x:c>
      <x:c r="B217" s="207" t="str">
        <x:v>Cost version</x:v>
      </x:c>
      <x:c r="C217" s="207" t="str">
        <x:v>T-2475B/3</x:v>
      </x:c>
      <x:c r="D217" s="207" t="str">
        <x:v>Нет точной полной себестоимости</x:v>
      </x:c>
      <x:c r="E217" s="207" t="str">
        <x:v>Значение отсутствует</x:v>
      </x:c>
      <x:c r="F217" s="207" t="str">
        <x:v>Найти калькуляцию или подтвердить отсутствие</x:v>
      </x:c>
      <x:c r="G217" s="207" t="str">
        <x:v>Финансы + производство</x:v>
      </x:c>
      <x:c r="H217" s="207" t="str">
        <x:v>Критический</x:v>
      </x:c>
      <x:c r="I217" s="207" t="str">
        <x:v>Маржа SKU/коллекции/заказа</x:v>
      </x:c>
      <x:c r="J217" s="207" t="str"/>
      <x:c r="K217" s="207" t="str"/>
      <x:c r="L217" s="207" t="str"/>
      <x:c r="M217" s="207" t="str">
        <x:v>Не рассмотрено</x:v>
      </x:c>
      <x:c r="N217" s="207" t="str"/>
      <x:c r="O217" s="207" t="str">
        <x:v>17</x:v>
      </x:c>
      <x:c r="P217" s="207" t="n">
        <x:v>4</x:v>
      </x:c>
      <x:c r="Q217" s="208" t="str">
        <x:v>Wave 1 (0–30 дней)</x:v>
      </x:c>
    </x:row>
    <x:row r="218">
      <x:c r="A218" s="206" t="str">
        <x:v>DEC-00214</x:v>
      </x:c>
      <x:c r="B218" s="207" t="str">
        <x:v>Cost version</x:v>
      </x:c>
      <x:c r="C218" s="207" t="str">
        <x:v>T-2495A</x:v>
      </x:c>
      <x:c r="D218" s="207" t="str">
        <x:v>Нет точной полной себестоимости</x:v>
      </x:c>
      <x:c r="E218" s="207" t="str">
        <x:v>Значение отсутствует</x:v>
      </x:c>
      <x:c r="F218" s="207" t="str">
        <x:v>Найти калькуляцию или подтвердить отсутствие</x:v>
      </x:c>
      <x:c r="G218" s="207" t="str">
        <x:v>Финансы + производство</x:v>
      </x:c>
      <x:c r="H218" s="207" t="str">
        <x:v>Критический</x:v>
      </x:c>
      <x:c r="I218" s="207" t="str">
        <x:v>Маржа SKU/коллекции/заказа</x:v>
      </x:c>
      <x:c r="J218" s="207" t="str"/>
      <x:c r="K218" s="207" t="str"/>
      <x:c r="L218" s="207" t="str"/>
      <x:c r="M218" s="207" t="str">
        <x:v>Не рассмотрено</x:v>
      </x:c>
      <x:c r="N218" s="207" t="str"/>
      <x:c r="O218" s="207" t="str">
        <x:v>17</x:v>
      </x:c>
      <x:c r="P218" s="207" t="n">
        <x:v>4</x:v>
      </x:c>
      <x:c r="Q218" s="208" t="str">
        <x:v>Wave 1 (0–30 дней)</x:v>
      </x:c>
    </x:row>
    <x:row r="219">
      <x:c r="A219" s="206" t="str">
        <x:v>DEC-00215</x:v>
      </x:c>
      <x:c r="B219" s="207" t="str">
        <x:v>Cost version</x:v>
      </x:c>
      <x:c r="C219" s="207" t="str">
        <x:v>T-2495B</x:v>
      </x:c>
      <x:c r="D219" s="207" t="str">
        <x:v>Нет точной полной себестоимости</x:v>
      </x:c>
      <x:c r="E219" s="207" t="str">
        <x:v>Значение отсутствует</x:v>
      </x:c>
      <x:c r="F219" s="207" t="str">
        <x:v>Найти калькуляцию или подтвердить отсутствие</x:v>
      </x:c>
      <x:c r="G219" s="207" t="str">
        <x:v>Финансы + производство</x:v>
      </x:c>
      <x:c r="H219" s="207" t="str">
        <x:v>Критический</x:v>
      </x:c>
      <x:c r="I219" s="207" t="str">
        <x:v>Маржа SKU/коллекции/заказа</x:v>
      </x:c>
      <x:c r="J219" s="207" t="str"/>
      <x:c r="K219" s="207" t="str"/>
      <x:c r="L219" s="207" t="str"/>
      <x:c r="M219" s="207" t="str">
        <x:v>Не рассмотрено</x:v>
      </x:c>
      <x:c r="N219" s="207" t="str"/>
      <x:c r="O219" s="207" t="str">
        <x:v>17</x:v>
      </x:c>
      <x:c r="P219" s="207" t="n">
        <x:v>4</x:v>
      </x:c>
      <x:c r="Q219" s="208" t="str">
        <x:v>Wave 1 (0–30 дней)</x:v>
      </x:c>
    </x:row>
    <x:row r="220">
      <x:c r="A220" s="206" t="str">
        <x:v>DEC-00216</x:v>
      </x:c>
      <x:c r="B220" s="207" t="str">
        <x:v>Cost version</x:v>
      </x:c>
      <x:c r="C220" s="207" t="str">
        <x:v>T-2540</x:v>
      </x:c>
      <x:c r="D220" s="207" t="str">
        <x:v>Нет точной полной себестоимости</x:v>
      </x:c>
      <x:c r="E220" s="207" t="str">
        <x:v>Значение отсутствует</x:v>
      </x:c>
      <x:c r="F220" s="207" t="str">
        <x:v>Найти калькуляцию или подтвердить отсутствие</x:v>
      </x:c>
      <x:c r="G220" s="207" t="str">
        <x:v>Финансы + производство</x:v>
      </x:c>
      <x:c r="H220" s="207" t="str">
        <x:v>Критический</x:v>
      </x:c>
      <x:c r="I220" s="207" t="str">
        <x:v>Маржа SKU/коллекции/заказа</x:v>
      </x:c>
      <x:c r="J220" s="207" t="str"/>
      <x:c r="K220" s="207" t="str"/>
      <x:c r="L220" s="207" t="str"/>
      <x:c r="M220" s="207" t="str">
        <x:v>Не рассмотрено</x:v>
      </x:c>
      <x:c r="N220" s="207" t="str"/>
      <x:c r="O220" s="207" t="str">
        <x:v>17</x:v>
      </x:c>
      <x:c r="P220" s="207" t="n">
        <x:v>4</x:v>
      </x:c>
      <x:c r="Q220" s="208" t="str">
        <x:v>Wave 1 (0–30 дней)</x:v>
      </x:c>
    </x:row>
    <x:row r="221">
      <x:c r="A221" s="206" t="str">
        <x:v>DEC-00217</x:v>
      </x:c>
      <x:c r="B221" s="207" t="str">
        <x:v>Cost version</x:v>
      </x:c>
      <x:c r="C221" s="207" t="str">
        <x:v>T-2540/2</x:v>
      </x:c>
      <x:c r="D221" s="207" t="str">
        <x:v>Нет точной полной себестоимости</x:v>
      </x:c>
      <x:c r="E221" s="207" t="str">
        <x:v>Значение отсутствует</x:v>
      </x:c>
      <x:c r="F221" s="207" t="str">
        <x:v>Найти калькуляцию или подтвердить отсутствие</x:v>
      </x:c>
      <x:c r="G221" s="207" t="str">
        <x:v>Финансы + производство</x:v>
      </x:c>
      <x:c r="H221" s="207" t="str">
        <x:v>Критический</x:v>
      </x:c>
      <x:c r="I221" s="207" t="str">
        <x:v>Маржа SKU/коллекции/заказа</x:v>
      </x:c>
      <x:c r="J221" s="207" t="str"/>
      <x:c r="K221" s="207" t="str"/>
      <x:c r="L221" s="207" t="str"/>
      <x:c r="M221" s="207" t="str">
        <x:v>Не рассмотрено</x:v>
      </x:c>
      <x:c r="N221" s="207" t="str"/>
      <x:c r="O221" s="207" t="str">
        <x:v>17</x:v>
      </x:c>
      <x:c r="P221" s="207" t="n">
        <x:v>4</x:v>
      </x:c>
      <x:c r="Q221" s="208" t="str">
        <x:v>Wave 1 (0–30 дней)</x:v>
      </x:c>
    </x:row>
    <x:row r="222">
      <x:c r="A222" s="206" t="str">
        <x:v>DEC-00218</x:v>
      </x:c>
      <x:c r="B222" s="207" t="str">
        <x:v>Cost version</x:v>
      </x:c>
      <x:c r="C222" s="207" t="str">
        <x:v>T-2541/2</x:v>
      </x:c>
      <x:c r="D222" s="207" t="str">
        <x:v>Нет точной полной себестоимости</x:v>
      </x:c>
      <x:c r="E222" s="207" t="str">
        <x:v>Значение отсутствует</x:v>
      </x:c>
      <x:c r="F222" s="207" t="str">
        <x:v>Найти калькуляцию или подтвердить отсутствие</x:v>
      </x:c>
      <x:c r="G222" s="207" t="str">
        <x:v>Финансы + производство</x:v>
      </x:c>
      <x:c r="H222" s="207" t="str">
        <x:v>Критический</x:v>
      </x:c>
      <x:c r="I222" s="207" t="str">
        <x:v>Маржа SKU/коллекции/заказа</x:v>
      </x:c>
      <x:c r="J222" s="207" t="str"/>
      <x:c r="K222" s="207" t="str"/>
      <x:c r="L222" s="207" t="str"/>
      <x:c r="M222" s="207" t="str">
        <x:v>Не рассмотрено</x:v>
      </x:c>
      <x:c r="N222" s="207" t="str"/>
      <x:c r="O222" s="207" t="str">
        <x:v>17</x:v>
      </x:c>
      <x:c r="P222" s="207" t="n">
        <x:v>4</x:v>
      </x:c>
      <x:c r="Q222" s="208" t="str">
        <x:v>Wave 1 (0–30 дней)</x:v>
      </x:c>
    </x:row>
    <x:row r="223">
      <x:c r="A223" s="206" t="str">
        <x:v>DEC-00219</x:v>
      </x:c>
      <x:c r="B223" s="207" t="str">
        <x:v>Cost version</x:v>
      </x:c>
      <x:c r="C223" s="207" t="str">
        <x:v>T-2546</x:v>
      </x:c>
      <x:c r="D223" s="207" t="str">
        <x:v>Нет точной полной себестоимости</x:v>
      </x:c>
      <x:c r="E223" s="207" t="str">
        <x:v>Значение отсутствует</x:v>
      </x:c>
      <x:c r="F223" s="207" t="str">
        <x:v>Найти калькуляцию или подтвердить отсутствие</x:v>
      </x:c>
      <x:c r="G223" s="207" t="str">
        <x:v>Финансы + производство</x:v>
      </x:c>
      <x:c r="H223" s="207" t="str">
        <x:v>Критический</x:v>
      </x:c>
      <x:c r="I223" s="207" t="str">
        <x:v>Маржа SKU/коллекции/заказа</x:v>
      </x:c>
      <x:c r="J223" s="207" t="str"/>
      <x:c r="K223" s="207" t="str"/>
      <x:c r="L223" s="207" t="str"/>
      <x:c r="M223" s="207" t="str">
        <x:v>Не рассмотрено</x:v>
      </x:c>
      <x:c r="N223" s="207" t="str"/>
      <x:c r="O223" s="207" t="str">
        <x:v>17</x:v>
      </x:c>
      <x:c r="P223" s="207" t="n">
        <x:v>4</x:v>
      </x:c>
      <x:c r="Q223" s="208" t="str">
        <x:v>Wave 1 (0–30 дней)</x:v>
      </x:c>
    </x:row>
    <x:row r="224">
      <x:c r="A224" s="206" t="str">
        <x:v>DEC-00220</x:v>
      </x:c>
      <x:c r="B224" s="207" t="str">
        <x:v>Cost version</x:v>
      </x:c>
      <x:c r="C224" s="207" t="str">
        <x:v>T-2546/1</x:v>
      </x:c>
      <x:c r="D224" s="207" t="str">
        <x:v>Нет точной полной себестоимости</x:v>
      </x:c>
      <x:c r="E224" s="207" t="str">
        <x:v>Значение отсутствует</x:v>
      </x:c>
      <x:c r="F224" s="207" t="str">
        <x:v>Найти калькуляцию или подтвердить отсутствие</x:v>
      </x:c>
      <x:c r="G224" s="207" t="str">
        <x:v>Финансы + производство</x:v>
      </x:c>
      <x:c r="H224" s="207" t="str">
        <x:v>Критический</x:v>
      </x:c>
      <x:c r="I224" s="207" t="str">
        <x:v>Маржа SKU/коллекции/заказа</x:v>
      </x:c>
      <x:c r="J224" s="207" t="str"/>
      <x:c r="K224" s="207" t="str"/>
      <x:c r="L224" s="207" t="str"/>
      <x:c r="M224" s="207" t="str">
        <x:v>Не рассмотрено</x:v>
      </x:c>
      <x:c r="N224" s="207" t="str"/>
      <x:c r="O224" s="207" t="str">
        <x:v>17</x:v>
      </x:c>
      <x:c r="P224" s="207" t="n">
        <x:v>4</x:v>
      </x:c>
      <x:c r="Q224" s="208" t="str">
        <x:v>Wave 1 (0–30 дней)</x:v>
      </x:c>
    </x:row>
    <x:row r="225">
      <x:c r="A225" s="206" t="str">
        <x:v>DEC-00221</x:v>
      </x:c>
      <x:c r="B225" s="207" t="str">
        <x:v>Cost version</x:v>
      </x:c>
      <x:c r="C225" s="207" t="str">
        <x:v>T-2547</x:v>
      </x:c>
      <x:c r="D225" s="207" t="str">
        <x:v>Нет точной полной себестоимости</x:v>
      </x:c>
      <x:c r="E225" s="207" t="str">
        <x:v>Значение отсутствует</x:v>
      </x:c>
      <x:c r="F225" s="207" t="str">
        <x:v>Найти калькуляцию или подтвердить отсутствие</x:v>
      </x:c>
      <x:c r="G225" s="207" t="str">
        <x:v>Финансы + производство</x:v>
      </x:c>
      <x:c r="H225" s="207" t="str">
        <x:v>Критический</x:v>
      </x:c>
      <x:c r="I225" s="207" t="str">
        <x:v>Маржа SKU/коллекции/заказа</x:v>
      </x:c>
      <x:c r="J225" s="207" t="str"/>
      <x:c r="K225" s="207" t="str"/>
      <x:c r="L225" s="207" t="str"/>
      <x:c r="M225" s="207" t="str">
        <x:v>Не рассмотрено</x:v>
      </x:c>
      <x:c r="N225" s="207" t="str"/>
      <x:c r="O225" s="207" t="str">
        <x:v>17</x:v>
      </x:c>
      <x:c r="P225" s="207" t="n">
        <x:v>4</x:v>
      </x:c>
      <x:c r="Q225" s="208" t="str">
        <x:v>Wave 1 (0–30 дней)</x:v>
      </x:c>
    </x:row>
    <x:row r="226">
      <x:c r="A226" s="206" t="str">
        <x:v>DEC-00222</x:v>
      </x:c>
      <x:c r="B226" s="207" t="str">
        <x:v>Cost version</x:v>
      </x:c>
      <x:c r="C226" s="207" t="str">
        <x:v>T-2547/1</x:v>
      </x:c>
      <x:c r="D226" s="207" t="str">
        <x:v>Нет точной полной себестоимости</x:v>
      </x:c>
      <x:c r="E226" s="207" t="str">
        <x:v>Значение отсутствует</x:v>
      </x:c>
      <x:c r="F226" s="207" t="str">
        <x:v>Найти калькуляцию или подтвердить отсутствие</x:v>
      </x:c>
      <x:c r="G226" s="207" t="str">
        <x:v>Финансы + производство</x:v>
      </x:c>
      <x:c r="H226" s="207" t="str">
        <x:v>Критический</x:v>
      </x:c>
      <x:c r="I226" s="207" t="str">
        <x:v>Маржа SKU/коллекции/заказа</x:v>
      </x:c>
      <x:c r="J226" s="207" t="str"/>
      <x:c r="K226" s="207" t="str"/>
      <x:c r="L226" s="207" t="str"/>
      <x:c r="M226" s="207" t="str">
        <x:v>Не рассмотрено</x:v>
      </x:c>
      <x:c r="N226" s="207" t="str"/>
      <x:c r="O226" s="207" t="str">
        <x:v>17</x:v>
      </x:c>
      <x:c r="P226" s="207" t="n">
        <x:v>4</x:v>
      </x:c>
      <x:c r="Q226" s="208" t="str">
        <x:v>Wave 1 (0–30 дней)</x:v>
      </x:c>
    </x:row>
    <x:row r="227">
      <x:c r="A227" s="206" t="str">
        <x:v>DEC-00223</x:v>
      </x:c>
      <x:c r="B227" s="207" t="str">
        <x:v>Cost version</x:v>
      </x:c>
      <x:c r="C227" s="207" t="str">
        <x:v>T-2556B</x:v>
      </x:c>
      <x:c r="D227" s="207" t="str">
        <x:v>Нет точной полной себестоимости</x:v>
      </x:c>
      <x:c r="E227" s="207" t="str">
        <x:v>Значение отсутствует</x:v>
      </x:c>
      <x:c r="F227" s="207" t="str">
        <x:v>Найти калькуляцию или подтвердить отсутствие</x:v>
      </x:c>
      <x:c r="G227" s="207" t="str">
        <x:v>Финансы + производство</x:v>
      </x:c>
      <x:c r="H227" s="207" t="str">
        <x:v>Критический</x:v>
      </x:c>
      <x:c r="I227" s="207" t="str">
        <x:v>Маржа SKU/коллекции/заказа</x:v>
      </x:c>
      <x:c r="J227" s="207" t="str"/>
      <x:c r="K227" s="207" t="str"/>
      <x:c r="L227" s="207" t="str"/>
      <x:c r="M227" s="207" t="str">
        <x:v>Не рассмотрено</x:v>
      </x:c>
      <x:c r="N227" s="207" t="str"/>
      <x:c r="O227" s="207" t="str">
        <x:v>17</x:v>
      </x:c>
      <x:c r="P227" s="207" t="n">
        <x:v>4</x:v>
      </x:c>
      <x:c r="Q227" s="208" t="str">
        <x:v>Wave 1 (0–30 дней)</x:v>
      </x:c>
    </x:row>
    <x:row r="228">
      <x:c r="A228" s="206" t="str">
        <x:v>DEC-00224</x:v>
      </x:c>
      <x:c r="B228" s="207" t="str">
        <x:v>Cost version</x:v>
      </x:c>
      <x:c r="C228" s="207" t="str">
        <x:v>T-2560A/1</x:v>
      </x:c>
      <x:c r="D228" s="207" t="str">
        <x:v>Нет точной полной себестоимости</x:v>
      </x:c>
      <x:c r="E228" s="207" t="str">
        <x:v>Значение отсутствует</x:v>
      </x:c>
      <x:c r="F228" s="207" t="str">
        <x:v>Найти калькуляцию или подтвердить отсутствие</x:v>
      </x:c>
      <x:c r="G228" s="207" t="str">
        <x:v>Финансы + производство</x:v>
      </x:c>
      <x:c r="H228" s="207" t="str">
        <x:v>Критический</x:v>
      </x:c>
      <x:c r="I228" s="207" t="str">
        <x:v>Маржа SKU/коллекции/заказа</x:v>
      </x:c>
      <x:c r="J228" s="207" t="str"/>
      <x:c r="K228" s="207" t="str"/>
      <x:c r="L228" s="207" t="str"/>
      <x:c r="M228" s="207" t="str">
        <x:v>Не рассмотрено</x:v>
      </x:c>
      <x:c r="N228" s="207" t="str"/>
      <x:c r="O228" s="207" t="str">
        <x:v>17</x:v>
      </x:c>
      <x:c r="P228" s="207" t="n">
        <x:v>4</x:v>
      </x:c>
      <x:c r="Q228" s="208" t="str">
        <x:v>Wave 1 (0–30 дней)</x:v>
      </x:c>
    </x:row>
    <x:row r="229">
      <x:c r="A229" s="206" t="str">
        <x:v>DEC-00225</x:v>
      </x:c>
      <x:c r="B229" s="207" t="str">
        <x:v>Cost version</x:v>
      </x:c>
      <x:c r="C229" s="207" t="str">
        <x:v>T-2560B/3</x:v>
      </x:c>
      <x:c r="D229" s="207" t="str">
        <x:v>Нет точной полной себестоимости</x:v>
      </x:c>
      <x:c r="E229" s="207" t="str">
        <x:v>Значение отсутствует</x:v>
      </x:c>
      <x:c r="F229" s="207" t="str">
        <x:v>Найти калькуляцию или подтвердить отсутствие</x:v>
      </x:c>
      <x:c r="G229" s="207" t="str">
        <x:v>Финансы + производство</x:v>
      </x:c>
      <x:c r="H229" s="207" t="str">
        <x:v>Критический</x:v>
      </x:c>
      <x:c r="I229" s="207" t="str">
        <x:v>Маржа SKU/коллекции/заказа</x:v>
      </x:c>
      <x:c r="J229" s="207" t="str"/>
      <x:c r="K229" s="207" t="str"/>
      <x:c r="L229" s="207" t="str"/>
      <x:c r="M229" s="207" t="str">
        <x:v>Не рассмотрено</x:v>
      </x:c>
      <x:c r="N229" s="207" t="str"/>
      <x:c r="O229" s="207" t="str">
        <x:v>17</x:v>
      </x:c>
      <x:c r="P229" s="207" t="n">
        <x:v>4</x:v>
      </x:c>
      <x:c r="Q229" s="208" t="str">
        <x:v>Wave 1 (0–30 дней)</x:v>
      </x:c>
    </x:row>
    <x:row r="230">
      <x:c r="A230" s="206" t="str">
        <x:v>DEC-00226</x:v>
      </x:c>
      <x:c r="B230" s="207" t="str">
        <x:v>Cost version</x:v>
      </x:c>
      <x:c r="C230" s="207" t="str">
        <x:v>T-2572/1</x:v>
      </x:c>
      <x:c r="D230" s="207" t="str">
        <x:v>Нет точной полной себестоимости</x:v>
      </x:c>
      <x:c r="E230" s="207" t="str">
        <x:v>Значение отсутствует</x:v>
      </x:c>
      <x:c r="F230" s="207" t="str">
        <x:v>Найти калькуляцию или подтвердить отсутствие</x:v>
      </x:c>
      <x:c r="G230" s="207" t="str">
        <x:v>Финансы + производство</x:v>
      </x:c>
      <x:c r="H230" s="207" t="str">
        <x:v>Критический</x:v>
      </x:c>
      <x:c r="I230" s="207" t="str">
        <x:v>Маржа SKU/коллекции/заказа</x:v>
      </x:c>
      <x:c r="J230" s="207" t="str"/>
      <x:c r="K230" s="207" t="str"/>
      <x:c r="L230" s="207" t="str"/>
      <x:c r="M230" s="207" t="str">
        <x:v>Не рассмотрено</x:v>
      </x:c>
      <x:c r="N230" s="207" t="str"/>
      <x:c r="O230" s="207" t="str">
        <x:v>17</x:v>
      </x:c>
      <x:c r="P230" s="207" t="n">
        <x:v>4</x:v>
      </x:c>
      <x:c r="Q230" s="208" t="str">
        <x:v>Wave 1 (0–30 дней)</x:v>
      </x:c>
    </x:row>
    <x:row r="231">
      <x:c r="A231" s="206" t="str">
        <x:v>DEC-00227</x:v>
      </x:c>
      <x:c r="B231" s="207" t="str">
        <x:v>Cost version</x:v>
      </x:c>
      <x:c r="C231" s="207" t="str">
        <x:v>T-2573/1</x:v>
      </x:c>
      <x:c r="D231" s="207" t="str">
        <x:v>Нет точной полной себестоимости</x:v>
      </x:c>
      <x:c r="E231" s="207" t="str">
        <x:v>Значение отсутствует</x:v>
      </x:c>
      <x:c r="F231" s="207" t="str">
        <x:v>Найти калькуляцию или подтвердить отсутствие</x:v>
      </x:c>
      <x:c r="G231" s="207" t="str">
        <x:v>Финансы + производство</x:v>
      </x:c>
      <x:c r="H231" s="207" t="str">
        <x:v>Критический</x:v>
      </x:c>
      <x:c r="I231" s="207" t="str">
        <x:v>Маржа SKU/коллекции/заказа</x:v>
      </x:c>
      <x:c r="J231" s="207" t="str"/>
      <x:c r="K231" s="207" t="str"/>
      <x:c r="L231" s="207" t="str"/>
      <x:c r="M231" s="207" t="str">
        <x:v>Не рассмотрено</x:v>
      </x:c>
      <x:c r="N231" s="207" t="str"/>
      <x:c r="O231" s="207" t="str">
        <x:v>17</x:v>
      </x:c>
      <x:c r="P231" s="207" t="n">
        <x:v>4</x:v>
      </x:c>
      <x:c r="Q231" s="208" t="str">
        <x:v>Wave 1 (0–30 дней)</x:v>
      </x:c>
    </x:row>
    <x:row r="232">
      <x:c r="A232" s="206" t="str">
        <x:v>DEC-00228</x:v>
      </x:c>
      <x:c r="B232" s="207" t="str">
        <x:v>Cost version</x:v>
      </x:c>
      <x:c r="C232" s="207" t="str">
        <x:v>T-2573A/1</x:v>
      </x:c>
      <x:c r="D232" s="207" t="str">
        <x:v>Нет точной полной себестоимости</x:v>
      </x:c>
      <x:c r="E232" s="207" t="str">
        <x:v>Значение отсутствует</x:v>
      </x:c>
      <x:c r="F232" s="207" t="str">
        <x:v>Найти калькуляцию или подтвердить отсутствие</x:v>
      </x:c>
      <x:c r="G232" s="207" t="str">
        <x:v>Финансы + производство</x:v>
      </x:c>
      <x:c r="H232" s="207" t="str">
        <x:v>Критический</x:v>
      </x:c>
      <x:c r="I232" s="207" t="str">
        <x:v>Маржа SKU/коллекции/заказа</x:v>
      </x:c>
      <x:c r="J232" s="207" t="str"/>
      <x:c r="K232" s="207" t="str"/>
      <x:c r="L232" s="207" t="str"/>
      <x:c r="M232" s="207" t="str">
        <x:v>Не рассмотрено</x:v>
      </x:c>
      <x:c r="N232" s="207" t="str"/>
      <x:c r="O232" s="207" t="str">
        <x:v>17</x:v>
      </x:c>
      <x:c r="P232" s="207" t="n">
        <x:v>4</x:v>
      </x:c>
      <x:c r="Q232" s="208" t="str">
        <x:v>Wave 1 (0–30 дней)</x:v>
      </x:c>
    </x:row>
    <x:row r="233">
      <x:c r="A233" s="206" t="str">
        <x:v>DEC-00229</x:v>
      </x:c>
      <x:c r="B233" s="207" t="str">
        <x:v>Cost version</x:v>
      </x:c>
      <x:c r="C233" s="207" t="str">
        <x:v>T-2699</x:v>
      </x:c>
      <x:c r="D233" s="207" t="str">
        <x:v>Нет точной полной себестоимости</x:v>
      </x:c>
      <x:c r="E233" s="207" t="str">
        <x:v>Значение отсутствует</x:v>
      </x:c>
      <x:c r="F233" s="207" t="str">
        <x:v>Найти калькуляцию или подтвердить отсутствие</x:v>
      </x:c>
      <x:c r="G233" s="207" t="str">
        <x:v>Финансы + производство</x:v>
      </x:c>
      <x:c r="H233" s="207" t="str">
        <x:v>Критический</x:v>
      </x:c>
      <x:c r="I233" s="207" t="str">
        <x:v>Маржа SKU/коллекции/заказа</x:v>
      </x:c>
      <x:c r="J233" s="207" t="str"/>
      <x:c r="K233" s="207" t="str"/>
      <x:c r="L233" s="207" t="str"/>
      <x:c r="M233" s="207" t="str">
        <x:v>Не рассмотрено</x:v>
      </x:c>
      <x:c r="N233" s="207" t="str"/>
      <x:c r="O233" s="207" t="str">
        <x:v>17</x:v>
      </x:c>
      <x:c r="P233" s="207" t="n">
        <x:v>4</x:v>
      </x:c>
      <x:c r="Q233" s="208" t="str">
        <x:v>Wave 1 (0–30 дней)</x:v>
      </x:c>
    </x:row>
    <x:row r="234">
      <x:c r="A234" s="206" t="str">
        <x:v>DEC-00230</x:v>
      </x:c>
      <x:c r="B234" s="207" t="str">
        <x:v>Cost version</x:v>
      </x:c>
      <x:c r="C234" s="207" t="str">
        <x:v>T-2701</x:v>
      </x:c>
      <x:c r="D234" s="207" t="str">
        <x:v>Нет точной полной себестоимости</x:v>
      </x:c>
      <x:c r="E234" s="207" t="str">
        <x:v>Значение отсутствует</x:v>
      </x:c>
      <x:c r="F234" s="207" t="str">
        <x:v>Найти калькуляцию или подтвердить отсутствие</x:v>
      </x:c>
      <x:c r="G234" s="207" t="str">
        <x:v>Финансы + производство</x:v>
      </x:c>
      <x:c r="H234" s="207" t="str">
        <x:v>Критический</x:v>
      </x:c>
      <x:c r="I234" s="207" t="str">
        <x:v>Маржа SKU/коллекции/заказа</x:v>
      </x:c>
      <x:c r="J234" s="207" t="str"/>
      <x:c r="K234" s="207" t="str"/>
      <x:c r="L234" s="207" t="str"/>
      <x:c r="M234" s="207" t="str">
        <x:v>Не рассмотрено</x:v>
      </x:c>
      <x:c r="N234" s="207" t="str"/>
      <x:c r="O234" s="207" t="str">
        <x:v>17</x:v>
      </x:c>
      <x:c r="P234" s="207" t="n">
        <x:v>4</x:v>
      </x:c>
      <x:c r="Q234" s="208" t="str">
        <x:v>Wave 1 (0–30 дней)</x:v>
      </x:c>
    </x:row>
    <x:row r="235">
      <x:c r="A235" s="206" t="str">
        <x:v>DEC-00231</x:v>
      </x:c>
      <x:c r="B235" s="207" t="str">
        <x:v>Cost version</x:v>
      </x:c>
      <x:c r="C235" s="207" t="str">
        <x:v>T-2702</x:v>
      </x:c>
      <x:c r="D235" s="207" t="str">
        <x:v>Нет точной полной себестоимости</x:v>
      </x:c>
      <x:c r="E235" s="207" t="str">
        <x:v>Значение отсутствует</x:v>
      </x:c>
      <x:c r="F235" s="207" t="str">
        <x:v>Найти калькуляцию или подтвердить отсутствие</x:v>
      </x:c>
      <x:c r="G235" s="207" t="str">
        <x:v>Финансы + производство</x:v>
      </x:c>
      <x:c r="H235" s="207" t="str">
        <x:v>Критический</x:v>
      </x:c>
      <x:c r="I235" s="207" t="str">
        <x:v>Маржа SKU/коллекции/заказа</x:v>
      </x:c>
      <x:c r="J235" s="207" t="str"/>
      <x:c r="K235" s="207" t="str"/>
      <x:c r="L235" s="207" t="str"/>
      <x:c r="M235" s="207" t="str">
        <x:v>Не рассмотрено</x:v>
      </x:c>
      <x:c r="N235" s="207" t="str"/>
      <x:c r="O235" s="207" t="str">
        <x:v>17</x:v>
      </x:c>
      <x:c r="P235" s="207" t="n">
        <x:v>4</x:v>
      </x:c>
      <x:c r="Q235" s="208" t="str">
        <x:v>Wave 1 (0–30 дней)</x:v>
      </x:c>
    </x:row>
    <x:row r="236">
      <x:c r="A236" s="206" t="str">
        <x:v>DEC-00232</x:v>
      </x:c>
      <x:c r="B236" s="207" t="str">
        <x:v>Cost version</x:v>
      </x:c>
      <x:c r="C236" s="207" t="str">
        <x:v>T-2703</x:v>
      </x:c>
      <x:c r="D236" s="207" t="str">
        <x:v>Неоднозначно: несколько значений</x:v>
      </x:c>
      <x:c r="E236" s="207" t="str">
        <x:v>20126.50; 20726.50; 22134.83</x:v>
      </x:c>
      <x:c r="F236" s="207" t="str">
        <x:v>Выбрать правильную версию после проверки модели/партии/периода</x:v>
      </x:c>
      <x:c r="G236" s="207" t="str">
        <x:v>Финансы + производство</x:v>
      </x:c>
      <x:c r="H236" s="207" t="str">
        <x:v>Высокий</x:v>
      </x:c>
      <x:c r="I236" s="207" t="str">
        <x:v>Маржа SKU/коллекции/заказа</x:v>
      </x:c>
      <x:c r="J236" s="207" t="str">
        <x:v>Себестоимость Меркушина.xlsx / Площадки / строка 450 / 22134.83 / Допзаказ трикотаж 25  ЦУМ; Себестоимость Меркушина.xlsx / ИМ / строка 110 / 20726.50 / ; Себестоимость Меркушина.xlsx / ИМ / строка 366 / 22134.83 / Трикотаж август 2025 ИМ; Себестоимость Меркушина.xlsx / ИМ / строка 628 / 20126.50 / </x:v>
      </x:c>
      <x:c r="K236" s="207" t="str"/>
      <x:c r="L236" s="207" t="str"/>
      <x:c r="M236" s="207" t="str">
        <x:v>Не рассмотрено</x:v>
      </x:c>
      <x:c r="N236" s="207" t="str"/>
      <x:c r="O236" s="207" t="str">
        <x:v>17</x:v>
      </x:c>
      <x:c r="P236" s="207" t="n">
        <x:v>3</x:v>
      </x:c>
      <x:c r="Q236" s="208" t="str">
        <x:v>Wave 2 (31–60 дней)</x:v>
      </x:c>
    </x:row>
    <x:row r="237">
      <x:c r="A237" s="206" t="str">
        <x:v>DEC-00233</x:v>
      </x:c>
      <x:c r="B237" s="207" t="str">
        <x:v>Cost version</x:v>
      </x:c>
      <x:c r="C237" s="207" t="str">
        <x:v>T-2704</x:v>
      </x:c>
      <x:c r="D237" s="207" t="str">
        <x:v>Нет точной полной себестоимости</x:v>
      </x:c>
      <x:c r="E237" s="207" t="str">
        <x:v>Значение отсутствует</x:v>
      </x:c>
      <x:c r="F237" s="207" t="str">
        <x:v>Найти калькуляцию или подтвердить отсутствие</x:v>
      </x:c>
      <x:c r="G237" s="207" t="str">
        <x:v>Финансы + производство</x:v>
      </x:c>
      <x:c r="H237" s="207" t="str">
        <x:v>Критический</x:v>
      </x:c>
      <x:c r="I237" s="207" t="str">
        <x:v>Маржа SKU/коллекции/заказа</x:v>
      </x:c>
      <x:c r="J237" s="207" t="str"/>
      <x:c r="K237" s="207" t="str"/>
      <x:c r="L237" s="207" t="str"/>
      <x:c r="M237" s="207" t="str">
        <x:v>Не рассмотрено</x:v>
      </x:c>
      <x:c r="N237" s="207" t="str"/>
      <x:c r="O237" s="207" t="str">
        <x:v>17</x:v>
      </x:c>
      <x:c r="P237" s="207" t="n">
        <x:v>4</x:v>
      </x:c>
      <x:c r="Q237" s="208" t="str">
        <x:v>Wave 1 (0–30 дней)</x:v>
      </x:c>
    </x:row>
    <x:row r="238">
      <x:c r="A238" s="206" t="str">
        <x:v>DEC-00234</x:v>
      </x:c>
      <x:c r="B238" s="207" t="str">
        <x:v>Cost version</x:v>
      </x:c>
      <x:c r="C238" s="207" t="str">
        <x:v>T-2705</x:v>
      </x:c>
      <x:c r="D238" s="207" t="str">
        <x:v>Нет точной полной себестоимости</x:v>
      </x:c>
      <x:c r="E238" s="207" t="str">
        <x:v>Значение отсутствует</x:v>
      </x:c>
      <x:c r="F238" s="207" t="str">
        <x:v>Найти калькуляцию или подтвердить отсутствие</x:v>
      </x:c>
      <x:c r="G238" s="207" t="str">
        <x:v>Финансы + производство</x:v>
      </x:c>
      <x:c r="H238" s="207" t="str">
        <x:v>Критический</x:v>
      </x:c>
      <x:c r="I238" s="207" t="str">
        <x:v>Маржа SKU/коллекции/заказа</x:v>
      </x:c>
      <x:c r="J238" s="207" t="str"/>
      <x:c r="K238" s="207" t="str"/>
      <x:c r="L238" s="207" t="str"/>
      <x:c r="M238" s="207" t="str">
        <x:v>Не рассмотрено</x:v>
      </x:c>
      <x:c r="N238" s="207" t="str"/>
      <x:c r="O238" s="207" t="str">
        <x:v>17</x:v>
      </x:c>
      <x:c r="P238" s="207" t="n">
        <x:v>4</x:v>
      </x:c>
      <x:c r="Q238" s="208" t="str">
        <x:v>Wave 1 (0–30 дней)</x:v>
      </x:c>
    </x:row>
    <x:row r="239">
      <x:c r="A239" s="206" t="str">
        <x:v>DEC-00235</x:v>
      </x:c>
      <x:c r="B239" s="207" t="str">
        <x:v>Cost version</x:v>
      </x:c>
      <x:c r="C239" s="207" t="str">
        <x:v>T-2707</x:v>
      </x:c>
      <x:c r="D239" s="207" t="str">
        <x:v>Нет точной полной себестоимости</x:v>
      </x:c>
      <x:c r="E239" s="207" t="str">
        <x:v>Значение отсутствует</x:v>
      </x:c>
      <x:c r="F239" s="207" t="str">
        <x:v>Найти калькуляцию или подтвердить отсутствие</x:v>
      </x:c>
      <x:c r="G239" s="207" t="str">
        <x:v>Финансы + производство</x:v>
      </x:c>
      <x:c r="H239" s="207" t="str">
        <x:v>Критический</x:v>
      </x:c>
      <x:c r="I239" s="207" t="str">
        <x:v>Маржа SKU/коллекции/заказа</x:v>
      </x:c>
      <x:c r="J239" s="207" t="str"/>
      <x:c r="K239" s="207" t="str"/>
      <x:c r="L239" s="207" t="str"/>
      <x:c r="M239" s="207" t="str">
        <x:v>Не рассмотрено</x:v>
      </x:c>
      <x:c r="N239" s="207" t="str"/>
      <x:c r="O239" s="207" t="str">
        <x:v>17</x:v>
      </x:c>
      <x:c r="P239" s="207" t="n">
        <x:v>4</x:v>
      </x:c>
      <x:c r="Q239" s="208" t="str">
        <x:v>Wave 1 (0–30 дней)</x:v>
      </x:c>
    </x:row>
    <x:row r="240">
      <x:c r="A240" s="206" t="str">
        <x:v>DEC-00236</x:v>
      </x:c>
      <x:c r="B240" s="207" t="str">
        <x:v>Cost version</x:v>
      </x:c>
      <x:c r="C240" s="207" t="str">
        <x:v>T-2708</x:v>
      </x:c>
      <x:c r="D240" s="207" t="str">
        <x:v>Нет точной полной себестоимости</x:v>
      </x:c>
      <x:c r="E240" s="207" t="str">
        <x:v>Значение отсутствует</x:v>
      </x:c>
      <x:c r="F240" s="207" t="str">
        <x:v>Найти калькуляцию или подтвердить отсутствие</x:v>
      </x:c>
      <x:c r="G240" s="207" t="str">
        <x:v>Финансы + производство</x:v>
      </x:c>
      <x:c r="H240" s="207" t="str">
        <x:v>Критический</x:v>
      </x:c>
      <x:c r="I240" s="207" t="str">
        <x:v>Маржа SKU/коллекции/заказа</x:v>
      </x:c>
      <x:c r="J240" s="207" t="str"/>
      <x:c r="K240" s="207" t="str"/>
      <x:c r="L240" s="207" t="str"/>
      <x:c r="M240" s="207" t="str">
        <x:v>Не рассмотрено</x:v>
      </x:c>
      <x:c r="N240" s="207" t="str"/>
      <x:c r="O240" s="207" t="str">
        <x:v>17</x:v>
      </x:c>
      <x:c r="P240" s="207" t="n">
        <x:v>4</x:v>
      </x:c>
      <x:c r="Q240" s="208" t="str">
        <x:v>Wave 1 (0–30 дней)</x:v>
      </x:c>
    </x:row>
    <x:row r="241">
      <x:c r="A241" s="206" t="str">
        <x:v>DEC-00237</x:v>
      </x:c>
      <x:c r="B241" s="207" t="str">
        <x:v>Cost version</x:v>
      </x:c>
      <x:c r="C241" s="207" t="str">
        <x:v>T-2719</x:v>
      </x:c>
      <x:c r="D241" s="207" t="str">
        <x:v>Нет точной полной себестоимости</x:v>
      </x:c>
      <x:c r="E241" s="207" t="str">
        <x:v>Значение отсутствует</x:v>
      </x:c>
      <x:c r="F241" s="207" t="str">
        <x:v>Найти калькуляцию или подтвердить отсутствие</x:v>
      </x:c>
      <x:c r="G241" s="207" t="str">
        <x:v>Финансы + производство</x:v>
      </x:c>
      <x:c r="H241" s="207" t="str">
        <x:v>Критический</x:v>
      </x:c>
      <x:c r="I241" s="207" t="str">
        <x:v>Маржа SKU/коллекции/заказа</x:v>
      </x:c>
      <x:c r="J241" s="207" t="str"/>
      <x:c r="K241" s="207" t="str"/>
      <x:c r="L241" s="207" t="str"/>
      <x:c r="M241" s="207" t="str">
        <x:v>Не рассмотрено</x:v>
      </x:c>
      <x:c r="N241" s="207" t="str"/>
      <x:c r="O241" s="207" t="str">
        <x:v>17</x:v>
      </x:c>
      <x:c r="P241" s="207" t="n">
        <x:v>4</x:v>
      </x:c>
      <x:c r="Q241" s="208" t="str">
        <x:v>Wave 1 (0–30 дней)</x:v>
      </x:c>
    </x:row>
    <x:row r="242">
      <x:c r="A242" s="206" t="str">
        <x:v>DEC-00238</x:v>
      </x:c>
      <x:c r="B242" s="207" t="str">
        <x:v>Cost version</x:v>
      </x:c>
      <x:c r="C242" s="207" t="str">
        <x:v>T-2720</x:v>
      </x:c>
      <x:c r="D242" s="207" t="str">
        <x:v>Нет точной полной себестоимости</x:v>
      </x:c>
      <x:c r="E242" s="207" t="str">
        <x:v>Значение отсутствует</x:v>
      </x:c>
      <x:c r="F242" s="207" t="str">
        <x:v>Найти калькуляцию или подтвердить отсутствие</x:v>
      </x:c>
      <x:c r="G242" s="207" t="str">
        <x:v>Финансы + производство</x:v>
      </x:c>
      <x:c r="H242" s="207" t="str">
        <x:v>Критический</x:v>
      </x:c>
      <x:c r="I242" s="207" t="str">
        <x:v>Маржа SKU/коллекции/заказа</x:v>
      </x:c>
      <x:c r="J242" s="207" t="str"/>
      <x:c r="K242" s="207" t="str"/>
      <x:c r="L242" s="207" t="str"/>
      <x:c r="M242" s="207" t="str">
        <x:v>Не рассмотрено</x:v>
      </x:c>
      <x:c r="N242" s="207" t="str"/>
      <x:c r="O242" s="207" t="str">
        <x:v>17</x:v>
      </x:c>
      <x:c r="P242" s="207" t="n">
        <x:v>4</x:v>
      </x:c>
      <x:c r="Q242" s="208" t="str">
        <x:v>Wave 1 (0–30 дней)</x:v>
      </x:c>
    </x:row>
    <x:row r="243">
      <x:c r="A243" s="206" t="str">
        <x:v>DEC-00239</x:v>
      </x:c>
      <x:c r="B243" s="207" t="str">
        <x:v>Cost version</x:v>
      </x:c>
      <x:c r="C243" s="207" t="str">
        <x:v>T-2750A</x:v>
      </x:c>
      <x:c r="D243" s="207" t="str">
        <x:v>Нет точной полной себестоимости</x:v>
      </x:c>
      <x:c r="E243" s="207" t="str">
        <x:v>Значение отсутствует</x:v>
      </x:c>
      <x:c r="F243" s="207" t="str">
        <x:v>Найти калькуляцию или подтвердить отсутствие</x:v>
      </x:c>
      <x:c r="G243" s="207" t="str">
        <x:v>Финансы + производство</x:v>
      </x:c>
      <x:c r="H243" s="207" t="str">
        <x:v>Критический</x:v>
      </x:c>
      <x:c r="I243" s="207" t="str">
        <x:v>Маржа SKU/коллекции/заказа</x:v>
      </x:c>
      <x:c r="J243" s="207" t="str"/>
      <x:c r="K243" s="207" t="str"/>
      <x:c r="L243" s="207" t="str"/>
      <x:c r="M243" s="207" t="str">
        <x:v>Не рассмотрено</x:v>
      </x:c>
      <x:c r="N243" s="207" t="str"/>
      <x:c r="O243" s="207" t="str">
        <x:v>17</x:v>
      </x:c>
      <x:c r="P243" s="207" t="n">
        <x:v>4</x:v>
      </x:c>
      <x:c r="Q243" s="208" t="str">
        <x:v>Wave 1 (0–30 дней)</x:v>
      </x:c>
    </x:row>
    <x:row r="244">
      <x:c r="A244" s="206" t="str">
        <x:v>DEC-00240</x:v>
      </x:c>
      <x:c r="B244" s="207" t="str">
        <x:v>Cost version</x:v>
      </x:c>
      <x:c r="C244" s="207" t="str">
        <x:v>T-2750B</x:v>
      </x:c>
      <x:c r="D244" s="207" t="str">
        <x:v>Нет точной полной себестоимости</x:v>
      </x:c>
      <x:c r="E244" s="207" t="str">
        <x:v>Значение отсутствует</x:v>
      </x:c>
      <x:c r="F244" s="207" t="str">
        <x:v>Найти калькуляцию или подтвердить отсутствие</x:v>
      </x:c>
      <x:c r="G244" s="207" t="str">
        <x:v>Финансы + производство</x:v>
      </x:c>
      <x:c r="H244" s="207" t="str">
        <x:v>Критический</x:v>
      </x:c>
      <x:c r="I244" s="207" t="str">
        <x:v>Маржа SKU/коллекции/заказа</x:v>
      </x:c>
      <x:c r="J244" s="207" t="str"/>
      <x:c r="K244" s="207" t="str"/>
      <x:c r="L244" s="207" t="str"/>
      <x:c r="M244" s="207" t="str">
        <x:v>Не рассмотрено</x:v>
      </x:c>
      <x:c r="N244" s="207" t="str"/>
      <x:c r="O244" s="207" t="str">
        <x:v>17</x:v>
      </x:c>
      <x:c r="P244" s="207" t="n">
        <x:v>4</x:v>
      </x:c>
      <x:c r="Q244" s="208" t="str">
        <x:v>Wave 1 (0–30 дней)</x:v>
      </x:c>
    </x:row>
    <x:row r="245">
      <x:c r="A245" s="206" t="str">
        <x:v>DEC-00241</x:v>
      </x:c>
      <x:c r="B245" s="207" t="str">
        <x:v>Cost version</x:v>
      </x:c>
      <x:c r="C245" s="207" t="str">
        <x:v>T-2751</x:v>
      </x:c>
      <x:c r="D245" s="207" t="str">
        <x:v>Нет точной полной себестоимости</x:v>
      </x:c>
      <x:c r="E245" s="207" t="str">
        <x:v>Значение отсутствует</x:v>
      </x:c>
      <x:c r="F245" s="207" t="str">
        <x:v>Найти калькуляцию или подтвердить отсутствие</x:v>
      </x:c>
      <x:c r="G245" s="207" t="str">
        <x:v>Финансы + производство</x:v>
      </x:c>
      <x:c r="H245" s="207" t="str">
        <x:v>Критический</x:v>
      </x:c>
      <x:c r="I245" s="207" t="str">
        <x:v>Маржа SKU/коллекции/заказа</x:v>
      </x:c>
      <x:c r="J245" s="207" t="str"/>
      <x:c r="K245" s="207" t="str"/>
      <x:c r="L245" s="207" t="str"/>
      <x:c r="M245" s="207" t="str">
        <x:v>Не рассмотрено</x:v>
      </x:c>
      <x:c r="N245" s="207" t="str"/>
      <x:c r="O245" s="207" t="str">
        <x:v>17</x:v>
      </x:c>
      <x:c r="P245" s="207" t="n">
        <x:v>4</x:v>
      </x:c>
      <x:c r="Q245" s="208" t="str">
        <x:v>Wave 1 (0–30 дней)</x:v>
      </x:c>
    </x:row>
    <x:row r="246">
      <x:c r="A246" s="206" t="str">
        <x:v>DEC-00242</x:v>
      </x:c>
      <x:c r="B246" s="207" t="str">
        <x:v>Cost version</x:v>
      </x:c>
      <x:c r="C246" s="207" t="str">
        <x:v>T-2752</x:v>
      </x:c>
      <x:c r="D246" s="207" t="str">
        <x:v>Нет точной полной себестоимости</x:v>
      </x:c>
      <x:c r="E246" s="207" t="str">
        <x:v>Значение отсутствует</x:v>
      </x:c>
      <x:c r="F246" s="207" t="str">
        <x:v>Найти калькуляцию или подтвердить отсутствие</x:v>
      </x:c>
      <x:c r="G246" s="207" t="str">
        <x:v>Финансы + производство</x:v>
      </x:c>
      <x:c r="H246" s="207" t="str">
        <x:v>Критический</x:v>
      </x:c>
      <x:c r="I246" s="207" t="str">
        <x:v>Маржа SKU/коллекции/заказа</x:v>
      </x:c>
      <x:c r="J246" s="207" t="str"/>
      <x:c r="K246" s="207" t="str"/>
      <x:c r="L246" s="207" t="str"/>
      <x:c r="M246" s="207" t="str">
        <x:v>Не рассмотрено</x:v>
      </x:c>
      <x:c r="N246" s="207" t="str"/>
      <x:c r="O246" s="207" t="str">
        <x:v>17</x:v>
      </x:c>
      <x:c r="P246" s="207" t="n">
        <x:v>4</x:v>
      </x:c>
      <x:c r="Q246" s="208" t="str">
        <x:v>Wave 1 (0–30 дней)</x:v>
      </x:c>
    </x:row>
    <x:row r="247">
      <x:c r="A247" s="206" t="str">
        <x:v>DEC-00243</x:v>
      </x:c>
      <x:c r="B247" s="207" t="str">
        <x:v>Cost version</x:v>
      </x:c>
      <x:c r="C247" s="207" t="str">
        <x:v>T-2753</x:v>
      </x:c>
      <x:c r="D247" s="207" t="str">
        <x:v>Нет точной полной себестоимости</x:v>
      </x:c>
      <x:c r="E247" s="207" t="str">
        <x:v>Значение отсутствует</x:v>
      </x:c>
      <x:c r="F247" s="207" t="str">
        <x:v>Найти калькуляцию или подтвердить отсутствие</x:v>
      </x:c>
      <x:c r="G247" s="207" t="str">
        <x:v>Финансы + производство</x:v>
      </x:c>
      <x:c r="H247" s="207" t="str">
        <x:v>Критический</x:v>
      </x:c>
      <x:c r="I247" s="207" t="str">
        <x:v>Маржа SKU/коллекции/заказа</x:v>
      </x:c>
      <x:c r="J247" s="207" t="str"/>
      <x:c r="K247" s="207" t="str"/>
      <x:c r="L247" s="207" t="str"/>
      <x:c r="M247" s="207" t="str">
        <x:v>Не рассмотрено</x:v>
      </x:c>
      <x:c r="N247" s="207" t="str"/>
      <x:c r="O247" s="207" t="str">
        <x:v>17</x:v>
      </x:c>
      <x:c r="P247" s="207" t="n">
        <x:v>4</x:v>
      </x:c>
      <x:c r="Q247" s="208" t="str">
        <x:v>Wave 1 (0–30 дней)</x:v>
      </x:c>
    </x:row>
    <x:row r="248">
      <x:c r="A248" s="206" t="str">
        <x:v>DEC-00244</x:v>
      </x:c>
      <x:c r="B248" s="207" t="str">
        <x:v>Cost version</x:v>
      </x:c>
      <x:c r="C248" s="207" t="str">
        <x:v>T-2754</x:v>
      </x:c>
      <x:c r="D248" s="207" t="str">
        <x:v>Неоднозначно: несколько значений</x:v>
      </x:c>
      <x:c r="E248" s="207" t="str">
        <x:v>12427.00; 15639.00</x:v>
      </x:c>
      <x:c r="F248" s="207" t="str">
        <x:v>Выбрать правильную версию после проверки модели/партии/периода</x:v>
      </x:c>
      <x:c r="G248" s="207" t="str">
        <x:v>Финансы + производство</x:v>
      </x:c>
      <x:c r="H248" s="207" t="str">
        <x:v>Высокий</x:v>
      </x:c>
      <x:c r="I248" s="207" t="str">
        <x:v>Маржа SKU/коллекции/заказа</x:v>
      </x:c>
      <x:c r="J248" s="207" t="str">
        <x:v>Себестоимость Меркушина.xlsx / Капсульные коллекции  / строка 53 / 12427.00 / Круиз 2
июнь 2025; Себестоимость Меркушина.xlsx / Капсульные коллекции  / строка 60 / 12427.00 / Круиз 2
июнь 2025; Себестоимость Меркушина.xlsx / Капсульные коллекции  / строка 67 / 12427.00 / Круиз 2
июнь 2025; Себестоимость Меркушина.xlsx / Капсульные коллекции  / строка 74 / 12427.00 / Круиз 2
июнь 2025; Себестоимость Жукова.xlsx / 2025 / строка 128 / 15639.00 / ИМ ЗАКАЗ</x:v>
      </x:c>
      <x:c r="K248" s="207" t="str"/>
      <x:c r="L248" s="207" t="str"/>
      <x:c r="M248" s="207" t="str">
        <x:v>Не рассмотрено</x:v>
      </x:c>
      <x:c r="N248" s="207" t="str"/>
      <x:c r="O248" s="207" t="str">
        <x:v>17</x:v>
      </x:c>
      <x:c r="P248" s="207" t="n">
        <x:v>3</x:v>
      </x:c>
      <x:c r="Q248" s="208" t="str">
        <x:v>Wave 2 (31–60 дней)</x:v>
      </x:c>
    </x:row>
    <x:row r="249">
      <x:c r="A249" s="206" t="str">
        <x:v>DEC-00245</x:v>
      </x:c>
      <x:c r="B249" s="207" t="str">
        <x:v>Cost version</x:v>
      </x:c>
      <x:c r="C249" s="207" t="str">
        <x:v>T-2754A</x:v>
      </x:c>
      <x:c r="D249" s="207" t="str">
        <x:v>Неоднозначно: несколько значений</x:v>
      </x:c>
      <x:c r="E249" s="207" t="str">
        <x:v>13974.42; 49030.00; 71010.25</x:v>
      </x:c>
      <x:c r="F249" s="207" t="str">
        <x:v>Выбрать правильную версию после проверки модели/партии/периода</x:v>
      </x:c>
      <x:c r="G249" s="207" t="str">
        <x:v>Финансы + производство</x:v>
      </x:c>
      <x:c r="H249" s="207" t="str">
        <x:v>Высокий</x:v>
      </x:c>
      <x:c r="I249" s="207" t="str">
        <x:v>Маржа SKU/коллекции/заказа</x:v>
      </x:c>
      <x:c r="J249" s="207" t="str">
        <x:v>Себестоимость Меркушина.xlsx / ИМ / строка 103 / 13974.42 / ; себестоимость Мокеева 2025.xlsx / себестоимость 2025 / строка 255 / 49030.00 / шелк како 16-010; себестоимость Мокеева 2025.xlsx / себестоимость 2025 / строка 473 / 71010.25 / шелк 16-001</x:v>
      </x:c>
      <x:c r="K249" s="207" t="str"/>
      <x:c r="L249" s="207" t="str"/>
      <x:c r="M249" s="207" t="str">
        <x:v>Не рассмотрено</x:v>
      </x:c>
      <x:c r="N249" s="207" t="str"/>
      <x:c r="O249" s="207" t="str">
        <x:v>17</x:v>
      </x:c>
      <x:c r="P249" s="207" t="n">
        <x:v>3</x:v>
      </x:c>
      <x:c r="Q249" s="208" t="str">
        <x:v>Wave 2 (31–60 дней)</x:v>
      </x:c>
    </x:row>
    <x:row r="250">
      <x:c r="A250" s="206" t="str">
        <x:v>DEC-00246</x:v>
      </x:c>
      <x:c r="B250" s="207" t="str">
        <x:v>Cost version</x:v>
      </x:c>
      <x:c r="C250" s="207" t="str">
        <x:v>T-2756/1</x:v>
      </x:c>
      <x:c r="D250" s="207" t="str">
        <x:v>Нет точной полной себестоимости</x:v>
      </x:c>
      <x:c r="E250" s="207" t="str">
        <x:v>Значение отсутствует</x:v>
      </x:c>
      <x:c r="F250" s="207" t="str">
        <x:v>Найти калькуляцию или подтвердить отсутствие</x:v>
      </x:c>
      <x:c r="G250" s="207" t="str">
        <x:v>Финансы + производство</x:v>
      </x:c>
      <x:c r="H250" s="207" t="str">
        <x:v>Критический</x:v>
      </x:c>
      <x:c r="I250" s="207" t="str">
        <x:v>Маржа SKU/коллекции/заказа</x:v>
      </x:c>
      <x:c r="J250" s="207" t="str"/>
      <x:c r="K250" s="207" t="str"/>
      <x:c r="L250" s="207" t="str"/>
      <x:c r="M250" s="207" t="str">
        <x:v>Не рассмотрено</x:v>
      </x:c>
      <x:c r="N250" s="207" t="str"/>
      <x:c r="O250" s="207" t="str">
        <x:v>17</x:v>
      </x:c>
      <x:c r="P250" s="207" t="n">
        <x:v>4</x:v>
      </x:c>
      <x:c r="Q250" s="208" t="str">
        <x:v>Wave 1 (0–30 дней)</x:v>
      </x:c>
    </x:row>
    <x:row r="251">
      <x:c r="A251" s="206" t="str">
        <x:v>DEC-00247</x:v>
      </x:c>
      <x:c r="B251" s="207" t="str">
        <x:v>Cost version</x:v>
      </x:c>
      <x:c r="C251" s="207" t="str">
        <x:v>T-2756A</x:v>
      </x:c>
      <x:c r="D251" s="207" t="str">
        <x:v>Нет точной полной себестоимости</x:v>
      </x:c>
      <x:c r="E251" s="207" t="str">
        <x:v>Значение отсутствует</x:v>
      </x:c>
      <x:c r="F251" s="207" t="str">
        <x:v>Найти калькуляцию или подтвердить отсутствие</x:v>
      </x:c>
      <x:c r="G251" s="207" t="str">
        <x:v>Финансы + производство</x:v>
      </x:c>
      <x:c r="H251" s="207" t="str">
        <x:v>Критический</x:v>
      </x:c>
      <x:c r="I251" s="207" t="str">
        <x:v>Маржа SKU/коллекции/заказа</x:v>
      </x:c>
      <x:c r="J251" s="207" t="str"/>
      <x:c r="K251" s="207" t="str"/>
      <x:c r="L251" s="207" t="str"/>
      <x:c r="M251" s="207" t="str">
        <x:v>Не рассмотрено</x:v>
      </x:c>
      <x:c r="N251" s="207" t="str"/>
      <x:c r="O251" s="207" t="str">
        <x:v>17</x:v>
      </x:c>
      <x:c r="P251" s="207" t="n">
        <x:v>4</x:v>
      </x:c>
      <x:c r="Q251" s="208" t="str">
        <x:v>Wave 1 (0–30 дней)</x:v>
      </x:c>
    </x:row>
    <x:row r="252">
      <x:c r="A252" s="206" t="str">
        <x:v>DEC-00248</x:v>
      </x:c>
      <x:c r="B252" s="207" t="str">
        <x:v>Cost version</x:v>
      </x:c>
      <x:c r="C252" s="207" t="str">
        <x:v>T-2756B</x:v>
      </x:c>
      <x:c r="D252" s="207" t="str">
        <x:v>Нет точной полной себестоимости</x:v>
      </x:c>
      <x:c r="E252" s="207" t="str">
        <x:v>Значение отсутствует</x:v>
      </x:c>
      <x:c r="F252" s="207" t="str">
        <x:v>Найти калькуляцию или подтвердить отсутствие</x:v>
      </x:c>
      <x:c r="G252" s="207" t="str">
        <x:v>Финансы + производство</x:v>
      </x:c>
      <x:c r="H252" s="207" t="str">
        <x:v>Критический</x:v>
      </x:c>
      <x:c r="I252" s="207" t="str">
        <x:v>Маржа SKU/коллекции/заказа</x:v>
      </x:c>
      <x:c r="J252" s="207" t="str"/>
      <x:c r="K252" s="207" t="str"/>
      <x:c r="L252" s="207" t="str"/>
      <x:c r="M252" s="207" t="str">
        <x:v>Не рассмотрено</x:v>
      </x:c>
      <x:c r="N252" s="207" t="str"/>
      <x:c r="O252" s="207" t="str">
        <x:v>17</x:v>
      </x:c>
      <x:c r="P252" s="207" t="n">
        <x:v>4</x:v>
      </x:c>
      <x:c r="Q252" s="208" t="str">
        <x:v>Wave 1 (0–30 дней)</x:v>
      </x:c>
    </x:row>
    <x:row r="253">
      <x:c r="A253" s="206" t="str">
        <x:v>DEC-00249</x:v>
      </x:c>
      <x:c r="B253" s="207" t="str">
        <x:v>Cost version</x:v>
      </x:c>
      <x:c r="C253" s="207" t="str">
        <x:v>T-2756C</x:v>
      </x:c>
      <x:c r="D253" s="207" t="str">
        <x:v>Нет точной полной себестоимости</x:v>
      </x:c>
      <x:c r="E253" s="207" t="str">
        <x:v>Значение отсутствует</x:v>
      </x:c>
      <x:c r="F253" s="207" t="str">
        <x:v>Найти калькуляцию или подтвердить отсутствие</x:v>
      </x:c>
      <x:c r="G253" s="207" t="str">
        <x:v>Финансы + производство</x:v>
      </x:c>
      <x:c r="H253" s="207" t="str">
        <x:v>Критический</x:v>
      </x:c>
      <x:c r="I253" s="207" t="str">
        <x:v>Маржа SKU/коллекции/заказа</x:v>
      </x:c>
      <x:c r="J253" s="207" t="str"/>
      <x:c r="K253" s="207" t="str"/>
      <x:c r="L253" s="207" t="str"/>
      <x:c r="M253" s="207" t="str">
        <x:v>Не рассмотрено</x:v>
      </x:c>
      <x:c r="N253" s="207" t="str"/>
      <x:c r="O253" s="207" t="str">
        <x:v>17</x:v>
      </x:c>
      <x:c r="P253" s="207" t="n">
        <x:v>4</x:v>
      </x:c>
      <x:c r="Q253" s="208" t="str">
        <x:v>Wave 1 (0–30 дней)</x:v>
      </x:c>
    </x:row>
    <x:row r="254">
      <x:c r="A254" s="206" t="str">
        <x:v>DEC-00250</x:v>
      </x:c>
      <x:c r="B254" s="207" t="str">
        <x:v>Cost version</x:v>
      </x:c>
      <x:c r="C254" s="207" t="str">
        <x:v>T-2756D</x:v>
      </x:c>
      <x:c r="D254" s="207" t="str">
        <x:v>Нет точной полной себестоимости</x:v>
      </x:c>
      <x:c r="E254" s="207" t="str">
        <x:v>Значение отсутствует</x:v>
      </x:c>
      <x:c r="F254" s="207" t="str">
        <x:v>Найти калькуляцию или подтвердить отсутствие</x:v>
      </x:c>
      <x:c r="G254" s="207" t="str">
        <x:v>Финансы + производство</x:v>
      </x:c>
      <x:c r="H254" s="207" t="str">
        <x:v>Критический</x:v>
      </x:c>
      <x:c r="I254" s="207" t="str">
        <x:v>Маржа SKU/коллекции/заказа</x:v>
      </x:c>
      <x:c r="J254" s="207" t="str"/>
      <x:c r="K254" s="207" t="str"/>
      <x:c r="L254" s="207" t="str"/>
      <x:c r="M254" s="207" t="str">
        <x:v>Не рассмотрено</x:v>
      </x:c>
      <x:c r="N254" s="207" t="str"/>
      <x:c r="O254" s="207" t="str">
        <x:v>17</x:v>
      </x:c>
      <x:c r="P254" s="207" t="n">
        <x:v>4</x:v>
      </x:c>
      <x:c r="Q254" s="208" t="str">
        <x:v>Wave 1 (0–30 дней)</x:v>
      </x:c>
    </x:row>
    <x:row r="255">
      <x:c r="A255" s="206" t="str">
        <x:v>DEC-00251</x:v>
      </x:c>
      <x:c r="B255" s="207" t="str">
        <x:v>Cost version</x:v>
      </x:c>
      <x:c r="C255" s="207" t="str">
        <x:v>T-2757</x:v>
      </x:c>
      <x:c r="D255" s="207" t="str">
        <x:v>Нет точной полной себестоимости</x:v>
      </x:c>
      <x:c r="E255" s="207" t="str">
        <x:v>Значение отсутствует</x:v>
      </x:c>
      <x:c r="F255" s="207" t="str">
        <x:v>Найти калькуляцию или подтвердить отсутствие</x:v>
      </x:c>
      <x:c r="G255" s="207" t="str">
        <x:v>Финансы + производство</x:v>
      </x:c>
      <x:c r="H255" s="207" t="str">
        <x:v>Критический</x:v>
      </x:c>
      <x:c r="I255" s="207" t="str">
        <x:v>Маржа SKU/коллекции/заказа</x:v>
      </x:c>
      <x:c r="J255" s="207" t="str"/>
      <x:c r="K255" s="207" t="str"/>
      <x:c r="L255" s="207" t="str"/>
      <x:c r="M255" s="207" t="str">
        <x:v>Не рассмотрено</x:v>
      </x:c>
      <x:c r="N255" s="207" t="str"/>
      <x:c r="O255" s="207" t="str">
        <x:v>17</x:v>
      </x:c>
      <x:c r="P255" s="207" t="n">
        <x:v>4</x:v>
      </x:c>
      <x:c r="Q255" s="208" t="str">
        <x:v>Wave 1 (0–30 дней)</x:v>
      </x:c>
    </x:row>
    <x:row r="256">
      <x:c r="A256" s="206" t="str">
        <x:v>DEC-00252</x:v>
      </x:c>
      <x:c r="B256" s="207" t="str">
        <x:v>Cost version</x:v>
      </x:c>
      <x:c r="C256" s="207" t="str">
        <x:v>T-2758</x:v>
      </x:c>
      <x:c r="D256" s="207" t="str">
        <x:v>Нет точной полной себестоимости</x:v>
      </x:c>
      <x:c r="E256" s="207" t="str">
        <x:v>Значение отсутствует</x:v>
      </x:c>
      <x:c r="F256" s="207" t="str">
        <x:v>Найти калькуляцию или подтвердить отсутствие</x:v>
      </x:c>
      <x:c r="G256" s="207" t="str">
        <x:v>Финансы + производство</x:v>
      </x:c>
      <x:c r="H256" s="207" t="str">
        <x:v>Критический</x:v>
      </x:c>
      <x:c r="I256" s="207" t="str">
        <x:v>Маржа SKU/коллекции/заказа</x:v>
      </x:c>
      <x:c r="J256" s="207" t="str"/>
      <x:c r="K256" s="207" t="str"/>
      <x:c r="L256" s="207" t="str"/>
      <x:c r="M256" s="207" t="str">
        <x:v>Не рассмотрено</x:v>
      </x:c>
      <x:c r="N256" s="207" t="str"/>
      <x:c r="O256" s="207" t="str">
        <x:v>17</x:v>
      </x:c>
      <x:c r="P256" s="207" t="n">
        <x:v>4</x:v>
      </x:c>
      <x:c r="Q256" s="208" t="str">
        <x:v>Wave 1 (0–30 дней)</x:v>
      </x:c>
    </x:row>
    <x:row r="257">
      <x:c r="A257" s="206" t="str">
        <x:v>DEC-00253</x:v>
      </x:c>
      <x:c r="B257" s="207" t="str">
        <x:v>Cost version</x:v>
      </x:c>
      <x:c r="C257" s="207" t="str">
        <x:v>T-2759</x:v>
      </x:c>
      <x:c r="D257" s="207" t="str">
        <x:v>Нет точной полной себестоимости</x:v>
      </x:c>
      <x:c r="E257" s="207" t="str">
        <x:v>Значение отсутствует</x:v>
      </x:c>
      <x:c r="F257" s="207" t="str">
        <x:v>Найти калькуляцию или подтвердить отсутствие</x:v>
      </x:c>
      <x:c r="G257" s="207" t="str">
        <x:v>Финансы + производство</x:v>
      </x:c>
      <x:c r="H257" s="207" t="str">
        <x:v>Критический</x:v>
      </x:c>
      <x:c r="I257" s="207" t="str">
        <x:v>Маржа SKU/коллекции/заказа</x:v>
      </x:c>
      <x:c r="J257" s="207" t="str"/>
      <x:c r="K257" s="207" t="str"/>
      <x:c r="L257" s="207" t="str"/>
      <x:c r="M257" s="207" t="str">
        <x:v>Не рассмотрено</x:v>
      </x:c>
      <x:c r="N257" s="207" t="str"/>
      <x:c r="O257" s="207" t="str">
        <x:v>17</x:v>
      </x:c>
      <x:c r="P257" s="207" t="n">
        <x:v>4</x:v>
      </x:c>
      <x:c r="Q257" s="208" t="str">
        <x:v>Wave 1 (0–30 дней)</x:v>
      </x:c>
    </x:row>
    <x:row r="258">
      <x:c r="A258" s="206" t="str">
        <x:v>DEC-00254</x:v>
      </x:c>
      <x:c r="B258" s="207" t="str">
        <x:v>Cost version</x:v>
      </x:c>
      <x:c r="C258" s="207" t="str">
        <x:v>T-2760</x:v>
      </x:c>
      <x:c r="D258" s="207" t="str">
        <x:v>Нет точной полной себестоимости</x:v>
      </x:c>
      <x:c r="E258" s="207" t="str">
        <x:v>Значение отсутствует</x:v>
      </x:c>
      <x:c r="F258" s="207" t="str">
        <x:v>Найти калькуляцию или подтвердить отсутствие</x:v>
      </x:c>
      <x:c r="G258" s="207" t="str">
        <x:v>Финансы + производство</x:v>
      </x:c>
      <x:c r="H258" s="207" t="str">
        <x:v>Критический</x:v>
      </x:c>
      <x:c r="I258" s="207" t="str">
        <x:v>Маржа SKU/коллекции/заказа</x:v>
      </x:c>
      <x:c r="J258" s="207" t="str"/>
      <x:c r="K258" s="207" t="str"/>
      <x:c r="L258" s="207" t="str"/>
      <x:c r="M258" s="207" t="str">
        <x:v>Не рассмотрено</x:v>
      </x:c>
      <x:c r="N258" s="207" t="str"/>
      <x:c r="O258" s="207" t="str">
        <x:v>17</x:v>
      </x:c>
      <x:c r="P258" s="207" t="n">
        <x:v>4</x:v>
      </x:c>
      <x:c r="Q258" s="208" t="str">
        <x:v>Wave 1 (0–30 дней)</x:v>
      </x:c>
    </x:row>
    <x:row r="259">
      <x:c r="A259" s="206" t="str">
        <x:v>DEC-00255</x:v>
      </x:c>
      <x:c r="B259" s="207" t="str">
        <x:v>Cost version</x:v>
      </x:c>
      <x:c r="C259" s="207" t="str">
        <x:v>T-2846/1</x:v>
      </x:c>
      <x:c r="D259" s="207" t="str">
        <x:v>Нет точной полной себестоимости</x:v>
      </x:c>
      <x:c r="E259" s="207" t="str">
        <x:v>Значение отсутствует</x:v>
      </x:c>
      <x:c r="F259" s="207" t="str">
        <x:v>Найти калькуляцию или подтвердить отсутствие</x:v>
      </x:c>
      <x:c r="G259" s="207" t="str">
        <x:v>Финансы + производство</x:v>
      </x:c>
      <x:c r="H259" s="207" t="str">
        <x:v>Критический</x:v>
      </x:c>
      <x:c r="I259" s="207" t="str">
        <x:v>Маржа SKU/коллекции/заказа</x:v>
      </x:c>
      <x:c r="J259" s="207" t="str"/>
      <x:c r="K259" s="207" t="str"/>
      <x:c r="L259" s="207" t="str"/>
      <x:c r="M259" s="207" t="str">
        <x:v>Не рассмотрено</x:v>
      </x:c>
      <x:c r="N259" s="207" t="str"/>
      <x:c r="O259" s="207" t="str">
        <x:v>17</x:v>
      </x:c>
      <x:c r="P259" s="207" t="n">
        <x:v>4</x:v>
      </x:c>
      <x:c r="Q259" s="208" t="str">
        <x:v>Wave 1 (0–30 дней)</x:v>
      </x:c>
    </x:row>
    <x:row r="260">
      <x:c r="A260" s="206" t="str">
        <x:v>DEC-00256</x:v>
      </x:c>
      <x:c r="B260" s="207" t="str">
        <x:v>Cost version</x:v>
      </x:c>
      <x:c r="C260" s="207" t="str">
        <x:v>T-2847</x:v>
      </x:c>
      <x:c r="D260" s="207" t="str">
        <x:v>Нет точной полной себестоимости</x:v>
      </x:c>
      <x:c r="E260" s="207" t="str">
        <x:v>Значение отсутствует</x:v>
      </x:c>
      <x:c r="F260" s="207" t="str">
        <x:v>Найти калькуляцию или подтвердить отсутствие</x:v>
      </x:c>
      <x:c r="G260" s="207" t="str">
        <x:v>Финансы + производство</x:v>
      </x:c>
      <x:c r="H260" s="207" t="str">
        <x:v>Критический</x:v>
      </x:c>
      <x:c r="I260" s="207" t="str">
        <x:v>Маржа SKU/коллекции/заказа</x:v>
      </x:c>
      <x:c r="J260" s="207" t="str"/>
      <x:c r="K260" s="207" t="str"/>
      <x:c r="L260" s="207" t="str"/>
      <x:c r="M260" s="207" t="str">
        <x:v>Не рассмотрено</x:v>
      </x:c>
      <x:c r="N260" s="207" t="str"/>
      <x:c r="O260" s="207" t="str">
        <x:v>17</x:v>
      </x:c>
      <x:c r="P260" s="207" t="n">
        <x:v>4</x:v>
      </x:c>
      <x:c r="Q260" s="208" t="str">
        <x:v>Wave 1 (0–30 дней)</x:v>
      </x:c>
    </x:row>
    <x:row r="261">
      <x:c r="A261" s="206" t="str">
        <x:v>DEC-00257</x:v>
      </x:c>
      <x:c r="B261" s="207" t="str">
        <x:v>Cost version</x:v>
      </x:c>
      <x:c r="C261" s="207" t="str">
        <x:v>T-2865A</x:v>
      </x:c>
      <x:c r="D261" s="207" t="str">
        <x:v>Неоднозначно: несколько значений</x:v>
      </x:c>
      <x:c r="E261" s="207" t="str">
        <x:v>3000.00; 35609.58</x:v>
      </x:c>
      <x:c r="F261" s="207" t="str">
        <x:v>Выбрать правильную версию после проверки модели/партии/периода</x:v>
      </x:c>
      <x:c r="G261" s="207" t="str">
        <x:v>Финансы + производство</x:v>
      </x:c>
      <x:c r="H261" s="207" t="str">
        <x:v>Высокий</x:v>
      </x:c>
      <x:c r="I261" s="207" t="str">
        <x:v>Маржа SKU/коллекции/заказа</x:v>
      </x:c>
      <x:c r="J261" s="207" t="str">
        <x:v>Себестоимость Меркушина.xlsx / Площадки / строка 34 / 35609.58 / SS25 Круиз ЦУМ; Себестоимость Меркушина.xlsx / ИМ / строка 11 / 35609.58 / SS25 Круиз ЦУМ; Себестоимость Меркушина.xlsx / ИМ / строка 1110 / 3000.00 / SS25 Круиз ЦУМ</x:v>
      </x:c>
      <x:c r="K261" s="207" t="str"/>
      <x:c r="L261" s="207" t="str"/>
      <x:c r="M261" s="207" t="str">
        <x:v>Не рассмотрено</x:v>
      </x:c>
      <x:c r="N261" s="207" t="str"/>
      <x:c r="O261" s="207" t="str">
        <x:v>17</x:v>
      </x:c>
      <x:c r="P261" s="207" t="n">
        <x:v>3</x:v>
      </x:c>
      <x:c r="Q261" s="208" t="str">
        <x:v>Wave 2 (31–60 дней)</x:v>
      </x:c>
    </x:row>
    <x:row r="262">
      <x:c r="A262" s="206" t="str">
        <x:v>DEC-00258</x:v>
      </x:c>
      <x:c r="B262" s="207" t="str">
        <x:v>Cost version</x:v>
      </x:c>
      <x:c r="C262" s="207" t="str">
        <x:v>T-2873</x:v>
      </x:c>
      <x:c r="D262" s="207" t="str">
        <x:v>Неоднозначно: несколько значений</x:v>
      </x:c>
      <x:c r="E262" s="207" t="str">
        <x:v>10538.73; 11138.73</x:v>
      </x:c>
      <x:c r="F262" s="207" t="str">
        <x:v>Выбрать правильную версию после проверки модели/партии/периода</x:v>
      </x:c>
      <x:c r="G262" s="207" t="str">
        <x:v>Финансы + производство</x:v>
      </x:c>
      <x:c r="H262" s="207" t="str">
        <x:v>Высокий</x:v>
      </x:c>
      <x:c r="I262" s="207" t="str">
        <x:v>Маржа SKU/коллекции/заказа</x:v>
      </x:c>
      <x:c r="J262" s="207" t="str">
        <x:v>Себестоимость Меркушина.xlsx / Площадки / строка 118 / 11138.73 / SS25 Круиз ЦУМ; Себестоимость Меркушина.xlsx / ИМ / строка 202 / 10538.73 / SS25 Круиз ЦУМ</x:v>
      </x:c>
      <x:c r="K262" s="207" t="str"/>
      <x:c r="L262" s="207" t="str"/>
      <x:c r="M262" s="207" t="str">
        <x:v>Не рассмотрено</x:v>
      </x:c>
      <x:c r="N262" s="207" t="str"/>
      <x:c r="O262" s="207" t="str">
        <x:v>17</x:v>
      </x:c>
      <x:c r="P262" s="207" t="n">
        <x:v>3</x:v>
      </x:c>
      <x:c r="Q262" s="208" t="str">
        <x:v>Wave 2 (31–60 дней)</x:v>
      </x:c>
    </x:row>
    <x:row r="263">
      <x:c r="A263" s="206" t="str">
        <x:v>DEC-00259</x:v>
      </x:c>
      <x:c r="B263" s="207" t="str">
        <x:v>Cost version</x:v>
      </x:c>
      <x:c r="C263" s="207" t="str">
        <x:v>T-2933</x:v>
      </x:c>
      <x:c r="D263" s="207" t="str">
        <x:v>Нет точной полной себестоимости</x:v>
      </x:c>
      <x:c r="E263" s="207" t="str">
        <x:v>Значение отсутствует</x:v>
      </x:c>
      <x:c r="F263" s="207" t="str">
        <x:v>Найти калькуляцию или подтвердить отсутствие</x:v>
      </x:c>
      <x:c r="G263" s="207" t="str">
        <x:v>Финансы + производство</x:v>
      </x:c>
      <x:c r="H263" s="207" t="str">
        <x:v>Критический</x:v>
      </x:c>
      <x:c r="I263" s="207" t="str">
        <x:v>Маржа SKU/коллекции/заказа</x:v>
      </x:c>
      <x:c r="J263" s="207" t="str"/>
      <x:c r="K263" s="207" t="str"/>
      <x:c r="L263" s="207" t="str"/>
      <x:c r="M263" s="207" t="str">
        <x:v>Не рассмотрено</x:v>
      </x:c>
      <x:c r="N263" s="207" t="str"/>
      <x:c r="O263" s="207" t="str">
        <x:v>17</x:v>
      </x:c>
      <x:c r="P263" s="207" t="n">
        <x:v>4</x:v>
      </x:c>
      <x:c r="Q263" s="208" t="str">
        <x:v>Wave 1 (0–30 дней)</x:v>
      </x:c>
    </x:row>
    <x:row r="264">
      <x:c r="A264" s="206" t="str">
        <x:v>DEC-00260</x:v>
      </x:c>
      <x:c r="B264" s="207" t="str">
        <x:v>Cost version</x:v>
      </x:c>
      <x:c r="C264" s="207" t="str">
        <x:v>T-2938</x:v>
      </x:c>
      <x:c r="D264" s="207" t="str">
        <x:v>Нет точной полной себестоимости</x:v>
      </x:c>
      <x:c r="E264" s="207" t="str">
        <x:v>Значение отсутствует</x:v>
      </x:c>
      <x:c r="F264" s="207" t="str">
        <x:v>Найти калькуляцию или подтвердить отсутствие</x:v>
      </x:c>
      <x:c r="G264" s="207" t="str">
        <x:v>Финансы + производство</x:v>
      </x:c>
      <x:c r="H264" s="207" t="str">
        <x:v>Критический</x:v>
      </x:c>
      <x:c r="I264" s="207" t="str">
        <x:v>Маржа SKU/коллекции/заказа</x:v>
      </x:c>
      <x:c r="J264" s="207" t="str"/>
      <x:c r="K264" s="207" t="str"/>
      <x:c r="L264" s="207" t="str"/>
      <x:c r="M264" s="207" t="str">
        <x:v>Не рассмотрено</x:v>
      </x:c>
      <x:c r="N264" s="207" t="str"/>
      <x:c r="O264" s="207" t="str">
        <x:v>17</x:v>
      </x:c>
      <x:c r="P264" s="207" t="n">
        <x:v>4</x:v>
      </x:c>
      <x:c r="Q264" s="208" t="str">
        <x:v>Wave 1 (0–30 дней)</x:v>
      </x:c>
    </x:row>
    <x:row r="265">
      <x:c r="A265" s="206" t="str">
        <x:v>DEC-00261</x:v>
      </x:c>
      <x:c r="B265" s="207" t="str">
        <x:v>Cost version</x:v>
      </x:c>
      <x:c r="C265" s="207" t="str">
        <x:v>T-2940/1</x:v>
      </x:c>
      <x:c r="D265" s="207" t="str">
        <x:v>Нет точной полной себестоимости</x:v>
      </x:c>
      <x:c r="E265" s="207" t="str">
        <x:v>Значение отсутствует</x:v>
      </x:c>
      <x:c r="F265" s="207" t="str">
        <x:v>Найти калькуляцию или подтвердить отсутствие</x:v>
      </x:c>
      <x:c r="G265" s="207" t="str">
        <x:v>Финансы + производство</x:v>
      </x:c>
      <x:c r="H265" s="207" t="str">
        <x:v>Критический</x:v>
      </x:c>
      <x:c r="I265" s="207" t="str">
        <x:v>Маржа SKU/коллекции/заказа</x:v>
      </x:c>
      <x:c r="J265" s="207" t="str"/>
      <x:c r="K265" s="207" t="str"/>
      <x:c r="L265" s="207" t="str"/>
      <x:c r="M265" s="207" t="str">
        <x:v>Не рассмотрено</x:v>
      </x:c>
      <x:c r="N265" s="207" t="str"/>
      <x:c r="O265" s="207" t="str">
        <x:v>17</x:v>
      </x:c>
      <x:c r="P265" s="207" t="n">
        <x:v>4</x:v>
      </x:c>
      <x:c r="Q265" s="208" t="str">
        <x:v>Wave 1 (0–30 дней)</x:v>
      </x:c>
    </x:row>
    <x:row r="266">
      <x:c r="A266" s="206" t="str">
        <x:v>DEC-00262</x:v>
      </x:c>
      <x:c r="B266" s="207" t="str">
        <x:v>Cost version</x:v>
      </x:c>
      <x:c r="C266" s="207" t="str">
        <x:v>T-2941</x:v>
      </x:c>
      <x:c r="D266" s="207" t="str">
        <x:v>Нет точной полной себестоимости</x:v>
      </x:c>
      <x:c r="E266" s="207" t="str">
        <x:v>Значение отсутствует</x:v>
      </x:c>
      <x:c r="F266" s="207" t="str">
        <x:v>Найти калькуляцию или подтвердить отсутствие</x:v>
      </x:c>
      <x:c r="G266" s="207" t="str">
        <x:v>Финансы + производство</x:v>
      </x:c>
      <x:c r="H266" s="207" t="str">
        <x:v>Критический</x:v>
      </x:c>
      <x:c r="I266" s="207" t="str">
        <x:v>Маржа SKU/коллекции/заказа</x:v>
      </x:c>
      <x:c r="J266" s="207" t="str"/>
      <x:c r="K266" s="207" t="str"/>
      <x:c r="L266" s="207" t="str"/>
      <x:c r="M266" s="207" t="str">
        <x:v>Не рассмотрено</x:v>
      </x:c>
      <x:c r="N266" s="207" t="str"/>
      <x:c r="O266" s="207" t="str">
        <x:v>17</x:v>
      </x:c>
      <x:c r="P266" s="207" t="n">
        <x:v>4</x:v>
      </x:c>
      <x:c r="Q266" s="208" t="str">
        <x:v>Wave 1 (0–30 дней)</x:v>
      </x:c>
    </x:row>
    <x:row r="267">
      <x:c r="A267" s="206" t="str">
        <x:v>DEC-00263</x:v>
      </x:c>
      <x:c r="B267" s="207" t="str">
        <x:v>Cost version</x:v>
      </x:c>
      <x:c r="C267" s="207" t="str">
        <x:v>T-2945</x:v>
      </x:c>
      <x:c r="D267" s="207" t="str">
        <x:v>Нет точной полной себестоимости</x:v>
      </x:c>
      <x:c r="E267" s="207" t="str">
        <x:v>Значение отсутствует</x:v>
      </x:c>
      <x:c r="F267" s="207" t="str">
        <x:v>Найти калькуляцию или подтвердить отсутствие</x:v>
      </x:c>
      <x:c r="G267" s="207" t="str">
        <x:v>Финансы + производство</x:v>
      </x:c>
      <x:c r="H267" s="207" t="str">
        <x:v>Критический</x:v>
      </x:c>
      <x:c r="I267" s="207" t="str">
        <x:v>Маржа SKU/коллекции/заказа</x:v>
      </x:c>
      <x:c r="J267" s="207" t="str"/>
      <x:c r="K267" s="207" t="str"/>
      <x:c r="L267" s="207" t="str"/>
      <x:c r="M267" s="207" t="str">
        <x:v>Не рассмотрено</x:v>
      </x:c>
      <x:c r="N267" s="207" t="str"/>
      <x:c r="O267" s="207" t="str">
        <x:v>17</x:v>
      </x:c>
      <x:c r="P267" s="207" t="n">
        <x:v>4</x:v>
      </x:c>
      <x:c r="Q267" s="208" t="str">
        <x:v>Wave 1 (0–30 дней)</x:v>
      </x:c>
    </x:row>
    <x:row r="268">
      <x:c r="A268" s="206" t="str">
        <x:v>DEC-00264</x:v>
      </x:c>
      <x:c r="B268" s="207" t="str">
        <x:v>Cost version</x:v>
      </x:c>
      <x:c r="C268" s="207" t="str">
        <x:v>T-2956</x:v>
      </x:c>
      <x:c r="D268" s="207" t="str">
        <x:v>Нет точной полной себестоимости</x:v>
      </x:c>
      <x:c r="E268" s="207" t="str">
        <x:v>Значение отсутствует</x:v>
      </x:c>
      <x:c r="F268" s="207" t="str">
        <x:v>Найти калькуляцию или подтвердить отсутствие</x:v>
      </x:c>
      <x:c r="G268" s="207" t="str">
        <x:v>Финансы + производство</x:v>
      </x:c>
      <x:c r="H268" s="207" t="str">
        <x:v>Критический</x:v>
      </x:c>
      <x:c r="I268" s="207" t="str">
        <x:v>Маржа SKU/коллекции/заказа</x:v>
      </x:c>
      <x:c r="J268" s="207" t="str"/>
      <x:c r="K268" s="207" t="str"/>
      <x:c r="L268" s="207" t="str"/>
      <x:c r="M268" s="207" t="str">
        <x:v>Не рассмотрено</x:v>
      </x:c>
      <x:c r="N268" s="207" t="str"/>
      <x:c r="O268" s="207" t="str">
        <x:v>17</x:v>
      </x:c>
      <x:c r="P268" s="207" t="n">
        <x:v>4</x:v>
      </x:c>
      <x:c r="Q268" s="208" t="str">
        <x:v>Wave 1 (0–30 дней)</x:v>
      </x:c>
    </x:row>
    <x:row r="269">
      <x:c r="A269" s="206" t="str">
        <x:v>DEC-00265</x:v>
      </x:c>
      <x:c r="B269" s="207" t="str">
        <x:v>Cost version</x:v>
      </x:c>
      <x:c r="C269" s="207" t="str">
        <x:v>T-2960</x:v>
      </x:c>
      <x:c r="D269" s="207" t="str">
        <x:v>Нет точной полной себестоимости</x:v>
      </x:c>
      <x:c r="E269" s="207" t="str">
        <x:v>Значение отсутствует</x:v>
      </x:c>
      <x:c r="F269" s="207" t="str">
        <x:v>Найти калькуляцию или подтвердить отсутствие</x:v>
      </x:c>
      <x:c r="G269" s="207" t="str">
        <x:v>Финансы + производство</x:v>
      </x:c>
      <x:c r="H269" s="207" t="str">
        <x:v>Критический</x:v>
      </x:c>
      <x:c r="I269" s="207" t="str">
        <x:v>Маржа SKU/коллекции/заказа</x:v>
      </x:c>
      <x:c r="J269" s="207" t="str"/>
      <x:c r="K269" s="207" t="str"/>
      <x:c r="L269" s="207" t="str"/>
      <x:c r="M269" s="207" t="str">
        <x:v>Не рассмотрено</x:v>
      </x:c>
      <x:c r="N269" s="207" t="str"/>
      <x:c r="O269" s="207" t="str">
        <x:v>17</x:v>
      </x:c>
      <x:c r="P269" s="207" t="n">
        <x:v>4</x:v>
      </x:c>
      <x:c r="Q269" s="208" t="str">
        <x:v>Wave 1 (0–30 дней)</x:v>
      </x:c>
    </x:row>
    <x:row r="270">
      <x:c r="A270" s="206" t="str">
        <x:v>DEC-00266</x:v>
      </x:c>
      <x:c r="B270" s="207" t="str">
        <x:v>Cost version</x:v>
      </x:c>
      <x:c r="C270" s="207" t="str">
        <x:v>T-2963</x:v>
      </x:c>
      <x:c r="D270" s="207" t="str">
        <x:v>Нет точной полной себестоимости</x:v>
      </x:c>
      <x:c r="E270" s="207" t="str">
        <x:v>Значение отсутствует</x:v>
      </x:c>
      <x:c r="F270" s="207" t="str">
        <x:v>Найти калькуляцию или подтвердить отсутствие</x:v>
      </x:c>
      <x:c r="G270" s="207" t="str">
        <x:v>Финансы + производство</x:v>
      </x:c>
      <x:c r="H270" s="207" t="str">
        <x:v>Критический</x:v>
      </x:c>
      <x:c r="I270" s="207" t="str">
        <x:v>Маржа SKU/коллекции/заказа</x:v>
      </x:c>
      <x:c r="J270" s="207" t="str"/>
      <x:c r="K270" s="207" t="str"/>
      <x:c r="L270" s="207" t="str"/>
      <x:c r="M270" s="207" t="str">
        <x:v>Не рассмотрено</x:v>
      </x:c>
      <x:c r="N270" s="207" t="str"/>
      <x:c r="O270" s="207" t="str">
        <x:v>17</x:v>
      </x:c>
      <x:c r="P270" s="207" t="n">
        <x:v>4</x:v>
      </x:c>
      <x:c r="Q270" s="208" t="str">
        <x:v>Wave 1 (0–30 дней)</x:v>
      </x:c>
    </x:row>
    <x:row r="271">
      <x:c r="A271" s="206" t="str">
        <x:v>DEC-00267</x:v>
      </x:c>
      <x:c r="B271" s="207" t="str">
        <x:v>Cost version</x:v>
      </x:c>
      <x:c r="C271" s="207" t="str">
        <x:v>T-2964</x:v>
      </x:c>
      <x:c r="D271" s="207" t="str">
        <x:v>Нет точной полной себестоимости</x:v>
      </x:c>
      <x:c r="E271" s="207" t="str">
        <x:v>Значение отсутствует</x:v>
      </x:c>
      <x:c r="F271" s="207" t="str">
        <x:v>Найти калькуляцию или подтвердить отсутствие</x:v>
      </x:c>
      <x:c r="G271" s="207" t="str">
        <x:v>Финансы + производство</x:v>
      </x:c>
      <x:c r="H271" s="207" t="str">
        <x:v>Критический</x:v>
      </x:c>
      <x:c r="I271" s="207" t="str">
        <x:v>Маржа SKU/коллекции/заказа</x:v>
      </x:c>
      <x:c r="J271" s="207" t="str"/>
      <x:c r="K271" s="207" t="str"/>
      <x:c r="L271" s="207" t="str"/>
      <x:c r="M271" s="207" t="str">
        <x:v>Не рассмотрено</x:v>
      </x:c>
      <x:c r="N271" s="207" t="str"/>
      <x:c r="O271" s="207" t="str">
        <x:v>17</x:v>
      </x:c>
      <x:c r="P271" s="207" t="n">
        <x:v>4</x:v>
      </x:c>
      <x:c r="Q271" s="208" t="str">
        <x:v>Wave 1 (0–30 дней)</x:v>
      </x:c>
    </x:row>
    <x:row r="272">
      <x:c r="A272" s="206" t="str">
        <x:v>DEC-00268</x:v>
      </x:c>
      <x:c r="B272" s="207" t="str">
        <x:v>Cost version</x:v>
      </x:c>
      <x:c r="C272" s="207" t="str">
        <x:v>T-2966A</x:v>
      </x:c>
      <x:c r="D272" s="207" t="str">
        <x:v>Нет точной полной себестоимости</x:v>
      </x:c>
      <x:c r="E272" s="207" t="str">
        <x:v>Значение отсутствует</x:v>
      </x:c>
      <x:c r="F272" s="207" t="str">
        <x:v>Найти калькуляцию или подтвердить отсутствие</x:v>
      </x:c>
      <x:c r="G272" s="207" t="str">
        <x:v>Финансы + производство</x:v>
      </x:c>
      <x:c r="H272" s="207" t="str">
        <x:v>Критический</x:v>
      </x:c>
      <x:c r="I272" s="207" t="str">
        <x:v>Маржа SKU/коллекции/заказа</x:v>
      </x:c>
      <x:c r="J272" s="207" t="str"/>
      <x:c r="K272" s="207" t="str"/>
      <x:c r="L272" s="207" t="str"/>
      <x:c r="M272" s="207" t="str">
        <x:v>Не рассмотрено</x:v>
      </x:c>
      <x:c r="N272" s="207" t="str"/>
      <x:c r="O272" s="207" t="str">
        <x:v>17</x:v>
      </x:c>
      <x:c r="P272" s="207" t="n">
        <x:v>4</x:v>
      </x:c>
      <x:c r="Q272" s="208" t="str">
        <x:v>Wave 1 (0–30 дней)</x:v>
      </x:c>
    </x:row>
    <x:row r="273">
      <x:c r="A273" s="206" t="str">
        <x:v>DEC-00269</x:v>
      </x:c>
      <x:c r="B273" s="207" t="str">
        <x:v>Cost version</x:v>
      </x:c>
      <x:c r="C273" s="207" t="str">
        <x:v>T-2967</x:v>
      </x:c>
      <x:c r="D273" s="207" t="str">
        <x:v>Нет точной полной себестоимости</x:v>
      </x:c>
      <x:c r="E273" s="207" t="str">
        <x:v>Значение отсутствует</x:v>
      </x:c>
      <x:c r="F273" s="207" t="str">
        <x:v>Найти калькуляцию или подтвердить отсутствие</x:v>
      </x:c>
      <x:c r="G273" s="207" t="str">
        <x:v>Финансы + производство</x:v>
      </x:c>
      <x:c r="H273" s="207" t="str">
        <x:v>Критический</x:v>
      </x:c>
      <x:c r="I273" s="207" t="str">
        <x:v>Маржа SKU/коллекции/заказа</x:v>
      </x:c>
      <x:c r="J273" s="207" t="str"/>
      <x:c r="K273" s="207" t="str"/>
      <x:c r="L273" s="207" t="str"/>
      <x:c r="M273" s="207" t="str">
        <x:v>Не рассмотрено</x:v>
      </x:c>
      <x:c r="N273" s="207" t="str"/>
      <x:c r="O273" s="207" t="str">
        <x:v>17</x:v>
      </x:c>
      <x:c r="P273" s="207" t="n">
        <x:v>4</x:v>
      </x:c>
      <x:c r="Q273" s="208" t="str">
        <x:v>Wave 1 (0–30 дней)</x:v>
      </x:c>
    </x:row>
    <x:row r="274">
      <x:c r="A274" s="206" t="str">
        <x:v>DEC-00270</x:v>
      </x:c>
      <x:c r="B274" s="207" t="str">
        <x:v>Cost version</x:v>
      </x:c>
      <x:c r="C274" s="207" t="str">
        <x:v>T-2973</x:v>
      </x:c>
      <x:c r="D274" s="207" t="str">
        <x:v>Неоднозначно: несколько значений</x:v>
      </x:c>
      <x:c r="E274" s="207" t="str">
        <x:v>5919.43; 7499.25</x:v>
      </x:c>
      <x:c r="F274" s="207" t="str">
        <x:v>Выбрать правильную версию после проверки модели/партии/периода</x:v>
      </x:c>
      <x:c r="G274" s="207" t="str">
        <x:v>Финансы + производство</x:v>
      </x:c>
      <x:c r="H274" s="207" t="str">
        <x:v>Высокий</x:v>
      </x:c>
      <x:c r="I274" s="207" t="str">
        <x:v>Маржа SKU/коллекции/заказа</x:v>
      </x:c>
      <x:c r="J274" s="207" t="str">
        <x:v>Себестоимость Меркушина.xlsx / Площадки / строка 62 / 5919.43 / SS25 Круиз ЦУМ; Себестоимость Меркушина.xlsx / ИМ / строка 642 / 7499.25 / </x:v>
      </x:c>
      <x:c r="K274" s="207" t="str"/>
      <x:c r="L274" s="207" t="str"/>
      <x:c r="M274" s="207" t="str">
        <x:v>Не рассмотрено</x:v>
      </x:c>
      <x:c r="N274" s="207" t="str"/>
      <x:c r="O274" s="207" t="str">
        <x:v>17</x:v>
      </x:c>
      <x:c r="P274" s="207" t="n">
        <x:v>3</x:v>
      </x:c>
      <x:c r="Q274" s="208" t="str">
        <x:v>Wave 2 (31–60 дней)</x:v>
      </x:c>
    </x:row>
    <x:row r="275">
      <x:c r="A275" s="206" t="str">
        <x:v>DEC-00271</x:v>
      </x:c>
      <x:c r="B275" s="207" t="str">
        <x:v>Cost version</x:v>
      </x:c>
      <x:c r="C275" s="207" t="str">
        <x:v>T-2973A</x:v>
      </x:c>
      <x:c r="D275" s="207" t="str">
        <x:v>Неоднозначно: несколько значений</x:v>
      </x:c>
      <x:c r="E275" s="207" t="str">
        <x:v>5977.62; 7601.50; 7609.20</x:v>
      </x:c>
      <x:c r="F275" s="207" t="str">
        <x:v>Выбрать правильную версию после проверки модели/партии/периода</x:v>
      </x:c>
      <x:c r="G275" s="207" t="str">
        <x:v>Финансы + производство</x:v>
      </x:c>
      <x:c r="H275" s="207" t="str">
        <x:v>Высокий</x:v>
      </x:c>
      <x:c r="I275" s="207" t="str">
        <x:v>Маржа SKU/коллекции/заказа</x:v>
      </x:c>
      <x:c r="J275" s="207" t="str">
        <x:v>Себестоимость Меркушина.xlsx / Площадки / строка 69 / 5977.62 / SS25 Круиз ЦУМ; Себестоимость Меркушина.xlsx / ИМ / строка 18 / 5977.62 / SS25 Круиз ЦУМ; Себестоимость Меркушина.xlsx / ИМ / строка 564 / 7609.20 / SS25 Круиз ЦУМ; Себестоимость Меркушина.xlsx / ИМ / строка 649 / 7601.50 / </x:v>
      </x:c>
      <x:c r="K275" s="207" t="str"/>
      <x:c r="L275" s="207" t="str"/>
      <x:c r="M275" s="207" t="str">
        <x:v>Не рассмотрено</x:v>
      </x:c>
      <x:c r="N275" s="207" t="str"/>
      <x:c r="O275" s="207" t="str">
        <x:v>17</x:v>
      </x:c>
      <x:c r="P275" s="207" t="n">
        <x:v>3</x:v>
      </x:c>
      <x:c r="Q275" s="208" t="str">
        <x:v>Wave 2 (31–60 дней)</x:v>
      </x:c>
    </x:row>
    <x:row r="276">
      <x:c r="A276" s="206" t="str">
        <x:v>DEC-00272</x:v>
      </x:c>
      <x:c r="B276" s="207" t="str">
        <x:v>Cost version</x:v>
      </x:c>
      <x:c r="C276" s="207" t="str">
        <x:v>T-2985</x:v>
      </x:c>
      <x:c r="D276" s="207" t="str">
        <x:v>Неоднозначно: несколько значений</x:v>
      </x:c>
      <x:c r="E276" s="207" t="str">
        <x:v>22087.13; 25327.38</x:v>
      </x:c>
      <x:c r="F276" s="207" t="str">
        <x:v>Выбрать правильную версию после проверки модели/партии/периода</x:v>
      </x:c>
      <x:c r="G276" s="207" t="str">
        <x:v>Финансы + производство</x:v>
      </x:c>
      <x:c r="H276" s="207" t="str">
        <x:v>Высокий</x:v>
      </x:c>
      <x:c r="I276" s="207" t="str">
        <x:v>Маржа SKU/коллекции/заказа</x:v>
      </x:c>
      <x:c r="J276" s="207" t="str">
        <x:v>Себестоимость Меркушина.xlsx / Площадки / строка 316 / 22087.13 /  FW 25  ЦУМ; Себестоимость Меркушина.xlsx / Площадки / строка 543 / 25327.38 / Дошив FW  ЦУМ 2025</x:v>
      </x:c>
      <x:c r="K276" s="207" t="str"/>
      <x:c r="L276" s="207" t="str"/>
      <x:c r="M276" s="207" t="str">
        <x:v>Не рассмотрено</x:v>
      </x:c>
      <x:c r="N276" s="207" t="str"/>
      <x:c r="O276" s="207" t="str">
        <x:v>17</x:v>
      </x:c>
      <x:c r="P276" s="207" t="n">
        <x:v>3</x:v>
      </x:c>
      <x:c r="Q276" s="208" t="str">
        <x:v>Wave 2 (31–60 дней)</x:v>
      </x:c>
    </x:row>
    <x:row r="277">
      <x:c r="A277" s="206" t="str">
        <x:v>DEC-00273</x:v>
      </x:c>
      <x:c r="B277" s="207" t="str">
        <x:v>Cost version</x:v>
      </x:c>
      <x:c r="C277" s="207" t="str">
        <x:v>T-2988</x:v>
      </x:c>
      <x:c r="D277" s="207" t="str">
        <x:v>Неоднозначно: несколько значений</x:v>
      </x:c>
      <x:c r="E277" s="207" t="str">
        <x:v>8907.99; 11084.48; 15850.28</x:v>
      </x:c>
      <x:c r="F277" s="207" t="str">
        <x:v>Выбрать правильную версию после проверки модели/партии/периода</x:v>
      </x:c>
      <x:c r="G277" s="207" t="str">
        <x:v>Финансы + производство</x:v>
      </x:c>
      <x:c r="H277" s="207" t="str">
        <x:v>Высокий</x:v>
      </x:c>
      <x:c r="I277" s="207" t="str">
        <x:v>Маржа SKU/коллекции/заказа</x:v>
      </x:c>
      <x:c r="J277" s="207" t="str">
        <x:v>Себестоимость Меркушина.xlsx / Площадки / строка 386 / 15850.28 /  FW 25  ЦУМ; Себестоимость Меркушина.xlsx / Площадки / строка 578 / 8907.99 / Дошив FW  ЦУМ 2025; Себестоимость Меркушина.xlsx / ИМ / строка 217 / 15850.28 / FW 25 ЦУМ; Себестоимость Меркушина.xlsx / ИМ / строка 571 / 11084.48 / FW25 Круиз ЦУМ</x:v>
      </x:c>
      <x:c r="K277" s="207" t="str"/>
      <x:c r="L277" s="207" t="str"/>
      <x:c r="M277" s="207" t="str">
        <x:v>Не рассмотрено</x:v>
      </x:c>
      <x:c r="N277" s="207" t="str"/>
      <x:c r="O277" s="207" t="str">
        <x:v>17</x:v>
      </x:c>
      <x:c r="P277" s="207" t="n">
        <x:v>3</x:v>
      </x:c>
      <x:c r="Q277" s="208" t="str">
        <x:v>Wave 2 (31–60 дней)</x:v>
      </x:c>
    </x:row>
    <x:row r="278">
      <x:c r="A278" s="206" t="str">
        <x:v>DEC-00274</x:v>
      </x:c>
      <x:c r="B278" s="207" t="str">
        <x:v>Cost version</x:v>
      </x:c>
      <x:c r="C278" s="207" t="str">
        <x:v>T-3001</x:v>
      </x:c>
      <x:c r="D278" s="207" t="str">
        <x:v>Неоднозначно: несколько значений</x:v>
      </x:c>
      <x:c r="E278" s="207" t="str">
        <x:v>41482.60; 45012.68; 46130.81</x:v>
      </x:c>
      <x:c r="F278" s="207" t="str">
        <x:v>Выбрать правильную версию после проверки модели/партии/периода</x:v>
      </x:c>
      <x:c r="G278" s="207" t="str">
        <x:v>Финансы + производство</x:v>
      </x:c>
      <x:c r="H278" s="207" t="str">
        <x:v>Высокий</x:v>
      </x:c>
      <x:c r="I278" s="207" t="str">
        <x:v>Маржа SKU/коллекции/заказа</x:v>
      </x:c>
      <x:c r="J278" s="207" t="str">
        <x:v>Себестоимость Меркушина.xlsx / Площадки / строка 351 / 41482.60 /  FW 25  ЦУМ; Себестоимость Меркушина.xlsx / Площадки / строка 564 / 45012.68 / Дошив FW  ЦУМ 2025; Себестоимость Меркушина.xlsx / ИМ / строка 231 / 41482.60 / FW 25 ЦУМ; Себестоимость Меркушина.xlsx / ИМ / строка 742 / 46130.81 / FW 26-27 Осень-зима ЦУМ</x:v>
      </x:c>
      <x:c r="K278" s="207" t="str"/>
      <x:c r="L278" s="207" t="str"/>
      <x:c r="M278" s="207" t="str">
        <x:v>Не рассмотрено</x:v>
      </x:c>
      <x:c r="N278" s="207" t="str"/>
      <x:c r="O278" s="207" t="str">
        <x:v>17</x:v>
      </x:c>
      <x:c r="P278" s="207" t="n">
        <x:v>3</x:v>
      </x:c>
      <x:c r="Q278" s="208" t="str">
        <x:v>Wave 2 (31–60 дней)</x:v>
      </x:c>
    </x:row>
    <x:row r="279">
      <x:c r="A279" s="206" t="str">
        <x:v>DEC-00275</x:v>
      </x:c>
      <x:c r="B279" s="207" t="str">
        <x:v>Cost version</x:v>
      </x:c>
      <x:c r="C279" s="207" t="str">
        <x:v>T-3014B</x:v>
      </x:c>
      <x:c r="D279" s="207" t="str">
        <x:v>Неоднозначно: несколько значений</x:v>
      </x:c>
      <x:c r="E279" s="207" t="str">
        <x:v>27393.67; 56550.00</x:v>
      </x:c>
      <x:c r="F279" s="207" t="str">
        <x:v>Выбрать правильную версию после проверки модели/партии/периода</x:v>
      </x:c>
      <x:c r="G279" s="207" t="str">
        <x:v>Финансы + производство</x:v>
      </x:c>
      <x:c r="H279" s="207" t="str">
        <x:v>Высокий</x:v>
      </x:c>
      <x:c r="I279" s="207" t="str">
        <x:v>Маржа SKU/коллекции/заказа</x:v>
      </x:c>
      <x:c r="J279" s="207" t="str">
        <x:v>Себестоимость Меркушина.xlsx / Площадки / строка 330 / 27393.67 /  FW 25  ЦУМ; Себестоимость Меркушина.xlsx / Площадки / строка 571 / 56550.00 / Дошив FW  ЦУМ 2025</x:v>
      </x:c>
      <x:c r="K279" s="207" t="str"/>
      <x:c r="L279" s="207" t="str"/>
      <x:c r="M279" s="207" t="str">
        <x:v>Не рассмотрено</x:v>
      </x:c>
      <x:c r="N279" s="207" t="str"/>
      <x:c r="O279" s="207" t="str">
        <x:v>17</x:v>
      </x:c>
      <x:c r="P279" s="207" t="n">
        <x:v>3</x:v>
      </x:c>
      <x:c r="Q279" s="208" t="str">
        <x:v>Wave 2 (31–60 дней)</x:v>
      </x:c>
    </x:row>
    <x:row r="280">
      <x:c r="A280" s="206" t="str">
        <x:v>DEC-00276</x:v>
      </x:c>
      <x:c r="B280" s="207" t="str">
        <x:v>Cost version</x:v>
      </x:c>
      <x:c r="C280" s="207" t="str">
        <x:v>T-3152A</x:v>
      </x:c>
      <x:c r="D280" s="207" t="str">
        <x:v>Неоднозначно: несколько значений</x:v>
      </x:c>
      <x:c r="E280" s="207" t="str">
        <x:v>10268.44; 10439.33</x:v>
      </x:c>
      <x:c r="F280" s="207" t="str">
        <x:v>Выбрать правильную версию после проверки модели/партии/периода</x:v>
      </x:c>
      <x:c r="G280" s="207" t="str">
        <x:v>Финансы + производство</x:v>
      </x:c>
      <x:c r="H280" s="207" t="str">
        <x:v>Высокий</x:v>
      </x:c>
      <x:c r="I280" s="207" t="str">
        <x:v>Маржа SKU/коллекции/заказа</x:v>
      </x:c>
      <x:c r="J280" s="207" t="str">
        <x:v>Себестоимость Меркушина.xlsx / Площадки / строка 614 / 10439.33 / SS 26  Круиз ЦУМ; Себестоимость Меркушина.xlsx / ИМ / строка 409 / 10439.33 / SS 26  Круиз ; Себестоимость Меркушина.xlsx / ИМ / строка 416 / 10268.44 / SS 26  Круиз </x:v>
      </x:c>
      <x:c r="K280" s="207" t="str"/>
      <x:c r="L280" s="207" t="str"/>
      <x:c r="M280" s="207" t="str">
        <x:v>Не рассмотрено</x:v>
      </x:c>
      <x:c r="N280" s="207" t="str"/>
      <x:c r="O280" s="207" t="str">
        <x:v>17</x:v>
      </x:c>
      <x:c r="P280" s="207" t="n">
        <x:v>3</x:v>
      </x:c>
      <x:c r="Q280" s="208" t="str">
        <x:v>Wave 2 (31–60 дней)</x:v>
      </x:c>
    </x:row>
    <x:row r="281">
      <x:c r="A281" s="206" t="str">
        <x:v>DEC-00277</x:v>
      </x:c>
      <x:c r="B281" s="207" t="str">
        <x:v>Production order</x:v>
      </x:c>
      <x:c r="C281" s="207" t="str">
        <x:v>PO-DRAFT-0001</x:v>
      </x:c>
      <x:c r="D281" s="207" t="str">
        <x:v>model_code; canonical_sku; qty; production_status; actual_completion_date; production_order_owner</x:v>
      </x:c>
      <x:c r="E281" s="207" t="str">
        <x:v>02-06-26/1 |  | платье длин, с выш "бело-серебристые колосья", шифон бел</x:v>
      </x:c>
      <x:c r="F281" s="207" t="str">
        <x:v>Подтвердить модель/SKU, количество, сроки и статус</x:v>
      </x:c>
      <x:c r="G281" s="207" t="str">
        <x:v>Производство</x:v>
      </x:c>
      <x:c r="H281" s="207" t="str">
        <x:v>Критический</x:v>
      </x:c>
      <x:c r="I281" s="207" t="str">
        <x:v>Lead time; WIP; order cost</x:v>
      </x:c>
      <x:c r="J281" s="207" t="str">
        <x:v>План сдач row 4</x:v>
      </x:c>
      <x:c r="K281" s="207" t="str"/>
      <x:c r="L281" s="207" t="str"/>
      <x:c r="M281" s="207" t="str">
        <x:v>Не рассмотрено</x:v>
      </x:c>
      <x:c r="N281" s="207" t="str"/>
      <x:c r="O281" s="207" t="str">
        <x:v>17</x:v>
      </x:c>
      <x:c r="P281" s="207" t="n">
        <x:v>4</x:v>
      </x:c>
      <x:c r="Q281" s="208" t="str">
        <x:v>Wave 1 (0–30 дней)</x:v>
      </x:c>
    </x:row>
    <x:row r="282">
      <x:c r="A282" s="206" t="str">
        <x:v>DEC-00278</x:v>
      </x:c>
      <x:c r="B282" s="207" t="str">
        <x:v>Production order</x:v>
      </x:c>
      <x:c r="C282" s="207" t="str">
        <x:v>PO-DRAFT-0002</x:v>
      </x:c>
      <x:c r="D282" s="207" t="str">
        <x:v>model_code; canonical_sku; qty; production_status; actual_completion_date; production_order_owner</x:v>
      </x:c>
      <x:c r="E282" s="207" t="str">
        <x:v>02-06-26/2 |  | головной убор "бело-серебристые колосья"</x:v>
      </x:c>
      <x:c r="F282" s="207" t="str">
        <x:v>Подтвердить модель/SKU, количество, сроки и статус</x:v>
      </x:c>
      <x:c r="G282" s="207" t="str">
        <x:v>Производство</x:v>
      </x:c>
      <x:c r="H282" s="207" t="str">
        <x:v>Критический</x:v>
      </x:c>
      <x:c r="I282" s="207" t="str">
        <x:v>Lead time; WIP; order cost</x:v>
      </x:c>
      <x:c r="J282" s="207" t="str">
        <x:v>План сдач row 5</x:v>
      </x:c>
      <x:c r="K282" s="207" t="str"/>
      <x:c r="L282" s="207" t="str"/>
      <x:c r="M282" s="207" t="str">
        <x:v>Не рассмотрено</x:v>
      </x:c>
      <x:c r="N282" s="207" t="str"/>
      <x:c r="O282" s="207" t="str">
        <x:v>17</x:v>
      </x:c>
      <x:c r="P282" s="207" t="n">
        <x:v>4</x:v>
      </x:c>
      <x:c r="Q282" s="208" t="str">
        <x:v>Wave 1 (0–30 дней)</x:v>
      </x:c>
    </x:row>
    <x:row r="283">
      <x:c r="A283" s="206" t="str">
        <x:v>DEC-00279</x:v>
      </x:c>
      <x:c r="B283" s="207" t="str">
        <x:v>Production order</x:v>
      </x:c>
      <x:c r="C283" s="207" t="str">
        <x:v>PO-DRAFT-0003</x:v>
      </x:c>
      <x:c r="D283" s="207" t="str">
        <x:v>canonical_sku; qty; production_status; actual_completion_date; production_order_owner</x:v>
      </x:c>
      <x:c r="E283" s="207" t="str">
        <x:v>09-05-26/1 | 0-3414 | блуза с колье, хлопок мятн</x:v>
      </x:c>
      <x:c r="F283" s="207" t="str">
        <x:v>Подтвердить модель/SKU, количество, сроки и статус</x:v>
      </x:c>
      <x:c r="G283" s="207" t="str">
        <x:v>Производство</x:v>
      </x:c>
      <x:c r="H283" s="207" t="str">
        <x:v>Критический</x:v>
      </x:c>
      <x:c r="I283" s="207" t="str">
        <x:v>Lead time; WIP; order cost</x:v>
      </x:c>
      <x:c r="J283" s="207" t="str">
        <x:v>План сдач row 8</x:v>
      </x:c>
      <x:c r="K283" s="207" t="str"/>
      <x:c r="L283" s="207" t="str"/>
      <x:c r="M283" s="207" t="str">
        <x:v>Не рассмотрено</x:v>
      </x:c>
      <x:c r="N283" s="207" t="str"/>
      <x:c r="O283" s="207" t="str">
        <x:v>17</x:v>
      </x:c>
      <x:c r="P283" s="207" t="n">
        <x:v>4</x:v>
      </x:c>
      <x:c r="Q283" s="208" t="str">
        <x:v>Wave 1 (0–30 дней)</x:v>
      </x:c>
    </x:row>
    <x:row r="284">
      <x:c r="A284" s="206" t="str">
        <x:v>DEC-00280</x:v>
      </x:c>
      <x:c r="B284" s="207" t="str">
        <x:v>Production order</x:v>
      </x:c>
      <x:c r="C284" s="207" t="str">
        <x:v>PO-DRAFT-0004</x:v>
      </x:c>
      <x:c r="D284" s="207" t="str">
        <x:v>model_code; canonical_sku; qty; production_status; actual_completion_date; production_order_owner</x:v>
      </x:c>
      <x:c r="E284" s="207" t="str">
        <x:v>09-05-26/2 |  | юбка "рыбка" длин, без шлейфа, бархат стр черн</x:v>
      </x:c>
      <x:c r="F284" s="207" t="str">
        <x:v>Подтвердить модель/SKU, количество, сроки и статус</x:v>
      </x:c>
      <x:c r="G284" s="207" t="str">
        <x:v>Производство</x:v>
      </x:c>
      <x:c r="H284" s="207" t="str">
        <x:v>Критический</x:v>
      </x:c>
      <x:c r="I284" s="207" t="str">
        <x:v>Lead time; WIP; order cost</x:v>
      </x:c>
      <x:c r="J284" s="207" t="str">
        <x:v>План сдач row 9</x:v>
      </x:c>
      <x:c r="K284" s="207" t="str"/>
      <x:c r="L284" s="207" t="str"/>
      <x:c r="M284" s="207" t="str">
        <x:v>Не рассмотрено</x:v>
      </x:c>
      <x:c r="N284" s="207" t="str"/>
      <x:c r="O284" s="207" t="str">
        <x:v>17</x:v>
      </x:c>
      <x:c r="P284" s="207" t="n">
        <x:v>4</x:v>
      </x:c>
      <x:c r="Q284" s="208" t="str">
        <x:v>Wave 1 (0–30 дней)</x:v>
      </x:c>
    </x:row>
    <x:row r="285">
      <x:c r="A285" s="206" t="str">
        <x:v>DEC-00281</x:v>
      </x:c>
      <x:c r="B285" s="207" t="str">
        <x:v>Production order</x:v>
      </x:c>
      <x:c r="C285" s="207" t="str">
        <x:v>PO-DRAFT-0005</x:v>
      </x:c>
      <x:c r="D285" s="207" t="str">
        <x:v>canonical_sku; qty; production_status; actual_completion_date; production_order_owner</x:v>
      </x:c>
      <x:c r="E285" s="207" t="str">
        <x:v>11-04-26/1 | 0-3232 | блузон с ЧЕРН вышивкой, креп дабл черн</x:v>
      </x:c>
      <x:c r="F285" s="207" t="str">
        <x:v>Подтвердить модель/SKU, количество, сроки и статус</x:v>
      </x:c>
      <x:c r="G285" s="207" t="str">
        <x:v>Производство</x:v>
      </x:c>
      <x:c r="H285" s="207" t="str">
        <x:v>Критический</x:v>
      </x:c>
      <x:c r="I285" s="207" t="str">
        <x:v>Lead time; WIP; order cost</x:v>
      </x:c>
      <x:c r="J285" s="207" t="str">
        <x:v>План сдач row 12</x:v>
      </x:c>
      <x:c r="K285" s="207" t="str"/>
      <x:c r="L285" s="207" t="str"/>
      <x:c r="M285" s="207" t="str">
        <x:v>Не рассмотрено</x:v>
      </x:c>
      <x:c r="N285" s="207" t="str"/>
      <x:c r="O285" s="207" t="str">
        <x:v>17</x:v>
      </x:c>
      <x:c r="P285" s="207" t="n">
        <x:v>4</x:v>
      </x:c>
      <x:c r="Q285" s="208" t="str">
        <x:v>Wave 1 (0–30 дней)</x:v>
      </x:c>
    </x:row>
    <x:row r="286">
      <x:c r="A286" s="206" t="str">
        <x:v>DEC-00282</x:v>
      </x:c>
      <x:c r="B286" s="207" t="str">
        <x:v>Production order</x:v>
      </x:c>
      <x:c r="C286" s="207" t="str">
        <x:v>PO-DRAFT-0006</x:v>
      </x:c>
      <x:c r="D286" s="207" t="str">
        <x:v>canonical_sku; qty; production_status; actual_completion_date; production_order_owner</x:v>
      </x:c>
      <x:c r="E286" s="207" t="str">
        <x:v>11-04-26/2 | 0-3233 | юбка-карандаш без вышивки, креп дабл черн</x:v>
      </x:c>
      <x:c r="F286" s="207" t="str">
        <x:v>Подтвердить модель/SKU, количество, сроки и статус</x:v>
      </x:c>
      <x:c r="G286" s="207" t="str">
        <x:v>Производство</x:v>
      </x:c>
      <x:c r="H286" s="207" t="str">
        <x:v>Критический</x:v>
      </x:c>
      <x:c r="I286" s="207" t="str">
        <x:v>Lead time; WIP; order cost</x:v>
      </x:c>
      <x:c r="J286" s="207" t="str">
        <x:v>План сдач row 13</x:v>
      </x:c>
      <x:c r="K286" s="207" t="str"/>
      <x:c r="L286" s="207" t="str"/>
      <x:c r="M286" s="207" t="str">
        <x:v>Не рассмотрено</x:v>
      </x:c>
      <x:c r="N286" s="207" t="str"/>
      <x:c r="O286" s="207" t="str">
        <x:v>17</x:v>
      </x:c>
      <x:c r="P286" s="207" t="n">
        <x:v>4</x:v>
      </x:c>
      <x:c r="Q286" s="208" t="str">
        <x:v>Wave 1 (0–30 дней)</x:v>
      </x:c>
    </x:row>
    <x:row r="287">
      <x:c r="A287" s="206" t="str">
        <x:v>DEC-00283</x:v>
      </x:c>
      <x:c r="B287" s="207" t="str">
        <x:v>Production order</x:v>
      </x:c>
      <x:c r="C287" s="207" t="str">
        <x:v>PO-DRAFT-0007</x:v>
      </x:c>
      <x:c r="D287" s="207" t="str">
        <x:v>due_date; canonical_sku; qty; production_status; actual_completion_date; production_order_owner</x:v>
      </x:c>
      <x:c r="E287" s="207" t="str">
        <x:v>11-04-26/3 | 0-3407 | платье ПО ЭСКИЗУ, с сереб вышивкой, темно-син шифон по обр</x:v>
      </x:c>
      <x:c r="F287" s="207" t="str">
        <x:v>Подтвердить модель/SKU, количество, сроки и статус</x:v>
      </x:c>
      <x:c r="G287" s="207" t="str">
        <x:v>Производство</x:v>
      </x:c>
      <x:c r="H287" s="207" t="str">
        <x:v>Критический</x:v>
      </x:c>
      <x:c r="I287" s="207" t="str">
        <x:v>Lead time; WIP; order cost</x:v>
      </x:c>
      <x:c r="J287" s="207" t="str">
        <x:v>План сдач row 14</x:v>
      </x:c>
      <x:c r="K287" s="207" t="str"/>
      <x:c r="L287" s="207" t="str"/>
      <x:c r="M287" s="207" t="str">
        <x:v>Не рассмотрено</x:v>
      </x:c>
      <x:c r="N287" s="207" t="str"/>
      <x:c r="O287" s="207" t="str">
        <x:v>17</x:v>
      </x:c>
      <x:c r="P287" s="207" t="n">
        <x:v>4</x:v>
      </x:c>
      <x:c r="Q287" s="208" t="str">
        <x:v>Wave 1 (0–30 дней)</x:v>
      </x:c>
    </x:row>
    <x:row r="288">
      <x:c r="A288" s="206" t="str">
        <x:v>DEC-00284</x:v>
      </x:c>
      <x:c r="B288" s="207" t="str">
        <x:v>Production order</x:v>
      </x:c>
      <x:c r="C288" s="207" t="str">
        <x:v>PO-DRAFT-0008</x:v>
      </x:c>
      <x:c r="D288" s="207" t="str">
        <x:v>canonical_sku; qty; production_status; actual_completion_date; production_order_owner</x:v>
      </x:c>
      <x:c r="E288" s="207" t="str">
        <x:v>22-02-26 | 47-20 | платье "золот колосья", корот, бел дюшес, к примерке МАКЕТ</x:v>
      </x:c>
      <x:c r="F288" s="207" t="str">
        <x:v>Подтвердить модель/SKU, количество, сроки и статус</x:v>
      </x:c>
      <x:c r="G288" s="207" t="str">
        <x:v>Производство</x:v>
      </x:c>
      <x:c r="H288" s="207" t="str">
        <x:v>Критический</x:v>
      </x:c>
      <x:c r="I288" s="207" t="str">
        <x:v>Lead time; WIP; order cost</x:v>
      </x:c>
      <x:c r="J288" s="207" t="str">
        <x:v>План сдач row 17</x:v>
      </x:c>
      <x:c r="K288" s="207" t="str"/>
      <x:c r="L288" s="207" t="str"/>
      <x:c r="M288" s="207" t="str">
        <x:v>Не рассмотрено</x:v>
      </x:c>
      <x:c r="N288" s="207" t="str"/>
      <x:c r="O288" s="207" t="str">
        <x:v>17</x:v>
      </x:c>
      <x:c r="P288" s="207" t="n">
        <x:v>4</x:v>
      </x:c>
      <x:c r="Q288" s="208" t="str">
        <x:v>Wave 1 (0–30 дней)</x:v>
      </x:c>
    </x:row>
    <x:row r="289">
      <x:c r="A289" s="206" t="str">
        <x:v>DEC-00285</x:v>
      </x:c>
      <x:c r="B289" s="207" t="str">
        <x:v>Production order</x:v>
      </x:c>
      <x:c r="C289" s="207" t="str">
        <x:v>PO-DRAFT-0009</x:v>
      </x:c>
      <x:c r="D289" s="207" t="str">
        <x:v>valid order date; canonical_sku; qty; production_status; actual_completion_date; production_order_owner</x:v>
      </x:c>
      <x:c r="E289" s="207" t="str">
        <x:v>31-02-26/1 | 41-08 | жакет, бел креп, вышивка - белые колосья на рукавах</x:v>
      </x:c>
      <x:c r="F289" s="207" t="str">
        <x:v>Подтвердить модель/SKU, количество, сроки и статус</x:v>
      </x:c>
      <x:c r="G289" s="207" t="str">
        <x:v>Производство</x:v>
      </x:c>
      <x:c r="H289" s="207" t="str">
        <x:v>Критический</x:v>
      </x:c>
      <x:c r="I289" s="207" t="str">
        <x:v>Lead time; WIP; order cost</x:v>
      </x:c>
      <x:c r="J289" s="207" t="str">
        <x:v>План сдач row 18</x:v>
      </x:c>
      <x:c r="K289" s="207" t="str"/>
      <x:c r="L289" s="207" t="str"/>
      <x:c r="M289" s="207" t="str">
        <x:v>Не рассмотрено</x:v>
      </x:c>
      <x:c r="N289" s="207" t="str"/>
      <x:c r="O289" s="207" t="str">
        <x:v>17</x:v>
      </x:c>
      <x:c r="P289" s="207" t="n">
        <x:v>4</x:v>
      </x:c>
      <x:c r="Q289" s="208" t="str">
        <x:v>Wave 1 (0–30 дней)</x:v>
      </x:c>
    </x:row>
    <x:row r="290">
      <x:c r="A290" s="206" t="str">
        <x:v>DEC-00286</x:v>
      </x:c>
      <x:c r="B290" s="207" t="str">
        <x:v>Production order</x:v>
      </x:c>
      <x:c r="C290" s="207" t="str">
        <x:v>PO-DRAFT-0010</x:v>
      </x:c>
      <x:c r="D290" s="207" t="str">
        <x:v>valid order date; canonical_sku; qty; production_status; actual_completion_date; production_order_owner</x:v>
      </x:c>
      <x:c r="E290" s="207" t="str">
        <x:v>31-02-26/2 | 47-12 | брюки с поясом и карманами, бел креп БЕЗ ВЫШИВКИ</x:v>
      </x:c>
      <x:c r="F290" s="207" t="str">
        <x:v>Подтвердить модель/SKU, количество, сроки и статус</x:v>
      </x:c>
      <x:c r="G290" s="207" t="str">
        <x:v>Производство</x:v>
      </x:c>
      <x:c r="H290" s="207" t="str">
        <x:v>Критический</x:v>
      </x:c>
      <x:c r="I290" s="207" t="str">
        <x:v>Lead time; WIP; order cost</x:v>
      </x:c>
      <x:c r="J290" s="207" t="str">
        <x:v>План сдач row 19</x:v>
      </x:c>
      <x:c r="K290" s="207" t="str"/>
      <x:c r="L290" s="207" t="str"/>
      <x:c r="M290" s="207" t="str">
        <x:v>Не рассмотрено</x:v>
      </x:c>
      <x:c r="N290" s="207" t="str"/>
      <x:c r="O290" s="207" t="str">
        <x:v>17</x:v>
      </x:c>
      <x:c r="P290" s="207" t="n">
        <x:v>4</x:v>
      </x:c>
      <x:c r="Q290" s="208" t="str">
        <x:v>Wave 1 (0–30 дней)</x:v>
      </x:c>
    </x:row>
    <x:row r="291">
      <x:c r="A291" s="206" t="str">
        <x:v>DEC-00287</x:v>
      </x:c>
      <x:c r="B291" s="207" t="str">
        <x:v>Production order</x:v>
      </x:c>
      <x:c r="C291" s="207" t="str">
        <x:v>PO-DRAFT-0011</x:v>
      </x:c>
      <x:c r="D291" s="207" t="str">
        <x:v>valid order date; canonical_sku; qty; production_status; actual_completion_date; production_order_owner</x:v>
      </x:c>
      <x:c r="E291" s="207" t="str">
        <x:v>30-02-26/1 | 47-12 | боди с вышивкой, бархат стр черн</x:v>
      </x:c>
      <x:c r="F291" s="207" t="str">
        <x:v>Подтвердить модель/SKU, количество, сроки и статус</x:v>
      </x:c>
      <x:c r="G291" s="207" t="str">
        <x:v>Производство</x:v>
      </x:c>
      <x:c r="H291" s="207" t="str">
        <x:v>Критический</x:v>
      </x:c>
      <x:c r="I291" s="207" t="str">
        <x:v>Lead time; WIP; order cost</x:v>
      </x:c>
      <x:c r="J291" s="207" t="str">
        <x:v>План сдач row 22</x:v>
      </x:c>
      <x:c r="K291" s="207" t="str"/>
      <x:c r="L291" s="207" t="str"/>
      <x:c r="M291" s="207" t="str">
        <x:v>Не рассмотрено</x:v>
      </x:c>
      <x:c r="N291" s="207" t="str"/>
      <x:c r="O291" s="207" t="str">
        <x:v>17</x:v>
      </x:c>
      <x:c r="P291" s="207" t="n">
        <x:v>4</x:v>
      </x:c>
      <x:c r="Q291" s="208" t="str">
        <x:v>Wave 1 (0–30 дней)</x:v>
      </x:c>
    </x:row>
    <x:row r="292">
      <x:c r="A292" s="206" t="str">
        <x:v>DEC-00288</x:v>
      </x:c>
      <x:c r="B292" s="207" t="str">
        <x:v>Production order</x:v>
      </x:c>
      <x:c r="C292" s="207" t="str">
        <x:v>PO-DRAFT-0012</x:v>
      </x:c>
      <x:c r="D292" s="207" t="str">
        <x:v>valid order date; canonical_sku; qty; production_status; actual_completion_date; production_order_owner</x:v>
      </x:c>
      <x:c r="E292" s="207" t="str">
        <x:v>30-02-26/2 | 47-12 | брюки с вышивкой, с поясом, с карманами, креп бел</x:v>
      </x:c>
      <x:c r="F292" s="207" t="str">
        <x:v>Подтвердить модель/SKU, количество, сроки и статус</x:v>
      </x:c>
      <x:c r="G292" s="207" t="str">
        <x:v>Производство</x:v>
      </x:c>
      <x:c r="H292" s="207" t="str">
        <x:v>Критический</x:v>
      </x:c>
      <x:c r="I292" s="207" t="str">
        <x:v>Lead time; WIP; order cost</x:v>
      </x:c>
      <x:c r="J292" s="207" t="str">
        <x:v>План сдач row 23</x:v>
      </x:c>
      <x:c r="K292" s="207" t="str"/>
      <x:c r="L292" s="207" t="str"/>
      <x:c r="M292" s="207" t="str">
        <x:v>Не рассмотрено</x:v>
      </x:c>
      <x:c r="N292" s="207" t="str"/>
      <x:c r="O292" s="207" t="str">
        <x:v>17</x:v>
      </x:c>
      <x:c r="P292" s="207" t="n">
        <x:v>4</x:v>
      </x:c>
      <x:c r="Q292" s="208" t="str">
        <x:v>Wave 1 (0–30 дней)</x:v>
      </x:c>
    </x:row>
    <x:row r="293">
      <x:c r="A293" s="206" t="str">
        <x:v>DEC-00289</x:v>
      </x:c>
      <x:c r="B293" s="207" t="str">
        <x:v>Production order</x:v>
      </x:c>
      <x:c r="C293" s="207" t="str">
        <x:v>PO-DRAFT-0013</x:v>
      </x:c>
      <x:c r="D293" s="207" t="str">
        <x:v>canonical_sku; qty; production_status; actual_completion_date; production_order_owner</x:v>
      </x:c>
      <x:c r="E293" s="207" t="str">
        <x:v>18-04-26/1 | 0-3370В | топ, шелк бел + кружево бел</x:v>
      </x:c>
      <x:c r="F293" s="207" t="str">
        <x:v>Подтвердить модель/SKU, количество, сроки и статус</x:v>
      </x:c>
      <x:c r="G293" s="207" t="str">
        <x:v>Производство</x:v>
      </x:c>
      <x:c r="H293" s="207" t="str">
        <x:v>Критический</x:v>
      </x:c>
      <x:c r="I293" s="207" t="str">
        <x:v>Lead time; WIP; order cost</x:v>
      </x:c>
      <x:c r="J293" s="207" t="str">
        <x:v>План сдач row 24</x:v>
      </x:c>
      <x:c r="K293" s="207" t="str"/>
      <x:c r="L293" s="207" t="str"/>
      <x:c r="M293" s="207" t="str">
        <x:v>Не рассмотрено</x:v>
      </x:c>
      <x:c r="N293" s="207" t="str"/>
      <x:c r="O293" s="207" t="str">
        <x:v>17</x:v>
      </x:c>
      <x:c r="P293" s="207" t="n">
        <x:v>4</x:v>
      </x:c>
      <x:c r="Q293" s="208" t="str">
        <x:v>Wave 1 (0–30 дней)</x:v>
      </x:c>
    </x:row>
    <x:row r="294">
      <x:c r="A294" s="206" t="str">
        <x:v>DEC-00290</x:v>
      </x:c>
      <x:c r="B294" s="207" t="str">
        <x:v>Production order</x:v>
      </x:c>
      <x:c r="C294" s="207" t="str">
        <x:v>PO-DRAFT-0014</x:v>
      </x:c>
      <x:c r="D294" s="207" t="str">
        <x:v>canonical_sku; qty; production_status; actual_completion_date; production_order_owner</x:v>
      </x:c>
      <x:c r="E294" s="207" t="str">
        <x:v>18-04-26/2 | 0-3373С | шорты, батист голуб с принтом вишни - добавить длину</x:v>
      </x:c>
      <x:c r="F294" s="207" t="str">
        <x:v>Подтвердить модель/SKU, количество, сроки и статус</x:v>
      </x:c>
      <x:c r="G294" s="207" t="str">
        <x:v>Производство</x:v>
      </x:c>
      <x:c r="H294" s="207" t="str">
        <x:v>Критический</x:v>
      </x:c>
      <x:c r="I294" s="207" t="str">
        <x:v>Lead time; WIP; order cost</x:v>
      </x:c>
      <x:c r="J294" s="207" t="str">
        <x:v>План сдач row 25</x:v>
      </x:c>
      <x:c r="K294" s="207" t="str"/>
      <x:c r="L294" s="207" t="str"/>
      <x:c r="M294" s="207" t="str">
        <x:v>Не рассмотрено</x:v>
      </x:c>
      <x:c r="N294" s="207" t="str"/>
      <x:c r="O294" s="207" t="str">
        <x:v>17</x:v>
      </x:c>
      <x:c r="P294" s="207" t="n">
        <x:v>4</x:v>
      </x:c>
      <x:c r="Q294" s="208" t="str">
        <x:v>Wave 1 (0–30 дней)</x:v>
      </x:c>
    </x:row>
    <x:row r="295">
      <x:c r="A295" s="206" t="str">
        <x:v>DEC-00291</x:v>
      </x:c>
      <x:c r="B295" s="207" t="str">
        <x:v>Production order</x:v>
      </x:c>
      <x:c r="C295" s="207" t="str">
        <x:v>PO-DRAFT-0015</x:v>
      </x:c>
      <x:c r="D295" s="207" t="str">
        <x:v>canonical_sku; qty; production_status; actual_completion_date; production_order_owner</x:v>
      </x:c>
      <x:c r="E295" s="207" t="str">
        <x:v>18-04-26/3 | 0-3371С | рубашка, батист голуб с принтом вишни</x:v>
      </x:c>
      <x:c r="F295" s="207" t="str">
        <x:v>Подтвердить модель/SKU, количество, сроки и статус</x:v>
      </x:c>
      <x:c r="G295" s="207" t="str">
        <x:v>Производство</x:v>
      </x:c>
      <x:c r="H295" s="207" t="str">
        <x:v>Критический</x:v>
      </x:c>
      <x:c r="I295" s="207" t="str">
        <x:v>Lead time; WIP; order cost</x:v>
      </x:c>
      <x:c r="J295" s="207" t="str">
        <x:v>План сдач row 26</x:v>
      </x:c>
      <x:c r="K295" s="207" t="str"/>
      <x:c r="L295" s="207" t="str"/>
      <x:c r="M295" s="207" t="str">
        <x:v>Не рассмотрено</x:v>
      </x:c>
      <x:c r="N295" s="207" t="str"/>
      <x:c r="O295" s="207" t="str">
        <x:v>17</x:v>
      </x:c>
      <x:c r="P295" s="207" t="n">
        <x:v>4</x:v>
      </x:c>
      <x:c r="Q295" s="208" t="str">
        <x:v>Wave 1 (0–30 дней)</x:v>
      </x:c>
    </x:row>
    <x:row r="296">
      <x:c r="A296" s="206" t="str">
        <x:v>DEC-00292</x:v>
      </x:c>
      <x:c r="B296" s="207" t="str">
        <x:v>Production order</x:v>
      </x:c>
      <x:c r="C296" s="207" t="str">
        <x:v>PO-DRAFT-0016</x:v>
      </x:c>
      <x:c r="D296" s="207" t="str">
        <x:v>canonical_sku; qty; production_status; actual_completion_date; production_order_owner</x:v>
      </x:c>
      <x:c r="E296" s="207" t="str">
        <x:v>18-04-26/4 | 0-3367 | шорты-юбка, хлопок бел с принтом кораблики</x:v>
      </x:c>
      <x:c r="F296" s="207" t="str">
        <x:v>Подтвердить модель/SKU, количество, сроки и статус</x:v>
      </x:c>
      <x:c r="G296" s="207" t="str">
        <x:v>Производство</x:v>
      </x:c>
      <x:c r="H296" s="207" t="str">
        <x:v>Критический</x:v>
      </x:c>
      <x:c r="I296" s="207" t="str">
        <x:v>Lead time; WIP; order cost</x:v>
      </x:c>
      <x:c r="J296" s="207" t="str">
        <x:v>План сдач row 27</x:v>
      </x:c>
      <x:c r="K296" s="207" t="str"/>
      <x:c r="L296" s="207" t="str"/>
      <x:c r="M296" s="207" t="str">
        <x:v>Не рассмотрено</x:v>
      </x:c>
      <x:c r="N296" s="207" t="str"/>
      <x:c r="O296" s="207" t="str">
        <x:v>17</x:v>
      </x:c>
      <x:c r="P296" s="207" t="n">
        <x:v>4</x:v>
      </x:c>
      <x:c r="Q296" s="208" t="str">
        <x:v>Wave 1 (0–30 дней)</x:v>
      </x:c>
    </x:row>
    <x:row r="297">
      <x:c r="A297" s="206" t="str">
        <x:v>DEC-00293</x:v>
      </x:c>
      <x:c r="B297" s="207" t="str">
        <x:v>Production order</x:v>
      </x:c>
      <x:c r="C297" s="207" t="str">
        <x:v>PO-DRAFT-0017</x:v>
      </x:c>
      <x:c r="D297" s="207" t="str">
        <x:v>canonical_sku; qty; production_status; actual_completion_date; production_order_owner</x:v>
      </x:c>
      <x:c r="E297" s="207" t="str">
        <x:v>18-04-26/5 | 0-3372С | брюки, батист голуб с принтом вишни</x:v>
      </x:c>
      <x:c r="F297" s="207" t="str">
        <x:v>Подтвердить модель/SKU, количество, сроки и статус</x:v>
      </x:c>
      <x:c r="G297" s="207" t="str">
        <x:v>Производство</x:v>
      </x:c>
      <x:c r="H297" s="207" t="str">
        <x:v>Критический</x:v>
      </x:c>
      <x:c r="I297" s="207" t="str">
        <x:v>Lead time; WIP; order cost</x:v>
      </x:c>
      <x:c r="J297" s="207" t="str">
        <x:v>План сдач row 28</x:v>
      </x:c>
      <x:c r="K297" s="207" t="str"/>
      <x:c r="L297" s="207" t="str"/>
      <x:c r="M297" s="207" t="str">
        <x:v>Не рассмотрено</x:v>
      </x:c>
      <x:c r="N297" s="207" t="str"/>
      <x:c r="O297" s="207" t="str">
        <x:v>17</x:v>
      </x:c>
      <x:c r="P297" s="207" t="n">
        <x:v>4</x:v>
      </x:c>
      <x:c r="Q297" s="208" t="str">
        <x:v>Wave 1 (0–30 дней)</x:v>
      </x:c>
    </x:row>
    <x:row r="298">
      <x:c r="A298" s="206" t="str">
        <x:v>DEC-00294</x:v>
      </x:c>
      <x:c r="B298" s="207" t="str">
        <x:v>Production order</x:v>
      </x:c>
      <x:c r="C298" s="207" t="str">
        <x:v>PO-DRAFT-0018</x:v>
      </x:c>
      <x:c r="D298" s="207" t="str">
        <x:v>canonical_sku; qty; production_status; actual_completion_date; production_order_owner</x:v>
      </x:c>
      <x:c r="E298" s="207" t="str">
        <x:v>04-06-26/1 | 0-3368В | блузон, шелк роз лошадки</x:v>
      </x:c>
      <x:c r="F298" s="207" t="str">
        <x:v>Подтвердить модель/SKU, количество, сроки и статус</x:v>
      </x:c>
      <x:c r="G298" s="207" t="str">
        <x:v>Производство</x:v>
      </x:c>
      <x:c r="H298" s="207" t="str">
        <x:v>Критический</x:v>
      </x:c>
      <x:c r="I298" s="207" t="str">
        <x:v>Lead time; WIP; order cost</x:v>
      </x:c>
      <x:c r="J298" s="207" t="str">
        <x:v>План сдач row 29</x:v>
      </x:c>
      <x:c r="K298" s="207" t="str"/>
      <x:c r="L298" s="207" t="str"/>
      <x:c r="M298" s="207" t="str">
        <x:v>Не рассмотрено</x:v>
      </x:c>
      <x:c r="N298" s="207" t="str"/>
      <x:c r="O298" s="207" t="str">
        <x:v>17</x:v>
      </x:c>
      <x:c r="P298" s="207" t="n">
        <x:v>4</x:v>
      </x:c>
      <x:c r="Q298" s="208" t="str">
        <x:v>Wave 1 (0–30 дней)</x:v>
      </x:c>
    </x:row>
    <x:row r="299">
      <x:c r="A299" s="206" t="str">
        <x:v>DEC-00295</x:v>
      </x:c>
      <x:c r="B299" s="207" t="str">
        <x:v>Production order</x:v>
      </x:c>
      <x:c r="C299" s="207" t="str">
        <x:v>PO-DRAFT-0019</x:v>
      </x:c>
      <x:c r="D299" s="207" t="str">
        <x:v>canonical_sku; qty; production_status; actual_completion_date; production_order_owner</x:v>
      </x:c>
      <x:c r="E299" s="207" t="str">
        <x:v>04-06-26/2 | 0-3369В | брюки, шелк роз лошадки</x:v>
      </x:c>
      <x:c r="F299" s="207" t="str">
        <x:v>Подтвердить модель/SKU, количество, сроки и статус</x:v>
      </x:c>
      <x:c r="G299" s="207" t="str">
        <x:v>Производство</x:v>
      </x:c>
      <x:c r="H299" s="207" t="str">
        <x:v>Критический</x:v>
      </x:c>
      <x:c r="I299" s="207" t="str">
        <x:v>Lead time; WIP; order cost</x:v>
      </x:c>
      <x:c r="J299" s="207" t="str">
        <x:v>План сдач row 30</x:v>
      </x:c>
      <x:c r="K299" s="207" t="str"/>
      <x:c r="L299" s="207" t="str"/>
      <x:c r="M299" s="207" t="str">
        <x:v>Не рассмотрено</x:v>
      </x:c>
      <x:c r="N299" s="207" t="str"/>
      <x:c r="O299" s="207" t="str">
        <x:v>17</x:v>
      </x:c>
      <x:c r="P299" s="207" t="n">
        <x:v>4</x:v>
      </x:c>
      <x:c r="Q299" s="208" t="str">
        <x:v>Wave 1 (0–30 дней)</x:v>
      </x:c>
    </x:row>
    <x:row r="300">
      <x:c r="A300" s="206" t="str">
        <x:v>DEC-00296</x:v>
      </x:c>
      <x:c r="B300" s="207" t="str">
        <x:v>Production order</x:v>
      </x:c>
      <x:c r="C300" s="207" t="str">
        <x:v>PO-DRAFT-0020</x:v>
      </x:c>
      <x:c r="D300" s="207" t="str">
        <x:v>canonical_sku; qty; production_status; actual_completion_date; production_order_owner</x:v>
      </x:c>
      <x:c r="E300" s="207" t="str">
        <x:v>23-02-26/1 | 47-14 | платье с сереб выш, длин, креп черн</x:v>
      </x:c>
      <x:c r="F300" s="207" t="str">
        <x:v>Подтвердить модель/SKU, количество, сроки и статус</x:v>
      </x:c>
      <x:c r="G300" s="207" t="str">
        <x:v>Производство</x:v>
      </x:c>
      <x:c r="H300" s="207" t="str">
        <x:v>Критический</x:v>
      </x:c>
      <x:c r="I300" s="207" t="str">
        <x:v>Lead time; WIP; order cost</x:v>
      </x:c>
      <x:c r="J300" s="207" t="str">
        <x:v>План сдач row 33</x:v>
      </x:c>
      <x:c r="K300" s="207" t="str"/>
      <x:c r="L300" s="207" t="str"/>
      <x:c r="M300" s="207" t="str">
        <x:v>Не рассмотрено</x:v>
      </x:c>
      <x:c r="N300" s="207" t="str"/>
      <x:c r="O300" s="207" t="str">
        <x:v>17</x:v>
      </x:c>
      <x:c r="P300" s="207" t="n">
        <x:v>4</x:v>
      </x:c>
      <x:c r="Q300" s="208" t="str">
        <x:v>Wave 1 (0–30 дней)</x:v>
      </x:c>
    </x:row>
    <x:row r="301">
      <x:c r="A301" s="206" t="str">
        <x:v>DEC-00297</x:v>
      </x:c>
      <x:c r="B301" s="207" t="str">
        <x:v>Production order</x:v>
      </x:c>
      <x:c r="C301" s="207" t="str">
        <x:v>PO-DRAFT-0021</x:v>
      </x:c>
      <x:c r="D301" s="207" t="str">
        <x:v>canonical_sku; qty; production_status; actual_completion_date; production_order_owner</x:v>
      </x:c>
      <x:c r="E301" s="207" t="str">
        <x:v>23-02-26/2 | 47-12 | боди с выш, бархат стр черн</x:v>
      </x:c>
      <x:c r="F301" s="207" t="str">
        <x:v>Подтвердить модель/SKU, количество, сроки и статус</x:v>
      </x:c>
      <x:c r="G301" s="207" t="str">
        <x:v>Производство</x:v>
      </x:c>
      <x:c r="H301" s="207" t="str">
        <x:v>Критический</x:v>
      </x:c>
      <x:c r="I301" s="207" t="str">
        <x:v>Lead time; WIP; order cost</x:v>
      </x:c>
      <x:c r="J301" s="207" t="str">
        <x:v>План сдач row 34</x:v>
      </x:c>
      <x:c r="K301" s="207" t="str"/>
      <x:c r="L301" s="207" t="str"/>
      <x:c r="M301" s="207" t="str">
        <x:v>Не рассмотрено</x:v>
      </x:c>
      <x:c r="N301" s="207" t="str"/>
      <x:c r="O301" s="207" t="str">
        <x:v>17</x:v>
      </x:c>
      <x:c r="P301" s="207" t="n">
        <x:v>4</x:v>
      </x:c>
      <x:c r="Q301" s="208" t="str">
        <x:v>Wave 1 (0–30 дней)</x:v>
      </x:c>
    </x:row>
    <x:row r="302">
      <x:c r="A302" s="206" t="str">
        <x:v>DEC-00298</x:v>
      </x:c>
      <x:c r="B302" s="207" t="str">
        <x:v>Production order</x:v>
      </x:c>
      <x:c r="C302" s="207" t="str">
        <x:v>PO-DRAFT-0022</x:v>
      </x:c>
      <x:c r="D302" s="207" t="str">
        <x:v>canonical_sku; qty; production_status; actual_completion_date; production_order_owner</x:v>
      </x:c>
      <x:c r="E302" s="207" t="str">
        <x:v>23-02-26/3 | 47-12 | брюки с выш, креп бел</x:v>
      </x:c>
      <x:c r="F302" s="207" t="str">
        <x:v>Подтвердить модель/SKU, количество, сроки и статус</x:v>
      </x:c>
      <x:c r="G302" s="207" t="str">
        <x:v>Производство</x:v>
      </x:c>
      <x:c r="H302" s="207" t="str">
        <x:v>Критический</x:v>
      </x:c>
      <x:c r="I302" s="207" t="str">
        <x:v>Lead time; WIP; order cost</x:v>
      </x:c>
      <x:c r="J302" s="207" t="str">
        <x:v>План сдач row 35</x:v>
      </x:c>
      <x:c r="K302" s="207" t="str"/>
      <x:c r="L302" s="207" t="str"/>
      <x:c r="M302" s="207" t="str">
        <x:v>Не рассмотрено</x:v>
      </x:c>
      <x:c r="N302" s="207" t="str"/>
      <x:c r="O302" s="207" t="str">
        <x:v>17</x:v>
      </x:c>
      <x:c r="P302" s="207" t="n">
        <x:v>4</x:v>
      </x:c>
      <x:c r="Q302" s="208" t="str">
        <x:v>Wave 1 (0–30 дней)</x:v>
      </x:c>
    </x:row>
    <x:row r="303">
      <x:c r="A303" s="206" t="str">
        <x:v>DEC-00299</x:v>
      </x:c>
      <x:c r="B303" s="207" t="str">
        <x:v>Production order</x:v>
      </x:c>
      <x:c r="C303" s="207" t="str">
        <x:v>PO-DRAFT-0023</x:v>
      </x:c>
      <x:c r="D303" s="207" t="str">
        <x:v>canonical_sku; qty; production_status; actual_completion_date; production_order_owner</x:v>
      </x:c>
      <x:c r="E303" s="207" t="str">
        <x:v>23-02-26/4 | 47-11 | юбка в пол, без шлейфа, бархат стр черн</x:v>
      </x:c>
      <x:c r="F303" s="207" t="str">
        <x:v>Подтвердить модель/SKU, количество, сроки и статус</x:v>
      </x:c>
      <x:c r="G303" s="207" t="str">
        <x:v>Производство</x:v>
      </x:c>
      <x:c r="H303" s="207" t="str">
        <x:v>Критический</x:v>
      </x:c>
      <x:c r="I303" s="207" t="str">
        <x:v>Lead time; WIP; order cost</x:v>
      </x:c>
      <x:c r="J303" s="207" t="str">
        <x:v>План сдач row 36</x:v>
      </x:c>
      <x:c r="K303" s="207" t="str"/>
      <x:c r="L303" s="207" t="str"/>
      <x:c r="M303" s="207" t="str">
        <x:v>Не рассмотрено</x:v>
      </x:c>
      <x:c r="N303" s="207" t="str"/>
      <x:c r="O303" s="207" t="str">
        <x:v>17</x:v>
      </x:c>
      <x:c r="P303" s="207" t="n">
        <x:v>4</x:v>
      </x:c>
      <x:c r="Q303" s="208" t="str">
        <x:v>Wave 1 (0–30 дней)</x:v>
      </x:c>
    </x:row>
    <x:row r="304">
      <x:c r="A304" s="206" t="str">
        <x:v>DEC-00300</x:v>
      </x:c>
      <x:c r="B304" s="207" t="str">
        <x:v>Production order</x:v>
      </x:c>
      <x:c r="C304" s="207" t="str">
        <x:v>PO-DRAFT-0024</x:v>
      </x:c>
      <x:c r="D304" s="207" t="str">
        <x:v>canonical_sku; qty; production_status; actual_completion_date; production_order_owner</x:v>
      </x:c>
      <x:c r="E304" s="207" t="str">
        <x:v>23-02-26/5 | 47-13 | браслет "ярусы", жемчуг с переходом сер</x:v>
      </x:c>
      <x:c r="F304" s="207" t="str">
        <x:v>Подтвердить модель/SKU, количество, сроки и статус</x:v>
      </x:c>
      <x:c r="G304" s="207" t="str">
        <x:v>Производство</x:v>
      </x:c>
      <x:c r="H304" s="207" t="str">
        <x:v>Критический</x:v>
      </x:c>
      <x:c r="I304" s="207" t="str">
        <x:v>Lead time; WIP; order cost</x:v>
      </x:c>
      <x:c r="J304" s="207" t="str">
        <x:v>План сдач row 37</x:v>
      </x:c>
      <x:c r="K304" s="207" t="str"/>
      <x:c r="L304" s="207" t="str"/>
      <x:c r="M304" s="207" t="str">
        <x:v>Не рассмотрено</x:v>
      </x:c>
      <x:c r="N304" s="207" t="str"/>
      <x:c r="O304" s="207" t="str">
        <x:v>17</x:v>
      </x:c>
      <x:c r="P304" s="207" t="n">
        <x:v>4</x:v>
      </x:c>
      <x:c r="Q304" s="208" t="str">
        <x:v>Wave 1 (0–30 дней)</x:v>
      </x:c>
    </x:row>
    <x:row r="305">
      <x:c r="A305" s="206" t="str">
        <x:v>DEC-00301</x:v>
      </x:c>
      <x:c r="B305" s="207" t="str">
        <x:v>Production order</x:v>
      </x:c>
      <x:c r="C305" s="207" t="str">
        <x:v>PO-DRAFT-0025</x:v>
      </x:c>
      <x:c r="D305" s="207" t="str">
        <x:v>canonical_sku; qty; production_status; actual_completion_date; production_order_owner</x:v>
      </x:c>
      <x:c r="E305" s="207" t="str">
        <x:v>15-04-26/1 | 0-3371 | рубашка, батист бел с принтом вишни</x:v>
      </x:c>
      <x:c r="F305" s="207" t="str">
        <x:v>Подтвердить модель/SKU, количество, сроки и статус</x:v>
      </x:c>
      <x:c r="G305" s="207" t="str">
        <x:v>Производство</x:v>
      </x:c>
      <x:c r="H305" s="207" t="str">
        <x:v>Критический</x:v>
      </x:c>
      <x:c r="I305" s="207" t="str">
        <x:v>Lead time; WIP; order cost</x:v>
      </x:c>
      <x:c r="J305" s="207" t="str">
        <x:v>План сдач row 38</x:v>
      </x:c>
      <x:c r="K305" s="207" t="str"/>
      <x:c r="L305" s="207" t="str"/>
      <x:c r="M305" s="207" t="str">
        <x:v>Не рассмотрено</x:v>
      </x:c>
      <x:c r="N305" s="207" t="str"/>
      <x:c r="O305" s="207" t="str">
        <x:v>17</x:v>
      </x:c>
      <x:c r="P305" s="207" t="n">
        <x:v>4</x:v>
      </x:c>
      <x:c r="Q305" s="208" t="str">
        <x:v>Wave 1 (0–30 дней)</x:v>
      </x:c>
    </x:row>
    <x:row r="306">
      <x:c r="A306" s="206" t="str">
        <x:v>DEC-00302</x:v>
      </x:c>
      <x:c r="B306" s="207" t="str">
        <x:v>Production order</x:v>
      </x:c>
      <x:c r="C306" s="207" t="str">
        <x:v>PO-DRAFT-0026</x:v>
      </x:c>
      <x:c r="D306" s="207" t="str">
        <x:v>canonical_sku; qty; production_status; actual_completion_date; production_order_owner</x:v>
      </x:c>
      <x:c r="E306" s="207" t="str">
        <x:v>15-04-26/2 | 0-3373 | шорты, батист бел с принтом вишни</x:v>
      </x:c>
      <x:c r="F306" s="207" t="str">
        <x:v>Подтвердить модель/SKU, количество, сроки и статус</x:v>
      </x:c>
      <x:c r="G306" s="207" t="str">
        <x:v>Производство</x:v>
      </x:c>
      <x:c r="H306" s="207" t="str">
        <x:v>Критический</x:v>
      </x:c>
      <x:c r="I306" s="207" t="str">
        <x:v>Lead time; WIP; order cost</x:v>
      </x:c>
      <x:c r="J306" s="207" t="str">
        <x:v>План сдач row 39</x:v>
      </x:c>
      <x:c r="K306" s="207" t="str"/>
      <x:c r="L306" s="207" t="str"/>
      <x:c r="M306" s="207" t="str">
        <x:v>Не рассмотрено</x:v>
      </x:c>
      <x:c r="N306" s="207" t="str"/>
      <x:c r="O306" s="207" t="str">
        <x:v>17</x:v>
      </x:c>
      <x:c r="P306" s="207" t="n">
        <x:v>4</x:v>
      </x:c>
      <x:c r="Q306" s="208" t="str">
        <x:v>Wave 1 (0–30 дней)</x:v>
      </x:c>
    </x:row>
    <x:row r="307">
      <x:c r="A307" s="206" t="str">
        <x:v>DEC-00303</x:v>
      </x:c>
      <x:c r="B307" s="207" t="str">
        <x:v>Production order</x:v>
      </x:c>
      <x:c r="C307" s="207" t="str">
        <x:v>PO-DRAFT-0027</x:v>
      </x:c>
      <x:c r="D307" s="207" t="str">
        <x:v>canonical_sku; qty; production_status; actual_completion_date; production_order_owner</x:v>
      </x:c>
      <x:c r="E307" s="207" t="str">
        <x:v>15-04-26/3 | 0-3396 | платье корот, хлопок беж + рафия беж</x:v>
      </x:c>
      <x:c r="F307" s="207" t="str">
        <x:v>Подтвердить модель/SKU, количество, сроки и статус</x:v>
      </x:c>
      <x:c r="G307" s="207" t="str">
        <x:v>Производство</x:v>
      </x:c>
      <x:c r="H307" s="207" t="str">
        <x:v>Критический</x:v>
      </x:c>
      <x:c r="I307" s="207" t="str">
        <x:v>Lead time; WIP; order cost</x:v>
      </x:c>
      <x:c r="J307" s="207" t="str">
        <x:v>План сдач row 40</x:v>
      </x:c>
      <x:c r="K307" s="207" t="str"/>
      <x:c r="L307" s="207" t="str"/>
      <x:c r="M307" s="207" t="str">
        <x:v>Не рассмотрено</x:v>
      </x:c>
      <x:c r="N307" s="207" t="str"/>
      <x:c r="O307" s="207" t="str">
        <x:v>17</x:v>
      </x:c>
      <x:c r="P307" s="207" t="n">
        <x:v>4</x:v>
      </x:c>
      <x:c r="Q307" s="208" t="str">
        <x:v>Wave 1 (0–30 дней)</x:v>
      </x:c>
    </x:row>
    <x:row r="308">
      <x:c r="A308" s="206" t="str">
        <x:v>DEC-00304</x:v>
      </x:c>
      <x:c r="B308" s="207" t="str">
        <x:v>Production order</x:v>
      </x:c>
      <x:c r="C308" s="207" t="str">
        <x:v>PO-DRAFT-0028</x:v>
      </x:c>
      <x:c r="D308" s="207" t="str">
        <x:v>canonical_sku; qty; production_status; actual_completion_date; production_order_owner</x:v>
      </x:c>
      <x:c r="E308" s="207" t="str">
        <x:v>15-04-26/4 | 0-3368А | блузон, шелк феи ч/б</x:v>
      </x:c>
      <x:c r="F308" s="207" t="str">
        <x:v>Подтвердить модель/SKU, количество, сроки и статус</x:v>
      </x:c>
      <x:c r="G308" s="207" t="str">
        <x:v>Производство</x:v>
      </x:c>
      <x:c r="H308" s="207" t="str">
        <x:v>Критический</x:v>
      </x:c>
      <x:c r="I308" s="207" t="str">
        <x:v>Lead time; WIP; order cost</x:v>
      </x:c>
      <x:c r="J308" s="207" t="str">
        <x:v>План сдач row 41</x:v>
      </x:c>
      <x:c r="K308" s="207" t="str"/>
      <x:c r="L308" s="207" t="str"/>
      <x:c r="M308" s="207" t="str">
        <x:v>Не рассмотрено</x:v>
      </x:c>
      <x:c r="N308" s="207" t="str"/>
      <x:c r="O308" s="207" t="str">
        <x:v>17</x:v>
      </x:c>
      <x:c r="P308" s="207" t="n">
        <x:v>4</x:v>
      </x:c>
      <x:c r="Q308" s="208" t="str">
        <x:v>Wave 1 (0–30 дней)</x:v>
      </x:c>
    </x:row>
    <x:row r="309">
      <x:c r="A309" s="206" t="str">
        <x:v>DEC-00305</x:v>
      </x:c>
      <x:c r="B309" s="207" t="str">
        <x:v>Production order</x:v>
      </x:c>
      <x:c r="C309" s="207" t="str">
        <x:v>PO-DRAFT-0029</x:v>
      </x:c>
      <x:c r="D309" s="207" t="str">
        <x:v>canonical_sku; qty; production_status; actual_completion_date; production_order_owner</x:v>
      </x:c>
      <x:c r="E309" s="207" t="str">
        <x:v>15-04-26/5 | 0-3369А | брюки, шелк феи ч/б</x:v>
      </x:c>
      <x:c r="F309" s="207" t="str">
        <x:v>Подтвердить модель/SKU, количество, сроки и статус</x:v>
      </x:c>
      <x:c r="G309" s="207" t="str">
        <x:v>Производство</x:v>
      </x:c>
      <x:c r="H309" s="207" t="str">
        <x:v>Критический</x:v>
      </x:c>
      <x:c r="I309" s="207" t="str">
        <x:v>Lead time; WIP; order cost</x:v>
      </x:c>
      <x:c r="J309" s="207" t="str">
        <x:v>План сдач row 42</x:v>
      </x:c>
      <x:c r="K309" s="207" t="str"/>
      <x:c r="L309" s="207" t="str"/>
      <x:c r="M309" s="207" t="str">
        <x:v>Не рассмотрено</x:v>
      </x:c>
      <x:c r="N309" s="207" t="str"/>
      <x:c r="O309" s="207" t="str">
        <x:v>17</x:v>
      </x:c>
      <x:c r="P309" s="207" t="n">
        <x:v>4</x:v>
      </x:c>
      <x:c r="Q309" s="208" t="str">
        <x:v>Wave 1 (0–30 дней)</x:v>
      </x:c>
    </x:row>
    <x:row r="310">
      <x:c r="A310" s="206" t="str">
        <x:v>DEC-00306</x:v>
      </x:c>
      <x:c r="B310" s="207" t="str">
        <x:v>Production order</x:v>
      </x:c>
      <x:c r="C310" s="207" t="str">
        <x:v>PO-DRAFT-0030</x:v>
      </x:c>
      <x:c r="D310" s="207" t="str">
        <x:v>canonical_sku; qty; production_status; actual_completion_date; production_order_owner</x:v>
      </x:c>
      <x:c r="E310" s="207" t="str">
        <x:v>15-04-26/6 | 0-3370 | топ, шелк черн + кружево черн</x:v>
      </x:c>
      <x:c r="F310" s="207" t="str">
        <x:v>Подтвердить модель/SKU, количество, сроки и статус</x:v>
      </x:c>
      <x:c r="G310" s="207" t="str">
        <x:v>Производство</x:v>
      </x:c>
      <x:c r="H310" s="207" t="str">
        <x:v>Критический</x:v>
      </x:c>
      <x:c r="I310" s="207" t="str">
        <x:v>Lead time; WIP; order cost</x:v>
      </x:c>
      <x:c r="J310" s="207" t="str">
        <x:v>План сдач row 43</x:v>
      </x:c>
      <x:c r="K310" s="207" t="str"/>
      <x:c r="L310" s="207" t="str"/>
      <x:c r="M310" s="207" t="str">
        <x:v>Не рассмотрено</x:v>
      </x:c>
      <x:c r="N310" s="207" t="str"/>
      <x:c r="O310" s="207" t="str">
        <x:v>17</x:v>
      </x:c>
      <x:c r="P310" s="207" t="n">
        <x:v>4</x:v>
      </x:c>
      <x:c r="Q310" s="208" t="str">
        <x:v>Wave 1 (0–30 дней)</x:v>
      </x:c>
    </x:row>
    <x:row r="311">
      <x:c r="A311" s="206" t="str">
        <x:v>DEC-00307</x:v>
      </x:c>
      <x:c r="B311" s="207" t="str">
        <x:v>Production order</x:v>
      </x:c>
      <x:c r="C311" s="207" t="str">
        <x:v>PO-DRAFT-0031</x:v>
      </x:c>
      <x:c r="D311" s="207" t="str">
        <x:v>canonical_sku; qty; production_status; actual_completion_date; production_order_owner</x:v>
      </x:c>
      <x:c r="E311" s="207" t="str">
        <x:v>15-04-26/7 | 0-3370А | топ, шелк бел + кружево черн</x:v>
      </x:c>
      <x:c r="F311" s="207" t="str">
        <x:v>Подтвердить модель/SKU, количество, сроки и статус</x:v>
      </x:c>
      <x:c r="G311" s="207" t="str">
        <x:v>Производство</x:v>
      </x:c>
      <x:c r="H311" s="207" t="str">
        <x:v>Критический</x:v>
      </x:c>
      <x:c r="I311" s="207" t="str">
        <x:v>Lead time; WIP; order cost</x:v>
      </x:c>
      <x:c r="J311" s="207" t="str">
        <x:v>План сдач row 44</x:v>
      </x:c>
      <x:c r="K311" s="207" t="str"/>
      <x:c r="L311" s="207" t="str"/>
      <x:c r="M311" s="207" t="str">
        <x:v>Не рассмотрено</x:v>
      </x:c>
      <x:c r="N311" s="207" t="str"/>
      <x:c r="O311" s="207" t="str">
        <x:v>17</x:v>
      </x:c>
      <x:c r="P311" s="207" t="n">
        <x:v>4</x:v>
      </x:c>
      <x:c r="Q311" s="208" t="str">
        <x:v>Wave 1 (0–30 дней)</x:v>
      </x:c>
    </x:row>
    <x:row r="312">
      <x:c r="A312" s="206" t="str">
        <x:v>DEC-00308</x:v>
      </x:c>
      <x:c r="B312" s="207" t="str">
        <x:v>Production order</x:v>
      </x:c>
      <x:c r="C312" s="207" t="str">
        <x:v>PO-DRAFT-0032</x:v>
      </x:c>
      <x:c r="D312" s="207" t="str">
        <x:v>qty; production_status; actual_completion_date; production_order_owner</x:v>
      </x:c>
      <x:c r="E312" s="207" t="str">
        <x:v>15-04-26/8 | 0-2885 | пальто-кимоно, батист бел с принтом вишни</x:v>
      </x:c>
      <x:c r="F312" s="207" t="str">
        <x:v>Подтвердить модель/SKU, количество, сроки и статус</x:v>
      </x:c>
      <x:c r="G312" s="207" t="str">
        <x:v>Производство</x:v>
      </x:c>
      <x:c r="H312" s="207" t="str">
        <x:v>Высокий</x:v>
      </x:c>
      <x:c r="I312" s="207" t="str">
        <x:v>Lead time; WIP; order cost</x:v>
      </x:c>
      <x:c r="J312" s="207" t="str">
        <x:v>План сдач row 45</x:v>
      </x:c>
      <x:c r="K312" s="207" t="str"/>
      <x:c r="L312" s="207" t="str"/>
      <x:c r="M312" s="207" t="str">
        <x:v>Не рассмотрено</x:v>
      </x:c>
      <x:c r="N312" s="207" t="str"/>
      <x:c r="O312" s="207" t="str">
        <x:v>17</x:v>
      </x:c>
      <x:c r="P312" s="207" t="n">
        <x:v>3</x:v>
      </x:c>
      <x:c r="Q312" s="208" t="str">
        <x:v>Wave 2 (31–60 дней)</x:v>
      </x:c>
    </x:row>
    <x:row r="313">
      <x:c r="A313" s="206" t="str">
        <x:v>DEC-00309</x:v>
      </x:c>
      <x:c r="B313" s="207" t="str">
        <x:v>Production order</x:v>
      </x:c>
      <x:c r="C313" s="207" t="str">
        <x:v>PO-DRAFT-0033</x:v>
      </x:c>
      <x:c r="D313" s="207" t="str">
        <x:v>canonical_sku; qty; production_status; actual_completion_date; production_order_owner</x:v>
      </x:c>
      <x:c r="E313" s="207" t="str">
        <x:v>01-06-26/1 | 0-3365 | рубашка, хлопок караблики, бел</x:v>
      </x:c>
      <x:c r="F313" s="207" t="str">
        <x:v>Подтвердить модель/SKU, количество, сроки и статус</x:v>
      </x:c>
      <x:c r="G313" s="207" t="str">
        <x:v>Производство</x:v>
      </x:c>
      <x:c r="H313" s="207" t="str">
        <x:v>Критический</x:v>
      </x:c>
      <x:c r="I313" s="207" t="str">
        <x:v>Lead time; WIP; order cost</x:v>
      </x:c>
      <x:c r="J313" s="207" t="str">
        <x:v>План сдач row 46</x:v>
      </x:c>
      <x:c r="K313" s="207" t="str"/>
      <x:c r="L313" s="207" t="str"/>
      <x:c r="M313" s="207" t="str">
        <x:v>Не рассмотрено</x:v>
      </x:c>
      <x:c r="N313" s="207" t="str"/>
      <x:c r="O313" s="207" t="str">
        <x:v>17</x:v>
      </x:c>
      <x:c r="P313" s="207" t="n">
        <x:v>4</x:v>
      </x:c>
      <x:c r="Q313" s="208" t="str">
        <x:v>Wave 1 (0–30 дней)</x:v>
      </x:c>
    </x:row>
    <x:row r="314">
      <x:c r="A314" s="206" t="str">
        <x:v>DEC-00310</x:v>
      </x:c>
      <x:c r="B314" s="207" t="str">
        <x:v>Production order</x:v>
      </x:c>
      <x:c r="C314" s="207" t="str">
        <x:v>PO-DRAFT-0034</x:v>
      </x:c>
      <x:c r="D314" s="207" t="str">
        <x:v>canonical_sku; qty; production_status; actual_completion_date; production_order_owner</x:v>
      </x:c>
      <x:c r="E314" s="207" t="str">
        <x:v>01-06-26/2 | 0-3366 | топ, хлопок караблики, бел</x:v>
      </x:c>
      <x:c r="F314" s="207" t="str">
        <x:v>Подтвердить модель/SKU, количество, сроки и статус</x:v>
      </x:c>
      <x:c r="G314" s="207" t="str">
        <x:v>Производство</x:v>
      </x:c>
      <x:c r="H314" s="207" t="str">
        <x:v>Критический</x:v>
      </x:c>
      <x:c r="I314" s="207" t="str">
        <x:v>Lead time; WIP; order cost</x:v>
      </x:c>
      <x:c r="J314" s="207" t="str">
        <x:v>План сдач row 47</x:v>
      </x:c>
      <x:c r="K314" s="207" t="str"/>
      <x:c r="L314" s="207" t="str"/>
      <x:c r="M314" s="207" t="str">
        <x:v>Не рассмотрено</x:v>
      </x:c>
      <x:c r="N314" s="207" t="str"/>
      <x:c r="O314" s="207" t="str">
        <x:v>17</x:v>
      </x:c>
      <x:c r="P314" s="207" t="n">
        <x:v>4</x:v>
      </x:c>
      <x:c r="Q314" s="208" t="str">
        <x:v>Wave 1 (0–30 дней)</x:v>
      </x:c>
    </x:row>
    <x:row r="315">
      <x:c r="A315" s="206" t="str">
        <x:v>DEC-00311</x:v>
      </x:c>
      <x:c r="B315" s="207" t="str">
        <x:v>Production order</x:v>
      </x:c>
      <x:c r="C315" s="207" t="str">
        <x:v>PO-DRAFT-0035</x:v>
      </x:c>
      <x:c r="D315" s="207" t="str">
        <x:v>canonical_sku; qty; production_status; actual_completion_date; production_order_owner</x:v>
      </x:c>
      <x:c r="E315" s="207" t="str">
        <x:v>01-06-26/3 | 0-3367 | шорты, хлопок караблики, бел</x:v>
      </x:c>
      <x:c r="F315" s="207" t="str">
        <x:v>Подтвердить модель/SKU, количество, сроки и статус</x:v>
      </x:c>
      <x:c r="G315" s="207" t="str">
        <x:v>Производство</x:v>
      </x:c>
      <x:c r="H315" s="207" t="str">
        <x:v>Критический</x:v>
      </x:c>
      <x:c r="I315" s="207" t="str">
        <x:v>Lead time; WIP; order cost</x:v>
      </x:c>
      <x:c r="J315" s="207" t="str">
        <x:v>План сдач row 48</x:v>
      </x:c>
      <x:c r="K315" s="207" t="str"/>
      <x:c r="L315" s="207" t="str"/>
      <x:c r="M315" s="207" t="str">
        <x:v>Не рассмотрено</x:v>
      </x:c>
      <x:c r="N315" s="207" t="str"/>
      <x:c r="O315" s="207" t="str">
        <x:v>17</x:v>
      </x:c>
      <x:c r="P315" s="207" t="n">
        <x:v>4</x:v>
      </x:c>
      <x:c r="Q315" s="208" t="str">
        <x:v>Wave 1 (0–30 дней)</x:v>
      </x:c>
    </x:row>
    <x:row r="316">
      <x:c r="A316" s="206" t="str">
        <x:v>DEC-00312</x:v>
      </x:c>
      <x:c r="B316" s="207" t="str">
        <x:v>Production order</x:v>
      </x:c>
      <x:c r="C316" s="207" t="str">
        <x:v>PO-DRAFT-0036</x:v>
      </x:c>
      <x:c r="D316" s="207" t="str">
        <x:v>canonical_sku; qty; production_status; actual_completion_date; production_order_owner</x:v>
      </x:c>
      <x:c r="E316" s="207" t="str">
        <x:v>01-06-26/4 | 0-3387 | блуза с бантом, шелк красн</x:v>
      </x:c>
      <x:c r="F316" s="207" t="str">
        <x:v>Подтвердить модель/SKU, количество, сроки и статус</x:v>
      </x:c>
      <x:c r="G316" s="207" t="str">
        <x:v>Производство</x:v>
      </x:c>
      <x:c r="H316" s="207" t="str">
        <x:v>Критический</x:v>
      </x:c>
      <x:c r="I316" s="207" t="str">
        <x:v>Lead time; WIP; order cost</x:v>
      </x:c>
      <x:c r="J316" s="207" t="str">
        <x:v>План сдач row 49</x:v>
      </x:c>
      <x:c r="K316" s="207" t="str"/>
      <x:c r="L316" s="207" t="str"/>
      <x:c r="M316" s="207" t="str">
        <x:v>Не рассмотрено</x:v>
      </x:c>
      <x:c r="N316" s="207" t="str"/>
      <x:c r="O316" s="207" t="str">
        <x:v>17</x:v>
      </x:c>
      <x:c r="P316" s="207" t="n">
        <x:v>4</x:v>
      </x:c>
      <x:c r="Q316" s="208" t="str">
        <x:v>Wave 1 (0–30 дней)</x:v>
      </x:c>
    </x:row>
    <x:row r="317">
      <x:c r="A317" s="206" t="str">
        <x:v>DEC-00313</x:v>
      </x:c>
      <x:c r="B317" s="207" t="str">
        <x:v>Production order</x:v>
      </x:c>
      <x:c r="C317" s="207" t="str">
        <x:v>PO-DRAFT-0037</x:v>
      </x:c>
      <x:c r="D317" s="207" t="str">
        <x:v>canonical_sku; qty; production_status; actual_completion_date; production_order_owner</x:v>
      </x:c>
      <x:c r="E317" s="207" t="str">
        <x:v>01-06-26/5 | 0-3387А | блуза с бантом, шелк какао</x:v>
      </x:c>
      <x:c r="F317" s="207" t="str">
        <x:v>Подтвердить модель/SKU, количество, сроки и статус</x:v>
      </x:c>
      <x:c r="G317" s="207" t="str">
        <x:v>Производство</x:v>
      </x:c>
      <x:c r="H317" s="207" t="str">
        <x:v>Критический</x:v>
      </x:c>
      <x:c r="I317" s="207" t="str">
        <x:v>Lead time; WIP; order cost</x:v>
      </x:c>
      <x:c r="J317" s="207" t="str">
        <x:v>План сдач row 50</x:v>
      </x:c>
      <x:c r="K317" s="207" t="str"/>
      <x:c r="L317" s="207" t="str"/>
      <x:c r="M317" s="207" t="str">
        <x:v>Не рассмотрено</x:v>
      </x:c>
      <x:c r="N317" s="207" t="str"/>
      <x:c r="O317" s="207" t="str">
        <x:v>17</x:v>
      </x:c>
      <x:c r="P317" s="207" t="n">
        <x:v>4</x:v>
      </x:c>
      <x:c r="Q317" s="208" t="str">
        <x:v>Wave 1 (0–30 дней)</x:v>
      </x:c>
    </x:row>
    <x:row r="318">
      <x:c r="A318" s="206" t="str">
        <x:v>DEC-00314</x:v>
      </x:c>
      <x:c r="B318" s="207" t="str">
        <x:v>Production order</x:v>
      </x:c>
      <x:c r="C318" s="207" t="str">
        <x:v>PO-DRAFT-0038</x:v>
      </x:c>
      <x:c r="D318" s="207" t="str">
        <x:v>canonical_sku; qty; production_status; actual_completion_date; production_order_owner</x:v>
      </x:c>
      <x:c r="E318" s="207" t="str">
        <x:v>01-06-26/6 | 0-3388 | брюки широкие, с карманами, шелк красн ПЕРЕДЕЛКА</x:v>
      </x:c>
      <x:c r="F318" s="207" t="str">
        <x:v>Подтвердить модель/SKU, количество, сроки и статус</x:v>
      </x:c>
      <x:c r="G318" s="207" t="str">
        <x:v>Производство</x:v>
      </x:c>
      <x:c r="H318" s="207" t="str">
        <x:v>Критический</x:v>
      </x:c>
      <x:c r="I318" s="207" t="str">
        <x:v>Lead time; WIP; order cost</x:v>
      </x:c>
      <x:c r="J318" s="207" t="str">
        <x:v>План сдач row 51</x:v>
      </x:c>
      <x:c r="K318" s="207" t="str"/>
      <x:c r="L318" s="207" t="str"/>
      <x:c r="M318" s="207" t="str">
        <x:v>Не рассмотрено</x:v>
      </x:c>
      <x:c r="N318" s="207" t="str"/>
      <x:c r="O318" s="207" t="str">
        <x:v>17</x:v>
      </x:c>
      <x:c r="P318" s="207" t="n">
        <x:v>4</x:v>
      </x:c>
      <x:c r="Q318" s="208" t="str">
        <x:v>Wave 1 (0–30 дней)</x:v>
      </x:c>
    </x:row>
    <x:row r="319">
      <x:c r="A319" s="206" t="str">
        <x:v>DEC-00315</x:v>
      </x:c>
      <x:c r="B319" s="207" t="str">
        <x:v>Production order</x:v>
      </x:c>
      <x:c r="C319" s="207" t="str">
        <x:v>PO-DRAFT-0039</x:v>
      </x:c>
      <x:c r="D319" s="207" t="str">
        <x:v>canonical_sku; qty; production_status; actual_completion_date; production_order_owner</x:v>
      </x:c>
      <x:c r="E319" s="207" t="str">
        <x:v>13-04-26/1 | 0-3385 | блуза, хлопок беж + рафия беж</x:v>
      </x:c>
      <x:c r="F319" s="207" t="str">
        <x:v>Подтвердить модель/SKU, количество, сроки и статус</x:v>
      </x:c>
      <x:c r="G319" s="207" t="str">
        <x:v>Производство</x:v>
      </x:c>
      <x:c r="H319" s="207" t="str">
        <x:v>Критический</x:v>
      </x:c>
      <x:c r="I319" s="207" t="str">
        <x:v>Lead time; WIP; order cost</x:v>
      </x:c>
      <x:c r="J319" s="207" t="str">
        <x:v>План сдач row 54</x:v>
      </x:c>
      <x:c r="K319" s="207" t="str"/>
      <x:c r="L319" s="207" t="str"/>
      <x:c r="M319" s="207" t="str">
        <x:v>Не рассмотрено</x:v>
      </x:c>
      <x:c r="N319" s="207" t="str"/>
      <x:c r="O319" s="207" t="str">
        <x:v>17</x:v>
      </x:c>
      <x:c r="P319" s="207" t="n">
        <x:v>4</x:v>
      </x:c>
      <x:c r="Q319" s="208" t="str">
        <x:v>Wave 1 (0–30 дней)</x:v>
      </x:c>
    </x:row>
    <x:row r="320">
      <x:c r="A320" s="206" t="str">
        <x:v>DEC-00316</x:v>
      </x:c>
      <x:c r="B320" s="207" t="str">
        <x:v>Production order</x:v>
      </x:c>
      <x:c r="C320" s="207" t="str">
        <x:v>PO-DRAFT-0040</x:v>
      </x:c>
      <x:c r="D320" s="207" t="str">
        <x:v>canonical_sku; qty; production_status; actual_completion_date; production_order_owner</x:v>
      </x:c>
      <x:c r="E320" s="207" t="str">
        <x:v>13-04-26/2 | 0-3354 | юбка с карманами, хлопок беж</x:v>
      </x:c>
      <x:c r="F320" s="207" t="str">
        <x:v>Подтвердить модель/SKU, количество, сроки и статус</x:v>
      </x:c>
      <x:c r="G320" s="207" t="str">
        <x:v>Производство</x:v>
      </x:c>
      <x:c r="H320" s="207" t="str">
        <x:v>Критический</x:v>
      </x:c>
      <x:c r="I320" s="207" t="str">
        <x:v>Lead time; WIP; order cost</x:v>
      </x:c>
      <x:c r="J320" s="207" t="str">
        <x:v>План сдач row 55</x:v>
      </x:c>
      <x:c r="K320" s="207" t="str"/>
      <x:c r="L320" s="207" t="str"/>
      <x:c r="M320" s="207" t="str">
        <x:v>Не рассмотрено</x:v>
      </x:c>
      <x:c r="N320" s="207" t="str"/>
      <x:c r="O320" s="207" t="str">
        <x:v>17</x:v>
      </x:c>
      <x:c r="P320" s="207" t="n">
        <x:v>4</x:v>
      </x:c>
      <x:c r="Q320" s="208" t="str">
        <x:v>Wave 1 (0–30 дней)</x:v>
      </x:c>
    </x:row>
    <x:row r="321">
      <x:c r="A321" s="206" t="str">
        <x:v>DEC-00317</x:v>
      </x:c>
      <x:c r="B321" s="207" t="str">
        <x:v>Production order</x:v>
      </x:c>
      <x:c r="C321" s="207" t="str">
        <x:v>PO-DRAFT-0041</x:v>
      </x:c>
      <x:c r="D321" s="207" t="str">
        <x:v>canonical_sku; qty; production_status; actual_completion_date; production_order_owner</x:v>
      </x:c>
      <x:c r="E321" s="207" t="str">
        <x:v>13-04-26/3 | 0-3414 | блуза с колье, хлопок розов</x:v>
      </x:c>
      <x:c r="F321" s="207" t="str">
        <x:v>Подтвердить модель/SKU, количество, сроки и статус</x:v>
      </x:c>
      <x:c r="G321" s="207" t="str">
        <x:v>Производство</x:v>
      </x:c>
      <x:c r="H321" s="207" t="str">
        <x:v>Критический</x:v>
      </x:c>
      <x:c r="I321" s="207" t="str">
        <x:v>Lead time; WIP; order cost</x:v>
      </x:c>
      <x:c r="J321" s="207" t="str">
        <x:v>План сдач row 56</x:v>
      </x:c>
      <x:c r="K321" s="207" t="str"/>
      <x:c r="L321" s="207" t="str"/>
      <x:c r="M321" s="207" t="str">
        <x:v>Не рассмотрено</x:v>
      </x:c>
      <x:c r="N321" s="207" t="str"/>
      <x:c r="O321" s="207" t="str">
        <x:v>17</x:v>
      </x:c>
      <x:c r="P321" s="207" t="n">
        <x:v>4</x:v>
      </x:c>
      <x:c r="Q321" s="208" t="str">
        <x:v>Wave 1 (0–30 дней)</x:v>
      </x:c>
    </x:row>
    <x:row r="322">
      <x:c r="A322" s="206" t="str">
        <x:v>DEC-00318</x:v>
      </x:c>
      <x:c r="B322" s="207" t="str">
        <x:v>Production order</x:v>
      </x:c>
      <x:c r="C322" s="207" t="str">
        <x:v>PO-DRAFT-0042</x:v>
      </x:c>
      <x:c r="D322" s="207" t="str">
        <x:v>canonical_sku; qty; production_status; actual_completion_date; production_order_owner</x:v>
      </x:c>
      <x:c r="E322" s="207" t="str">
        <x:v>13-04-26/4 | 0-3378 | блуза-поло, хлопок желт</x:v>
      </x:c>
      <x:c r="F322" s="207" t="str">
        <x:v>Подтвердить модель/SKU, количество, сроки и статус</x:v>
      </x:c>
      <x:c r="G322" s="207" t="str">
        <x:v>Производство</x:v>
      </x:c>
      <x:c r="H322" s="207" t="str">
        <x:v>Критический</x:v>
      </x:c>
      <x:c r="I322" s="207" t="str">
        <x:v>Lead time; WIP; order cost</x:v>
      </x:c>
      <x:c r="J322" s="207" t="str">
        <x:v>План сдач row 57</x:v>
      </x:c>
      <x:c r="K322" s="207" t="str"/>
      <x:c r="L322" s="207" t="str"/>
      <x:c r="M322" s="207" t="str">
        <x:v>Не рассмотрено</x:v>
      </x:c>
      <x:c r="N322" s="207" t="str"/>
      <x:c r="O322" s="207" t="str">
        <x:v>17</x:v>
      </x:c>
      <x:c r="P322" s="207" t="n">
        <x:v>4</x:v>
      </x:c>
      <x:c r="Q322" s="208" t="str">
        <x:v>Wave 1 (0–30 дней)</x:v>
      </x:c>
    </x:row>
    <x:row r="323">
      <x:c r="A323" s="206" t="str">
        <x:v>DEC-00319</x:v>
      </x:c>
      <x:c r="B323" s="207" t="str">
        <x:v>Production order</x:v>
      </x:c>
      <x:c r="C323" s="207" t="str">
        <x:v>PO-DRAFT-0043</x:v>
      </x:c>
      <x:c r="D323" s="207" t="str">
        <x:v>canonical_sku; qty; production_status; actual_completion_date; production_order_owner</x:v>
      </x:c>
      <x:c r="E323" s="207" t="str">
        <x:v>13-04-26/5 | 0-3354 | юбка с выш, хлопок черн</x:v>
      </x:c>
      <x:c r="F323" s="207" t="str">
        <x:v>Подтвердить модель/SKU, количество, сроки и статус</x:v>
      </x:c>
      <x:c r="G323" s="207" t="str">
        <x:v>Производство</x:v>
      </x:c>
      <x:c r="H323" s="207" t="str">
        <x:v>Критический</x:v>
      </x:c>
      <x:c r="I323" s="207" t="str">
        <x:v>Lead time; WIP; order cost</x:v>
      </x:c>
      <x:c r="J323" s="207" t="str">
        <x:v>План сдач row 58</x:v>
      </x:c>
      <x:c r="K323" s="207" t="str"/>
      <x:c r="L323" s="207" t="str"/>
      <x:c r="M323" s="207" t="str">
        <x:v>Не рассмотрено</x:v>
      </x:c>
      <x:c r="N323" s="207" t="str"/>
      <x:c r="O323" s="207" t="str">
        <x:v>17</x:v>
      </x:c>
      <x:c r="P323" s="207" t="n">
        <x:v>4</x:v>
      </x:c>
      <x:c r="Q323" s="208" t="str">
        <x:v>Wave 1 (0–30 дней)</x:v>
      </x:c>
    </x:row>
    <x:row r="324">
      <x:c r="A324" s="206" t="str">
        <x:v>DEC-00320</x:v>
      </x:c>
      <x:c r="B324" s="207" t="str">
        <x:v>Production order</x:v>
      </x:c>
      <x:c r="C324" s="207" t="str">
        <x:v>PO-DRAFT-0044</x:v>
      </x:c>
      <x:c r="D324" s="207" t="str">
        <x:v>canonical_sku; qty; production_status; actual_completion_date; production_order_owner</x:v>
      </x:c>
      <x:c r="E324" s="207" t="str">
        <x:v>13-04-26/6 | 0-3380 | платье ПО ЭСКИЗУ, с карманами, хлопок черн</x:v>
      </x:c>
      <x:c r="F324" s="207" t="str">
        <x:v>Подтвердить модель/SKU, количество, сроки и статус</x:v>
      </x:c>
      <x:c r="G324" s="207" t="str">
        <x:v>Производство</x:v>
      </x:c>
      <x:c r="H324" s="207" t="str">
        <x:v>Критический</x:v>
      </x:c>
      <x:c r="I324" s="207" t="str">
        <x:v>Lead time; WIP; order cost</x:v>
      </x:c>
      <x:c r="J324" s="207" t="str">
        <x:v>План сдач row 59</x:v>
      </x:c>
      <x:c r="K324" s="207" t="str"/>
      <x:c r="L324" s="207" t="str"/>
      <x:c r="M324" s="207" t="str">
        <x:v>Не рассмотрено</x:v>
      </x:c>
      <x:c r="N324" s="207" t="str"/>
      <x:c r="O324" s="207" t="str">
        <x:v>17</x:v>
      </x:c>
      <x:c r="P324" s="207" t="n">
        <x:v>4</x:v>
      </x:c>
      <x:c r="Q324" s="208" t="str">
        <x:v>Wave 1 (0–30 дней)</x:v>
      </x:c>
    </x:row>
    <x:row r="325">
      <x:c r="A325" s="206" t="str">
        <x:v>DEC-00321</x:v>
      </x:c>
      <x:c r="B325" s="207" t="str">
        <x:v>Production order</x:v>
      </x:c>
      <x:c r="C325" s="207" t="str">
        <x:v>PO-DRAFT-0045</x:v>
      </x:c>
      <x:c r="D325" s="207" t="str">
        <x:v>canonical_sku; qty; production_status; actual_completion_date; production_order_owner</x:v>
      </x:c>
      <x:c r="E325" s="207" t="str">
        <x:v>06-05-26/1 | 0-3371С | рубашка, батист голуб "вишни"</x:v>
      </x:c>
      <x:c r="F325" s="207" t="str">
        <x:v>Подтвердить модель/SKU, количество, сроки и статус</x:v>
      </x:c>
      <x:c r="G325" s="207" t="str">
        <x:v>Производство</x:v>
      </x:c>
      <x:c r="H325" s="207" t="str">
        <x:v>Критический</x:v>
      </x:c>
      <x:c r="I325" s="207" t="str">
        <x:v>Lead time; WIP; order cost</x:v>
      </x:c>
      <x:c r="J325" s="207" t="str">
        <x:v>План сдач row 60</x:v>
      </x:c>
      <x:c r="K325" s="207" t="str"/>
      <x:c r="L325" s="207" t="str"/>
      <x:c r="M325" s="207" t="str">
        <x:v>Не рассмотрено</x:v>
      </x:c>
      <x:c r="N325" s="207" t="str"/>
      <x:c r="O325" s="207" t="str">
        <x:v>17</x:v>
      </x:c>
      <x:c r="P325" s="207" t="n">
        <x:v>4</x:v>
      </x:c>
      <x:c r="Q325" s="208" t="str">
        <x:v>Wave 1 (0–30 дней)</x:v>
      </x:c>
    </x:row>
    <x:row r="326">
      <x:c r="A326" s="206" t="str">
        <x:v>DEC-00322</x:v>
      </x:c>
      <x:c r="B326" s="207" t="str">
        <x:v>Production order</x:v>
      </x:c>
      <x:c r="C326" s="207" t="str">
        <x:v>PO-DRAFT-0046</x:v>
      </x:c>
      <x:c r="D326" s="207" t="str">
        <x:v>canonical_sku; qty; production_status; actual_completion_date; production_order_owner</x:v>
      </x:c>
      <x:c r="E326" s="207" t="str">
        <x:v>06-05-26/2 | 0-3372С | брюки, батист голуб "вишни"</x:v>
      </x:c>
      <x:c r="F326" s="207" t="str">
        <x:v>Подтвердить модель/SKU, количество, сроки и статус</x:v>
      </x:c>
      <x:c r="G326" s="207" t="str">
        <x:v>Производство</x:v>
      </x:c>
      <x:c r="H326" s="207" t="str">
        <x:v>Критический</x:v>
      </x:c>
      <x:c r="I326" s="207" t="str">
        <x:v>Lead time; WIP; order cost</x:v>
      </x:c>
      <x:c r="J326" s="207" t="str">
        <x:v>План сдач row 61</x:v>
      </x:c>
      <x:c r="K326" s="207" t="str"/>
      <x:c r="L326" s="207" t="str"/>
      <x:c r="M326" s="207" t="str">
        <x:v>Не рассмотрено</x:v>
      </x:c>
      <x:c r="N326" s="207" t="str"/>
      <x:c r="O326" s="207" t="str">
        <x:v>17</x:v>
      </x:c>
      <x:c r="P326" s="207" t="n">
        <x:v>4</x:v>
      </x:c>
      <x:c r="Q326" s="208" t="str">
        <x:v>Wave 1 (0–30 дней)</x:v>
      </x:c>
    </x:row>
    <x:row r="327">
      <x:c r="A327" s="206" t="str">
        <x:v>DEC-00323</x:v>
      </x:c>
      <x:c r="B327" s="207" t="str">
        <x:v>Production order</x:v>
      </x:c>
      <x:c r="C327" s="207" t="str">
        <x:v>PO-DRAFT-0047</x:v>
      </x:c>
      <x:c r="D327" s="207" t="str">
        <x:v>model_code; canonical_sku; qty; production_status; actual_completion_date; production_order_owner</x:v>
      </x:c>
      <x:c r="E327" s="207" t="str">
        <x:v>06-05-26/3 |  | парео на талию на завязках, батист голуб "вишни"</x:v>
      </x:c>
      <x:c r="F327" s="207" t="str">
        <x:v>Подтвердить модель/SKU, количество, сроки и статус</x:v>
      </x:c>
      <x:c r="G327" s="207" t="str">
        <x:v>Производство</x:v>
      </x:c>
      <x:c r="H327" s="207" t="str">
        <x:v>Критический</x:v>
      </x:c>
      <x:c r="I327" s="207" t="str">
        <x:v>Lead time; WIP; order cost</x:v>
      </x:c>
      <x:c r="J327" s="207" t="str">
        <x:v>План сдач row 62</x:v>
      </x:c>
      <x:c r="K327" s="207" t="str"/>
      <x:c r="L327" s="207" t="str"/>
      <x:c r="M327" s="207" t="str">
        <x:v>Не рассмотрено</x:v>
      </x:c>
      <x:c r="N327" s="207" t="str"/>
      <x:c r="O327" s="207" t="str">
        <x:v>17</x:v>
      </x:c>
      <x:c r="P327" s="207" t="n">
        <x:v>4</x:v>
      </x:c>
      <x:c r="Q327" s="208" t="str">
        <x:v>Wave 1 (0–30 дней)</x:v>
      </x:c>
    </x:row>
    <x:row r="328">
      <x:c r="A328" s="206" t="str">
        <x:v>DEC-00324</x:v>
      </x:c>
      <x:c r="B328" s="207" t="str">
        <x:v>Production order</x:v>
      </x:c>
      <x:c r="C328" s="207" t="str">
        <x:v>PO-DRAFT-0048</x:v>
      </x:c>
      <x:c r="D328" s="207" t="str">
        <x:v>model_code; due_date; canonical_sku; qty; production_status; actual_completion_date; production_order_owner</x:v>
      </x:c>
      <x:c r="E328" s="207" t="str">
        <x:v>15-11-24 |  | корсет, кожа черная тонкая мягкая</x:v>
      </x:c>
      <x:c r="F328" s="207" t="str">
        <x:v>Подтвердить модель/SKU, количество, сроки и статус</x:v>
      </x:c>
      <x:c r="G328" s="207" t="str">
        <x:v>Производство</x:v>
      </x:c>
      <x:c r="H328" s="207" t="str">
        <x:v>Критический</x:v>
      </x:c>
      <x:c r="I328" s="207" t="str">
        <x:v>Lead time; WIP; order cost</x:v>
      </x:c>
      <x:c r="J328" s="207" t="str">
        <x:v>План сдач row 65</x:v>
      </x:c>
      <x:c r="K328" s="207" t="str"/>
      <x:c r="L328" s="207" t="str"/>
      <x:c r="M328" s="207" t="str">
        <x:v>Не рассмотрено</x:v>
      </x:c>
      <x:c r="N328" s="207" t="str"/>
      <x:c r="O328" s="207" t="str">
        <x:v>17</x:v>
      </x:c>
      <x:c r="P328" s="207" t="n">
        <x:v>4</x:v>
      </x:c>
      <x:c r="Q328" s="208" t="str">
        <x:v>Wave 1 (0–30 дней)</x:v>
      </x:c>
    </x:row>
    <x:row r="329">
      <x:c r="A329" s="206" t="str">
        <x:v>DEC-00325</x:v>
      </x:c>
      <x:c r="B329" s="207" t="str">
        <x:v>Production order</x:v>
      </x:c>
      <x:c r="C329" s="207" t="str">
        <x:v>PO-DRAFT-0049</x:v>
      </x:c>
      <x:c r="D329" s="207" t="str">
        <x:v>canonical_sku; qty; production_status; actual_completion_date; production_order_owner</x:v>
      </x:c>
      <x:c r="E329" s="207" t="str">
        <x:v>01-04-26/1 | 47-20 | платье корот со съемн кейпом, бел дюшес, выш - бел тюльпаны</x:v>
      </x:c>
      <x:c r="F329" s="207" t="str">
        <x:v>Подтвердить модель/SKU, количество, сроки и статус</x:v>
      </x:c>
      <x:c r="G329" s="207" t="str">
        <x:v>Производство</x:v>
      </x:c>
      <x:c r="H329" s="207" t="str">
        <x:v>Критический</x:v>
      </x:c>
      <x:c r="I329" s="207" t="str">
        <x:v>Lead time; WIP; order cost</x:v>
      </x:c>
      <x:c r="J329" s="207" t="str">
        <x:v>План сдач row 68</x:v>
      </x:c>
      <x:c r="K329" s="207" t="str"/>
      <x:c r="L329" s="207" t="str"/>
      <x:c r="M329" s="207" t="str">
        <x:v>Не рассмотрено</x:v>
      </x:c>
      <x:c r="N329" s="207" t="str"/>
      <x:c r="O329" s="207" t="str">
        <x:v>17</x:v>
      </x:c>
      <x:c r="P329" s="207" t="n">
        <x:v>4</x:v>
      </x:c>
      <x:c r="Q329" s="208" t="str">
        <x:v>Wave 1 (0–30 дней)</x:v>
      </x:c>
    </x:row>
    <x:row r="330">
      <x:c r="A330" s="206" t="str">
        <x:v>DEC-00326</x:v>
      </x:c>
      <x:c r="B330" s="207" t="str">
        <x:v>Production order</x:v>
      </x:c>
      <x:c r="C330" s="207" t="str">
        <x:v>PO-DRAFT-0050</x:v>
      </x:c>
      <x:c r="D330" s="207" t="str">
        <x:v>model_code; canonical_sku; qty; production_status; actual_completion_date; production_order_owner</x:v>
      </x:c>
      <x:c r="E330" s="207" t="str">
        <x:v>01-04-26/2 |  | юбка нижняя, длин, шифон бел</x:v>
      </x:c>
      <x:c r="F330" s="207" t="str">
        <x:v>Подтвердить модель/SKU, количество, сроки и статус</x:v>
      </x:c>
      <x:c r="G330" s="207" t="str">
        <x:v>Производство</x:v>
      </x:c>
      <x:c r="H330" s="207" t="str">
        <x:v>Критический</x:v>
      </x:c>
      <x:c r="I330" s="207" t="str">
        <x:v>Lead time; WIP; order cost</x:v>
      </x:c>
      <x:c r="J330" s="207" t="str">
        <x:v>План сдач row 69</x:v>
      </x:c>
      <x:c r="K330" s="207" t="str"/>
      <x:c r="L330" s="207" t="str"/>
      <x:c r="M330" s="207" t="str">
        <x:v>Не рассмотрено</x:v>
      </x:c>
      <x:c r="N330" s="207" t="str"/>
      <x:c r="O330" s="207" t="str">
        <x:v>17</x:v>
      </x:c>
      <x:c r="P330" s="207" t="n">
        <x:v>4</x:v>
      </x:c>
      <x:c r="Q330" s="208" t="str">
        <x:v>Wave 1 (0–30 дней)</x:v>
      </x:c>
    </x:row>
    <x:row r="331">
      <x:c r="A331" s="206" t="str">
        <x:v>DEC-00327</x:v>
      </x:c>
      <x:c r="B331" s="207" t="str">
        <x:v>Production order</x:v>
      </x:c>
      <x:c r="C331" s="207" t="str">
        <x:v>PO-DRAFT-0051</x:v>
      </x:c>
      <x:c r="D331" s="207" t="str">
        <x:v>model_code; canonical_sku; qty; production_status; actual_completion_date; production_order_owner</x:v>
      </x:c>
      <x:c r="E331" s="207" t="str">
        <x:v>01-04-26/3 |  | кейп длин, с капюшоном, шифон бел</x:v>
      </x:c>
      <x:c r="F331" s="207" t="str">
        <x:v>Подтвердить модель/SKU, количество, сроки и статус</x:v>
      </x:c>
      <x:c r="G331" s="207" t="str">
        <x:v>Производство</x:v>
      </x:c>
      <x:c r="H331" s="207" t="str">
        <x:v>Критический</x:v>
      </x:c>
      <x:c r="I331" s="207" t="str">
        <x:v>Lead time; WIP; order cost</x:v>
      </x:c>
      <x:c r="J331" s="207" t="str">
        <x:v>План сдач row 70</x:v>
      </x:c>
      <x:c r="K331" s="207" t="str"/>
      <x:c r="L331" s="207" t="str"/>
      <x:c r="M331" s="207" t="str">
        <x:v>Не рассмотрено</x:v>
      </x:c>
      <x:c r="N331" s="207" t="str"/>
      <x:c r="O331" s="207" t="str">
        <x:v>17</x:v>
      </x:c>
      <x:c r="P331" s="207" t="n">
        <x:v>4</x:v>
      </x:c>
      <x:c r="Q331" s="208" t="str">
        <x:v>Wave 1 (0–30 дней)</x:v>
      </x:c>
    </x:row>
    <x:row r="332">
      <x:c r="A332" s="206" t="str">
        <x:v>DEC-00328</x:v>
      </x:c>
      <x:c r="B332" s="207" t="str">
        <x:v>Production order</x:v>
      </x:c>
      <x:c r="C332" s="207" t="str">
        <x:v>PO-DRAFT-0052</x:v>
      </x:c>
      <x:c r="D332" s="207" t="str">
        <x:v>model_code; canonical_sku; qty; production_status; actual_completion_date; production_order_owner</x:v>
      </x:c>
      <x:c r="E332" s="207" t="str">
        <x:v>01-04-26/4 |  | головной убор</x:v>
      </x:c>
      <x:c r="F332" s="207" t="str">
        <x:v>Подтвердить модель/SKU, количество, сроки и статус</x:v>
      </x:c>
      <x:c r="G332" s="207" t="str">
        <x:v>Производство</x:v>
      </x:c>
      <x:c r="H332" s="207" t="str">
        <x:v>Критический</x:v>
      </x:c>
      <x:c r="I332" s="207" t="str">
        <x:v>Lead time; WIP; order cost</x:v>
      </x:c>
      <x:c r="J332" s="207" t="str">
        <x:v>План сдач row 71</x:v>
      </x:c>
      <x:c r="K332" s="207" t="str"/>
      <x:c r="L332" s="207" t="str"/>
      <x:c r="M332" s="207" t="str">
        <x:v>Не рассмотрено</x:v>
      </x:c>
      <x:c r="N332" s="207" t="str"/>
      <x:c r="O332" s="207" t="str">
        <x:v>17</x:v>
      </x:c>
      <x:c r="P332" s="207" t="n">
        <x:v>4</x:v>
      </x:c>
      <x:c r="Q332" s="208" t="str">
        <x:v>Wave 1 (0–30 дней)</x:v>
      </x:c>
    </x:row>
    <x:row r="333">
      <x:c r="A333" s="206" t="str">
        <x:v>DEC-00329</x:v>
      </x:c>
      <x:c r="B333" s="207" t="str">
        <x:v>Production order</x:v>
      </x:c>
      <x:c r="C333" s="207" t="str">
        <x:v>PO-DRAFT-0053</x:v>
      </x:c>
      <x:c r="D333" s="207" t="str">
        <x:v>valid order date; canonical_sku; qty; production_status; actual_completion_date; production_order_owner</x:v>
      </x:c>
      <x:c r="E333" s="207" t="str">
        <x:v>17 04 26 | 0-3400 | платье с выш рукавами, батист олив + золот цепочка на талию</x:v>
      </x:c>
      <x:c r="F333" s="207" t="str">
        <x:v>Подтвердить модель/SKU, количество, сроки и статус</x:v>
      </x:c>
      <x:c r="G333" s="207" t="str">
        <x:v>Производство</x:v>
      </x:c>
      <x:c r="H333" s="207" t="str">
        <x:v>Критический</x:v>
      </x:c>
      <x:c r="I333" s="207" t="str">
        <x:v>Lead time; WIP; order cost</x:v>
      </x:c>
      <x:c r="J333" s="207" t="str">
        <x:v>План сдач row 72</x:v>
      </x:c>
      <x:c r="K333" s="207" t="str"/>
      <x:c r="L333" s="207" t="str"/>
      <x:c r="M333" s="207" t="str">
        <x:v>Не рассмотрено</x:v>
      </x:c>
      <x:c r="N333" s="207" t="str"/>
      <x:c r="O333" s="207" t="str">
        <x:v>17</x:v>
      </x:c>
      <x:c r="P333" s="207" t="n">
        <x:v>4</x:v>
      </x:c>
      <x:c r="Q333" s="208" t="str">
        <x:v>Wave 1 (0–30 дней)</x:v>
      </x:c>
    </x:row>
    <x:row r="334">
      <x:c r="A334" s="206" t="str">
        <x:v>DEC-00330</x:v>
      </x:c>
      <x:c r="B334" s="207" t="str">
        <x:v>Production order</x:v>
      </x:c>
      <x:c r="C334" s="207" t="str">
        <x:v>PO-DRAFT-0054</x:v>
      </x:c>
      <x:c r="D334" s="207" t="str">
        <x:v>canonical_sku; qty; production_status; actual_completion_date; production_order_owner</x:v>
      </x:c>
      <x:c r="E334" s="207" t="str">
        <x:v>25-04-26/1 | 0-3368В | блузон, шелк розов лошадки, размер S</x:v>
      </x:c>
      <x:c r="F334" s="207" t="str">
        <x:v>Подтвердить модель/SKU, количество, сроки и статус</x:v>
      </x:c>
      <x:c r="G334" s="207" t="str">
        <x:v>Производство</x:v>
      </x:c>
      <x:c r="H334" s="207" t="str">
        <x:v>Критический</x:v>
      </x:c>
      <x:c r="I334" s="207" t="str">
        <x:v>Lead time; WIP; order cost</x:v>
      </x:c>
      <x:c r="J334" s="207" t="str">
        <x:v>План сдач row 75</x:v>
      </x:c>
      <x:c r="K334" s="207" t="str"/>
      <x:c r="L334" s="207" t="str"/>
      <x:c r="M334" s="207" t="str">
        <x:v>Не рассмотрено</x:v>
      </x:c>
      <x:c r="N334" s="207" t="str"/>
      <x:c r="O334" s="207" t="str">
        <x:v>17</x:v>
      </x:c>
      <x:c r="P334" s="207" t="n">
        <x:v>4</x:v>
      </x:c>
      <x:c r="Q334" s="208" t="str">
        <x:v>Wave 1 (0–30 дней)</x:v>
      </x:c>
    </x:row>
    <x:row r="335">
      <x:c r="A335" s="206" t="str">
        <x:v>DEC-00331</x:v>
      </x:c>
      <x:c r="B335" s="207" t="str">
        <x:v>Production order</x:v>
      </x:c>
      <x:c r="C335" s="207" t="str">
        <x:v>PO-DRAFT-0055</x:v>
      </x:c>
      <x:c r="D335" s="207" t="str">
        <x:v>canonical_sku; qty; production_status; actual_completion_date; production_order_owner</x:v>
      </x:c>
      <x:c r="E335" s="207" t="str">
        <x:v>25-04-26/2 | 0-3369В | брюки, шелк розов лошадки - по меркам</x:v>
      </x:c>
      <x:c r="F335" s="207" t="str">
        <x:v>Подтвердить модель/SKU, количество, сроки и статус</x:v>
      </x:c>
      <x:c r="G335" s="207" t="str">
        <x:v>Производство</x:v>
      </x:c>
      <x:c r="H335" s="207" t="str">
        <x:v>Критический</x:v>
      </x:c>
      <x:c r="I335" s="207" t="str">
        <x:v>Lead time; WIP; order cost</x:v>
      </x:c>
      <x:c r="J335" s="207" t="str">
        <x:v>План сдач row 76</x:v>
      </x:c>
      <x:c r="K335" s="207" t="str"/>
      <x:c r="L335" s="207" t="str"/>
      <x:c r="M335" s="207" t="str">
        <x:v>Не рассмотрено</x:v>
      </x:c>
      <x:c r="N335" s="207" t="str"/>
      <x:c r="O335" s="207" t="str">
        <x:v>17</x:v>
      </x:c>
      <x:c r="P335" s="207" t="n">
        <x:v>4</x:v>
      </x:c>
      <x:c r="Q335" s="208" t="str">
        <x:v>Wave 1 (0–30 дней)</x:v>
      </x:c>
    </x:row>
    <x:row r="336">
      <x:c r="A336" s="206" t="str">
        <x:v>DEC-00332</x:v>
      </x:c>
      <x:c r="B336" s="207" t="str">
        <x:v>Production order</x:v>
      </x:c>
      <x:c r="C336" s="207" t="str">
        <x:v>PO-DRAFT-0056</x:v>
      </x:c>
      <x:c r="D336" s="207" t="str">
        <x:v>due_date; canonical_sku; qty; production_status; actual_completion_date; production_order_owner</x:v>
      </x:c>
      <x:c r="E336" s="207" t="str">
        <x:v>21-04-26/2 | 47-11 | жакет "камелия", креп бел дабл + еще одна съемная деталь вышивки</x:v>
      </x:c>
      <x:c r="F336" s="207" t="str">
        <x:v>Подтвердить модель/SKU, количество, сроки и статус</x:v>
      </x:c>
      <x:c r="G336" s="207" t="str">
        <x:v>Производство</x:v>
      </x:c>
      <x:c r="H336" s="207" t="str">
        <x:v>Критический</x:v>
      </x:c>
      <x:c r="I336" s="207" t="str">
        <x:v>Lead time; WIP; order cost</x:v>
      </x:c>
      <x:c r="J336" s="207" t="str">
        <x:v>План сдач row 79</x:v>
      </x:c>
      <x:c r="K336" s="207" t="str"/>
      <x:c r="L336" s="207" t="str"/>
      <x:c r="M336" s="207" t="str">
        <x:v>Не рассмотрено</x:v>
      </x:c>
      <x:c r="N336" s="207" t="str"/>
      <x:c r="O336" s="207" t="str">
        <x:v>17</x:v>
      </x:c>
      <x:c r="P336" s="207" t="n">
        <x:v>4</x:v>
      </x:c>
      <x:c r="Q336" s="208" t="str">
        <x:v>Wave 1 (0–30 дней)</x:v>
      </x:c>
    </x:row>
    <x:row r="337">
      <x:c r="A337" s="206" t="str">
        <x:v>DEC-00333</x:v>
      </x:c>
      <x:c r="B337" s="207" t="str">
        <x:v>Production order</x:v>
      </x:c>
      <x:c r="C337" s="207" t="str">
        <x:v>PO-DRAFT-0057</x:v>
      </x:c>
      <x:c r="D337" s="207" t="str">
        <x:v>due_date; canonical_sku; qty; production_status; actual_completion_date; production_order_owner</x:v>
      </x:c>
      <x:c r="E337" s="207" t="str">
        <x:v>21-04-26/3 | 47-11 | юбка длин, бархат стр черн</x:v>
      </x:c>
      <x:c r="F337" s="207" t="str">
        <x:v>Подтвердить модель/SKU, количество, сроки и статус</x:v>
      </x:c>
      <x:c r="G337" s="207" t="str">
        <x:v>Производство</x:v>
      </x:c>
      <x:c r="H337" s="207" t="str">
        <x:v>Критический</x:v>
      </x:c>
      <x:c r="I337" s="207" t="str">
        <x:v>Lead time; WIP; order cost</x:v>
      </x:c>
      <x:c r="J337" s="207" t="str">
        <x:v>План сдач row 80</x:v>
      </x:c>
      <x:c r="K337" s="207" t="str"/>
      <x:c r="L337" s="207" t="str"/>
      <x:c r="M337" s="207" t="str">
        <x:v>Не рассмотрено</x:v>
      </x:c>
      <x:c r="N337" s="207" t="str"/>
      <x:c r="O337" s="207" t="str">
        <x:v>17</x:v>
      </x:c>
      <x:c r="P337" s="207" t="n">
        <x:v>4</x:v>
      </x:c>
      <x:c r="Q337" s="208" t="str">
        <x:v>Wave 1 (0–30 дней)</x:v>
      </x:c>
    </x:row>
    <x:row r="338">
      <x:c r="A338" s="206" t="str">
        <x:v>DEC-00334</x:v>
      </x:c>
      <x:c r="B338" s="207" t="str">
        <x:v>Production order</x:v>
      </x:c>
      <x:c r="C338" s="207" t="str">
        <x:v>PO-DRAFT-0058</x:v>
      </x:c>
      <x:c r="D338" s="207" t="str">
        <x:v>canonical_sku; qty; production_status; actual_completion_date; production_order_owner</x:v>
      </x:c>
      <x:c r="E338" s="207" t="str">
        <x:v>04-11-25/1 | 46-21 | блузон "бел арабески", основу полностью дублировать телесн трикот</x:v>
      </x:c>
      <x:c r="F338" s="207" t="str">
        <x:v>Подтвердить модель/SKU, количество, сроки и статус</x:v>
      </x:c>
      <x:c r="G338" s="207" t="str">
        <x:v>Производство</x:v>
      </x:c>
      <x:c r="H338" s="207" t="str">
        <x:v>Критический</x:v>
      </x:c>
      <x:c r="I338" s="207" t="str">
        <x:v>Lead time; WIP; order cost</x:v>
      </x:c>
      <x:c r="J338" s="207" t="str">
        <x:v>План сдач row 83</x:v>
      </x:c>
      <x:c r="K338" s="207" t="str"/>
      <x:c r="L338" s="207" t="str"/>
      <x:c r="M338" s="207" t="str">
        <x:v>Не рассмотрено</x:v>
      </x:c>
      <x:c r="N338" s="207" t="str"/>
      <x:c r="O338" s="207" t="str">
        <x:v>17</x:v>
      </x:c>
      <x:c r="P338" s="207" t="n">
        <x:v>4</x:v>
      </x:c>
      <x:c r="Q338" s="208" t="str">
        <x:v>Wave 1 (0–30 дней)</x:v>
      </x:c>
    </x:row>
    <x:row r="339">
      <x:c r="A339" s="206" t="str">
        <x:v>DEC-00335</x:v>
      </x:c>
      <x:c r="B339" s="207" t="str">
        <x:v>Production order</x:v>
      </x:c>
      <x:c r="C339" s="207" t="str">
        <x:v>PO-DRAFT-0059</x:v>
      </x:c>
      <x:c r="D339" s="207" t="str">
        <x:v>canonical_sku; qty; production_status; actual_completion_date; production_order_owner</x:v>
      </x:c>
      <x:c r="E339" s="207" t="str">
        <x:v>04-11-25/2 | 46-21 | юбка длин, бархат х/б черн</x:v>
      </x:c>
      <x:c r="F339" s="207" t="str">
        <x:v>Подтвердить модель/SKU, количество, сроки и статус</x:v>
      </x:c>
      <x:c r="G339" s="207" t="str">
        <x:v>Производство</x:v>
      </x:c>
      <x:c r="H339" s="207" t="str">
        <x:v>Критический</x:v>
      </x:c>
      <x:c r="I339" s="207" t="str">
        <x:v>Lead time; WIP; order cost</x:v>
      </x:c>
      <x:c r="J339" s="207" t="str">
        <x:v>План сдач row 84</x:v>
      </x:c>
      <x:c r="K339" s="207" t="str"/>
      <x:c r="L339" s="207" t="str"/>
      <x:c r="M339" s="207" t="str">
        <x:v>Не рассмотрено</x:v>
      </x:c>
      <x:c r="N339" s="207" t="str"/>
      <x:c r="O339" s="207" t="str">
        <x:v>17</x:v>
      </x:c>
      <x:c r="P339" s="207" t="n">
        <x:v>4</x:v>
      </x:c>
      <x:c r="Q339" s="208" t="str">
        <x:v>Wave 1 (0–30 дней)</x:v>
      </x:c>
    </x:row>
    <x:row r="340">
      <x:c r="A340" s="206" t="str">
        <x:v>DEC-00336</x:v>
      </x:c>
      <x:c r="B340" s="207" t="str">
        <x:v>Production order</x:v>
      </x:c>
      <x:c r="C340" s="207" t="str">
        <x:v>PO-DRAFT-0060</x:v>
      </x:c>
      <x:c r="D340" s="207" t="str">
        <x:v>canonical_sku; qty; production_status; actual_completion_date; production_order_owner</x:v>
      </x:c>
      <x:c r="E340" s="207" t="str">
        <x:v>04-11-25/3 | 43-25 | юбка с драп, шелк черн</x:v>
      </x:c>
      <x:c r="F340" s="207" t="str">
        <x:v>Подтвердить модель/SKU, количество, сроки и статус</x:v>
      </x:c>
      <x:c r="G340" s="207" t="str">
        <x:v>Производство</x:v>
      </x:c>
      <x:c r="H340" s="207" t="str">
        <x:v>Критический</x:v>
      </x:c>
      <x:c r="I340" s="207" t="str">
        <x:v>Lead time; WIP; order cost</x:v>
      </x:c>
      <x:c r="J340" s="207" t="str">
        <x:v>План сдач row 85</x:v>
      </x:c>
      <x:c r="K340" s="207" t="str"/>
      <x:c r="L340" s="207" t="str"/>
      <x:c r="M340" s="207" t="str">
        <x:v>Не рассмотрено</x:v>
      </x:c>
      <x:c r="N340" s="207" t="str"/>
      <x:c r="O340" s="207" t="str">
        <x:v>17</x:v>
      </x:c>
      <x:c r="P340" s="207" t="n">
        <x:v>4</x:v>
      </x:c>
      <x:c r="Q340" s="208" t="str">
        <x:v>Wave 1 (0–30 дней)</x:v>
      </x:c>
    </x:row>
    <x:row r="341">
      <x:c r="A341" s="206" t="str">
        <x:v>DEC-00337</x:v>
      </x:c>
      <x:c r="B341" s="207" t="str">
        <x:v>Production order</x:v>
      </x:c>
      <x:c r="C341" s="207" t="str">
        <x:v>PO-DRAFT-0061</x:v>
      </x:c>
      <x:c r="D341" s="207" t="str">
        <x:v>canonical_sku; qty; production_status; actual_completion_date; production_order_owner</x:v>
      </x:c>
      <x:c r="E341" s="207" t="str">
        <x:v>07-05-26 | 0-3392 | платье корот, с одним рук, шифон 18-004 баклажан + золот пайет</x:v>
      </x:c>
      <x:c r="F341" s="207" t="str">
        <x:v>Подтвердить модель/SKU, количество, сроки и статус</x:v>
      </x:c>
      <x:c r="G341" s="207" t="str">
        <x:v>Производство</x:v>
      </x:c>
      <x:c r="H341" s="207" t="str">
        <x:v>Критический</x:v>
      </x:c>
      <x:c r="I341" s="207" t="str">
        <x:v>Lead time; WIP; order cost</x:v>
      </x:c>
      <x:c r="J341" s="207" t="str">
        <x:v>План сдач row 88</x:v>
      </x:c>
      <x:c r="K341" s="207" t="str"/>
      <x:c r="L341" s="207" t="str"/>
      <x:c r="M341" s="207" t="str">
        <x:v>Не рассмотрено</x:v>
      </x:c>
      <x:c r="N341" s="207" t="str"/>
      <x:c r="O341" s="207" t="str">
        <x:v>17</x:v>
      </x:c>
      <x:c r="P341" s="207" t="n">
        <x:v>4</x:v>
      </x:c>
      <x:c r="Q341" s="208" t="str">
        <x:v>Wave 1 (0–30 дней)</x:v>
      </x:c>
    </x:row>
    <x:row r="342">
      <x:c r="A342" s="206" t="str">
        <x:v>DEC-00338</x:v>
      </x:c>
      <x:c r="B342" s="207" t="str">
        <x:v>Production order</x:v>
      </x:c>
      <x:c r="C342" s="207" t="str">
        <x:v>PO-DRAFT-0062</x:v>
      </x:c>
      <x:c r="D342" s="207" t="str">
        <x:v>canonical_sku; qty; production_status; actual_completion_date; production_order_owner</x:v>
      </x:c>
      <x:c r="E342" s="207" t="str">
        <x:v>10-06-26 | 0-3380 | платье корот, хлопок черн</x:v>
      </x:c>
      <x:c r="F342" s="207" t="str">
        <x:v>Подтвердить модель/SKU, количество, сроки и статус</x:v>
      </x:c>
      <x:c r="G342" s="207" t="str">
        <x:v>Производство</x:v>
      </x:c>
      <x:c r="H342" s="207" t="str">
        <x:v>Критический</x:v>
      </x:c>
      <x:c r="I342" s="207" t="str">
        <x:v>Lead time; WIP; order cost</x:v>
      </x:c>
      <x:c r="J342" s="207" t="str">
        <x:v>План сдач row 89</x:v>
      </x:c>
      <x:c r="K342" s="207" t="str"/>
      <x:c r="L342" s="207" t="str"/>
      <x:c r="M342" s="207" t="str">
        <x:v>Не рассмотрено</x:v>
      </x:c>
      <x:c r="N342" s="207" t="str"/>
      <x:c r="O342" s="207" t="str">
        <x:v>17</x:v>
      </x:c>
      <x:c r="P342" s="207" t="n">
        <x:v>4</x:v>
      </x:c>
      <x:c r="Q342" s="208" t="str">
        <x:v>Wave 1 (0–30 дней)</x:v>
      </x:c>
    </x:row>
    <x:row r="343">
      <x:c r="A343" s="206" t="str">
        <x:v>DEC-00339</x:v>
      </x:c>
      <x:c r="B343" s="207" t="str">
        <x:v>Production order</x:v>
      </x:c>
      <x:c r="C343" s="207" t="str">
        <x:v>PO-DRAFT-0063</x:v>
      </x:c>
      <x:c r="D343" s="207" t="str">
        <x:v>canonical_sku; qty; production_status; actual_completion_date; production_order_owner</x:v>
      </x:c>
      <x:c r="E343" s="207" t="str">
        <x:v>07-03-26 | 47-07 | митенки с выш, кожа натур черн - ПАРА</x:v>
      </x:c>
      <x:c r="F343" s="207" t="str">
        <x:v>Подтвердить модель/SKU, количество, сроки и статус</x:v>
      </x:c>
      <x:c r="G343" s="207" t="str">
        <x:v>Производство</x:v>
      </x:c>
      <x:c r="H343" s="207" t="str">
        <x:v>Критический</x:v>
      </x:c>
      <x:c r="I343" s="207" t="str">
        <x:v>Lead time; WIP; order cost</x:v>
      </x:c>
      <x:c r="J343" s="207" t="str">
        <x:v>План сдач row 92</x:v>
      </x:c>
      <x:c r="K343" s="207" t="str"/>
      <x:c r="L343" s="207" t="str"/>
      <x:c r="M343" s="207" t="str">
        <x:v>Не рассмотрено</x:v>
      </x:c>
      <x:c r="N343" s="207" t="str"/>
      <x:c r="O343" s="207" t="str">
        <x:v>17</x:v>
      </x:c>
      <x:c r="P343" s="207" t="n">
        <x:v>4</x:v>
      </x:c>
      <x:c r="Q343" s="208" t="str">
        <x:v>Wave 1 (0–30 дней)</x:v>
      </x:c>
    </x:row>
    <x:row r="344">
      <x:c r="A344" s="206" t="str">
        <x:v>DEC-00340</x:v>
      </x:c>
      <x:c r="B344" s="207" t="str">
        <x:v>Production order</x:v>
      </x:c>
      <x:c r="C344" s="207" t="str">
        <x:v>PO-DRAFT-0064</x:v>
      </x:c>
      <x:c r="D344" s="207" t="str">
        <x:v>canonical_sku; qty; production_status; actual_completion_date; production_order_owner</x:v>
      </x:c>
      <x:c r="E344" s="207" t="str">
        <x:v>02-05-26 | 0-3113 | жакет с выш рукавами, хлопок джинсов стр черн</x:v>
      </x:c>
      <x:c r="F344" s="207" t="str">
        <x:v>Подтвердить модель/SKU, количество, сроки и статус</x:v>
      </x:c>
      <x:c r="G344" s="207" t="str">
        <x:v>Производство</x:v>
      </x:c>
      <x:c r="H344" s="207" t="str">
        <x:v>Критический</x:v>
      </x:c>
      <x:c r="I344" s="207" t="str">
        <x:v>Lead time; WIP; order cost</x:v>
      </x:c>
      <x:c r="J344" s="207" t="str">
        <x:v>План сдач row 95</x:v>
      </x:c>
      <x:c r="K344" s="207" t="str"/>
      <x:c r="L344" s="207" t="str"/>
      <x:c r="M344" s="207" t="str">
        <x:v>Не рассмотрено</x:v>
      </x:c>
      <x:c r="N344" s="207" t="str"/>
      <x:c r="O344" s="207" t="str">
        <x:v>17</x:v>
      </x:c>
      <x:c r="P344" s="207" t="n">
        <x:v>4</x:v>
      </x:c>
      <x:c r="Q344" s="208" t="str">
        <x:v>Wave 1 (0–30 дней)</x:v>
      </x:c>
    </x:row>
    <x:row r="345">
      <x:c r="A345" s="206" t="str">
        <x:v>DEC-00341</x:v>
      </x:c>
      <x:c r="B345" s="207" t="str">
        <x:v>Production order</x:v>
      </x:c>
      <x:c r="C345" s="207" t="str">
        <x:v>PO-DRAFT-0065</x:v>
      </x:c>
      <x:c r="D345" s="207" t="str">
        <x:v>canonical_sku; qty; production_status; actual_completion_date; production_order_owner</x:v>
      </x:c>
      <x:c r="E345" s="207" t="str">
        <x:v>25-02-26/1 | 44-28 | блузон "клематис", дюшес черн, основа 0-3191</x:v>
      </x:c>
      <x:c r="F345" s="207" t="str">
        <x:v>Подтвердить модель/SKU, количество, сроки и статус</x:v>
      </x:c>
      <x:c r="G345" s="207" t="str">
        <x:v>Производство</x:v>
      </x:c>
      <x:c r="H345" s="207" t="str">
        <x:v>Критический</x:v>
      </x:c>
      <x:c r="I345" s="207" t="str">
        <x:v>Lead time; WIP; order cost</x:v>
      </x:c>
      <x:c r="J345" s="207" t="str">
        <x:v>План сдач row 98</x:v>
      </x:c>
      <x:c r="K345" s="207" t="str"/>
      <x:c r="L345" s="207" t="str"/>
      <x:c r="M345" s="207" t="str">
        <x:v>Не рассмотрено</x:v>
      </x:c>
      <x:c r="N345" s="207" t="str"/>
      <x:c r="O345" s="207" t="str">
        <x:v>17</x:v>
      </x:c>
      <x:c r="P345" s="207" t="n">
        <x:v>4</x:v>
      </x:c>
      <x:c r="Q345" s="208" t="str">
        <x:v>Wave 1 (0–30 дней)</x:v>
      </x:c>
    </x:row>
    <x:row r="346">
      <x:c r="A346" s="206" t="str">
        <x:v>DEC-00342</x:v>
      </x:c>
      <x:c r="B346" s="207" t="str">
        <x:v>Production order</x:v>
      </x:c>
      <x:c r="C346" s="207" t="str">
        <x:v>PO-DRAFT-0066</x:v>
      </x:c>
      <x:c r="D346" s="207" t="str">
        <x:v>model_code; canonical_sku; qty; production_status; actual_completion_date; production_order_owner</x:v>
      </x:c>
      <x:c r="E346" s="207" t="str">
        <x:v>06-06-26/1 |  | рукава с застежкой под грудью, телесн сетка</x:v>
      </x:c>
      <x:c r="F346" s="207" t="str">
        <x:v>Подтвердить модель/SKU, количество, сроки и статус</x:v>
      </x:c>
      <x:c r="G346" s="207" t="str">
        <x:v>Производство</x:v>
      </x:c>
      <x:c r="H346" s="207" t="str">
        <x:v>Критический</x:v>
      </x:c>
      <x:c r="I346" s="207" t="str">
        <x:v>Lead time; WIP; order cost</x:v>
      </x:c>
      <x:c r="J346" s="207" t="str">
        <x:v>План сдач row 101</x:v>
      </x:c>
      <x:c r="K346" s="207" t="str"/>
      <x:c r="L346" s="207" t="str"/>
      <x:c r="M346" s="207" t="str">
        <x:v>Не рассмотрено</x:v>
      </x:c>
      <x:c r="N346" s="207" t="str"/>
      <x:c r="O346" s="207" t="str">
        <x:v>17</x:v>
      </x:c>
      <x:c r="P346" s="207" t="n">
        <x:v>4</x:v>
      </x:c>
      <x:c r="Q346" s="208" t="str">
        <x:v>Wave 1 (0–30 дней)</x:v>
      </x:c>
    </x:row>
    <x:row r="347">
      <x:c r="A347" s="206" t="str">
        <x:v>DEC-00343</x:v>
      </x:c>
      <x:c r="B347" s="207" t="str">
        <x:v>Production order</x:v>
      </x:c>
      <x:c r="C347" s="207" t="str">
        <x:v>PO-DRAFT-0067</x:v>
      </x:c>
      <x:c r="D347" s="207" t="str">
        <x:v>model_code; canonical_sku; qty; production_status; actual_completion_date; production_order_owner</x:v>
      </x:c>
      <x:c r="E347" s="207" t="str">
        <x:v>06-06-26/2 |  | рукава с застежкой под грудью, черн сетка</x:v>
      </x:c>
      <x:c r="F347" s="207" t="str">
        <x:v>Подтвердить модель/SKU, количество, сроки и статус</x:v>
      </x:c>
      <x:c r="G347" s="207" t="str">
        <x:v>Производство</x:v>
      </x:c>
      <x:c r="H347" s="207" t="str">
        <x:v>Критический</x:v>
      </x:c>
      <x:c r="I347" s="207" t="str">
        <x:v>Lead time; WIP; order cost</x:v>
      </x:c>
      <x:c r="J347" s="207" t="str">
        <x:v>План сдач row 102</x:v>
      </x:c>
      <x:c r="K347" s="207" t="str"/>
      <x:c r="L347" s="207" t="str"/>
      <x:c r="M347" s="207" t="str">
        <x:v>Не рассмотрено</x:v>
      </x:c>
      <x:c r="N347" s="207" t="str"/>
      <x:c r="O347" s="207" t="str">
        <x:v>17</x:v>
      </x:c>
      <x:c r="P347" s="207" t="n">
        <x:v>4</x:v>
      </x:c>
      <x:c r="Q347" s="208" t="str">
        <x:v>Wave 1 (0–30 дней)</x:v>
      </x:c>
    </x:row>
    <x:row r="348">
      <x:c r="A348" s="206" t="str">
        <x:v>DEC-00344</x:v>
      </x:c>
      <x:c r="B348" s="207" t="str">
        <x:v>Production order</x:v>
      </x:c>
      <x:c r="C348" s="207" t="str">
        <x:v>PO-DRAFT-0068</x:v>
      </x:c>
      <x:c r="D348" s="207" t="str">
        <x:v>canonical_sku; qty; production_status; actual_completion_date; production_order_owner</x:v>
      </x:c>
      <x:c r="E348" s="207" t="str">
        <x:v>06-06-26/3 | 0-2560В | пальто с рукавом 7/8, длина от колена +10 см, шифон черн</x:v>
      </x:c>
      <x:c r="F348" s="207" t="str">
        <x:v>Подтвердить модель/SKU, количество, сроки и статус</x:v>
      </x:c>
      <x:c r="G348" s="207" t="str">
        <x:v>Производство</x:v>
      </x:c>
      <x:c r="H348" s="207" t="str">
        <x:v>Критический</x:v>
      </x:c>
      <x:c r="I348" s="207" t="str">
        <x:v>Lead time; WIP; order cost</x:v>
      </x:c>
      <x:c r="J348" s="207" t="str">
        <x:v>План сдач row 103</x:v>
      </x:c>
      <x:c r="K348" s="207" t="str"/>
      <x:c r="L348" s="207" t="str"/>
      <x:c r="M348" s="207" t="str">
        <x:v>Не рассмотрено</x:v>
      </x:c>
      <x:c r="N348" s="207" t="str"/>
      <x:c r="O348" s="207" t="str">
        <x:v>17</x:v>
      </x:c>
      <x:c r="P348" s="207" t="n">
        <x:v>4</x:v>
      </x:c>
      <x:c r="Q348" s="208" t="str">
        <x:v>Wave 1 (0–30 дней)</x:v>
      </x:c>
    </x:row>
    <x:row r="349">
      <x:c r="A349" s="206" t="str">
        <x:v>DEC-00345</x:v>
      </x:c>
      <x:c r="B349" s="207" t="str">
        <x:v>Production order</x:v>
      </x:c>
      <x:c r="C349" s="207" t="str">
        <x:v>PO-DRAFT-0069</x:v>
      </x:c>
      <x:c r="D349" s="207" t="str">
        <x:v>canonical_sku; qty; production_status; actual_completion_date; production_order_owner</x:v>
      </x:c>
      <x:c r="E349" s="207" t="str">
        <x:v>06-06-26/4 | 0-2560В | пальто с рукавом 7/8, длина от колена +10 см, шифон сер 18-022</x:v>
      </x:c>
      <x:c r="F349" s="207" t="str">
        <x:v>Подтвердить модель/SKU, количество, сроки и статус</x:v>
      </x:c>
      <x:c r="G349" s="207" t="str">
        <x:v>Производство</x:v>
      </x:c>
      <x:c r="H349" s="207" t="str">
        <x:v>Критический</x:v>
      </x:c>
      <x:c r="I349" s="207" t="str">
        <x:v>Lead time; WIP; order cost</x:v>
      </x:c>
      <x:c r="J349" s="207" t="str">
        <x:v>План сдач row 104</x:v>
      </x:c>
      <x:c r="K349" s="207" t="str"/>
      <x:c r="L349" s="207" t="str"/>
      <x:c r="M349" s="207" t="str">
        <x:v>Не рассмотрено</x:v>
      </x:c>
      <x:c r="N349" s="207" t="str"/>
      <x:c r="O349" s="207" t="str">
        <x:v>17</x:v>
      </x:c>
      <x:c r="P349" s="207" t="n">
        <x:v>4</x:v>
      </x:c>
      <x:c r="Q349" s="208" t="str">
        <x:v>Wave 1 (0–30 дней)</x:v>
      </x:c>
    </x:row>
    <x:row r="350">
      <x:c r="A350" s="206" t="str">
        <x:v>DEC-00346</x:v>
      </x:c>
      <x:c r="B350" s="207" t="str">
        <x:v>Production order</x:v>
      </x:c>
      <x:c r="C350" s="207" t="str">
        <x:v>PO-DRAFT-0070</x:v>
      </x:c>
      <x:c r="D350" s="207" t="str">
        <x:v>canonical_sku; qty; production_status; actual_completion_date; production_order_owner</x:v>
      </x:c>
      <x:c r="E350" s="207" t="str">
        <x:v>07-06-26 | 47-17 | платье "бел ромашки"(с рукавами), черн дюшес, шлейф короче</x:v>
      </x:c>
      <x:c r="F350" s="207" t="str">
        <x:v>Подтвердить модель/SKU, количество, сроки и статус</x:v>
      </x:c>
      <x:c r="G350" s="207" t="str">
        <x:v>Производство</x:v>
      </x:c>
      <x:c r="H350" s="207" t="str">
        <x:v>Критический</x:v>
      </x:c>
      <x:c r="I350" s="207" t="str">
        <x:v>Lead time; WIP; order cost</x:v>
      </x:c>
      <x:c r="J350" s="207" t="str">
        <x:v>План сдач row 105</x:v>
      </x:c>
      <x:c r="K350" s="207" t="str"/>
      <x:c r="L350" s="207" t="str"/>
      <x:c r="M350" s="207" t="str">
        <x:v>Не рассмотрено</x:v>
      </x:c>
      <x:c r="N350" s="207" t="str"/>
      <x:c r="O350" s="207" t="str">
        <x:v>17</x:v>
      </x:c>
      <x:c r="P350" s="207" t="n">
        <x:v>4</x:v>
      </x:c>
      <x:c r="Q350" s="208" t="str">
        <x:v>Wave 1 (0–30 дней)</x:v>
      </x:c>
    </x:row>
    <x:row r="351">
      <x:c r="A351" s="206" t="str">
        <x:v>DEC-00347</x:v>
      </x:c>
      <x:c r="B351" s="207" t="str">
        <x:v>Production order</x:v>
      </x:c>
      <x:c r="C351" s="207" t="str">
        <x:v>PO-DRAFT-0071</x:v>
      </x:c>
      <x:c r="D351" s="207" t="str">
        <x:v>due_date; canonical_sku; qty; production_status; actual_completion_date; production_order_owner</x:v>
      </x:c>
      <x:c r="E351" s="207" t="str">
        <x:v>12-06-26/1 | 47-16 | жакет с вышивкой, изменен конструкции, графит чесуча</x:v>
      </x:c>
      <x:c r="F351" s="207" t="str">
        <x:v>Подтвердить модель/SKU, количество, сроки и статус</x:v>
      </x:c>
      <x:c r="G351" s="207" t="str">
        <x:v>Производство</x:v>
      </x:c>
      <x:c r="H351" s="207" t="str">
        <x:v>Критический</x:v>
      </x:c>
      <x:c r="I351" s="207" t="str">
        <x:v>Lead time; WIP; order cost</x:v>
      </x:c>
      <x:c r="J351" s="207" t="str">
        <x:v>План сдач row 106</x:v>
      </x:c>
      <x:c r="K351" s="207" t="str"/>
      <x:c r="L351" s="207" t="str"/>
      <x:c r="M351" s="207" t="str">
        <x:v>Не рассмотрено</x:v>
      </x:c>
      <x:c r="N351" s="207" t="str"/>
      <x:c r="O351" s="207" t="str">
        <x:v>17</x:v>
      </x:c>
      <x:c r="P351" s="207" t="n">
        <x:v>4</x:v>
      </x:c>
      <x:c r="Q351" s="208" t="str">
        <x:v>Wave 1 (0–30 дней)</x:v>
      </x:c>
    </x:row>
    <x:row r="352">
      <x:c r="A352" s="206" t="str">
        <x:v>DEC-00348</x:v>
      </x:c>
      <x:c r="B352" s="207" t="str">
        <x:v>Production order</x:v>
      </x:c>
      <x:c r="C352" s="207" t="str">
        <x:v>PO-DRAFT-0072</x:v>
      </x:c>
      <x:c r="D352" s="207" t="str">
        <x:v>model_code; due_date; canonical_sku; qty; production_status; actual_completion_date; production_order_owner</x:v>
      </x:c>
      <x:c r="E352" s="207" t="str">
        <x:v>12-06-26/2 |  | юбка длин, графит чесуча</x:v>
      </x:c>
      <x:c r="F352" s="207" t="str">
        <x:v>Подтвердить модель/SKU, количество, сроки и статус</x:v>
      </x:c>
      <x:c r="G352" s="207" t="str">
        <x:v>Производство</x:v>
      </x:c>
      <x:c r="H352" s="207" t="str">
        <x:v>Критический</x:v>
      </x:c>
      <x:c r="I352" s="207" t="str">
        <x:v>Lead time; WIP; order cost</x:v>
      </x:c>
      <x:c r="J352" s="207" t="str">
        <x:v>План сдач row 107</x:v>
      </x:c>
      <x:c r="K352" s="207" t="str"/>
      <x:c r="L352" s="207" t="str"/>
      <x:c r="M352" s="207" t="str">
        <x:v>Не рассмотрено</x:v>
      </x:c>
      <x:c r="N352" s="207" t="str"/>
      <x:c r="O352" s="207" t="str">
        <x:v>17</x:v>
      </x:c>
      <x:c r="P352" s="207" t="n">
        <x:v>4</x:v>
      </x:c>
      <x:c r="Q352" s="208" t="str">
        <x:v>Wave 1 (0–30 дней)</x:v>
      </x:c>
    </x:row>
    <x:row r="353">
      <x:c r="A353" s="206" t="str">
        <x:v>DEC-00349</x:v>
      </x:c>
      <x:c r="B353" s="207" t="str">
        <x:v>Production order</x:v>
      </x:c>
      <x:c r="C353" s="207" t="str">
        <x:v>PO-DRAFT-0073</x:v>
      </x:c>
      <x:c r="D353" s="207" t="str">
        <x:v>canonical_sku; qty; production_status; actual_completion_date; production_order_owner</x:v>
      </x:c>
      <x:c r="E353" s="207" t="str">
        <x:v>11-03-26/1 | 33-31 | платье длин, с драп лифом, с перьями, шифон мятн</x:v>
      </x:c>
      <x:c r="F353" s="207" t="str">
        <x:v>Подтвердить модель/SKU, количество, сроки и статус</x:v>
      </x:c>
      <x:c r="G353" s="207" t="str">
        <x:v>Производство</x:v>
      </x:c>
      <x:c r="H353" s="207" t="str">
        <x:v>Критический</x:v>
      </x:c>
      <x:c r="I353" s="207" t="str">
        <x:v>Lead time; WIP; order cost</x:v>
      </x:c>
      <x:c r="J353" s="207" t="str">
        <x:v>План сдач row 110</x:v>
      </x:c>
      <x:c r="K353" s="207" t="str"/>
      <x:c r="L353" s="207" t="str"/>
      <x:c r="M353" s="207" t="str">
        <x:v>Не рассмотрено</x:v>
      </x:c>
      <x:c r="N353" s="207" t="str"/>
      <x:c r="O353" s="207" t="str">
        <x:v>17</x:v>
      </x:c>
      <x:c r="P353" s="207" t="n">
        <x:v>4</x:v>
      </x:c>
      <x:c r="Q353" s="208" t="str">
        <x:v>Wave 1 (0–30 дней)</x:v>
      </x:c>
    </x:row>
    <x:row r="354">
      <x:c r="A354" s="206" t="str">
        <x:v>DEC-00350</x:v>
      </x:c>
      <x:c r="B354" s="207" t="str">
        <x:v>Production order</x:v>
      </x:c>
      <x:c r="C354" s="207" t="str">
        <x:v>PO-DRAFT-0074</x:v>
      </x:c>
      <x:c r="D354" s="207" t="str">
        <x:v>canonical_sku; qty; production_status; actual_completion_date; production_order_owner</x:v>
      </x:c>
      <x:c r="E354" s="207" t="str">
        <x:v>11-03-26/2 | 44-01 | платье корсетн, шелк гортензии</x:v>
      </x:c>
      <x:c r="F354" s="207" t="str">
        <x:v>Подтвердить модель/SKU, количество, сроки и статус</x:v>
      </x:c>
      <x:c r="G354" s="207" t="str">
        <x:v>Производство</x:v>
      </x:c>
      <x:c r="H354" s="207" t="str">
        <x:v>Критический</x:v>
      </x:c>
      <x:c r="I354" s="207" t="str">
        <x:v>Lead time; WIP; order cost</x:v>
      </x:c>
      <x:c r="J354" s="207" t="str">
        <x:v>План сдач row 111</x:v>
      </x:c>
      <x:c r="K354" s="207" t="str"/>
      <x:c r="L354" s="207" t="str"/>
      <x:c r="M354" s="207" t="str">
        <x:v>Не рассмотрено</x:v>
      </x:c>
      <x:c r="N354" s="207" t="str"/>
      <x:c r="O354" s="207" t="str">
        <x:v>17</x:v>
      </x:c>
      <x:c r="P354" s="207" t="n">
        <x:v>4</x:v>
      </x:c>
      <x:c r="Q354" s="208" t="str">
        <x:v>Wave 1 (0–30 дней)</x:v>
      </x:c>
    </x:row>
    <x:row r="355">
      <x:c r="A355" s="206" t="str">
        <x:v>DEC-00351</x:v>
      </x:c>
      <x:c r="B355" s="207" t="str">
        <x:v>Production order</x:v>
      </x:c>
      <x:c r="C355" s="207" t="str">
        <x:v>PO-DRAFT-0075</x:v>
      </x:c>
      <x:c r="D355" s="207" t="str">
        <x:v>canonical_sku; qty; production_status; actual_completion_date; production_order_owner</x:v>
      </x:c>
      <x:c r="E355" s="207" t="str">
        <x:v>11-03-26/3 | 47-27 | топ с выш, изменен конструкции</x:v>
      </x:c>
      <x:c r="F355" s="207" t="str">
        <x:v>Подтвердить модель/SKU, количество, сроки и статус</x:v>
      </x:c>
      <x:c r="G355" s="207" t="str">
        <x:v>Производство</x:v>
      </x:c>
      <x:c r="H355" s="207" t="str">
        <x:v>Критический</x:v>
      </x:c>
      <x:c r="I355" s="207" t="str">
        <x:v>Lead time; WIP; order cost</x:v>
      </x:c>
      <x:c r="J355" s="207" t="str">
        <x:v>План сдач row 112</x:v>
      </x:c>
      <x:c r="K355" s="207" t="str"/>
      <x:c r="L355" s="207" t="str"/>
      <x:c r="M355" s="207" t="str">
        <x:v>Не рассмотрено</x:v>
      </x:c>
      <x:c r="N355" s="207" t="str"/>
      <x:c r="O355" s="207" t="str">
        <x:v>17</x:v>
      </x:c>
      <x:c r="P355" s="207" t="n">
        <x:v>4</x:v>
      </x:c>
      <x:c r="Q355" s="208" t="str">
        <x:v>Wave 1 (0–30 дней)</x:v>
      </x:c>
    </x:row>
    <x:row r="356">
      <x:c r="A356" s="206" t="str">
        <x:v>DEC-00352</x:v>
      </x:c>
      <x:c r="B356" s="207" t="str">
        <x:v>Production order</x:v>
      </x:c>
      <x:c r="C356" s="207" t="str">
        <x:v>PO-DRAFT-0076</x:v>
      </x:c>
      <x:c r="D356" s="207" t="str">
        <x:v>canonical_sku; qty; production_status; actual_completion_date; production_order_owner</x:v>
      </x:c>
      <x:c r="E356" s="207" t="str">
        <x:v>11-03-26/4 | 47-27 | пальто-кимоно, шифон беж</x:v>
      </x:c>
      <x:c r="F356" s="207" t="str">
        <x:v>Подтвердить модель/SKU, количество, сроки и статус</x:v>
      </x:c>
      <x:c r="G356" s="207" t="str">
        <x:v>Производство</x:v>
      </x:c>
      <x:c r="H356" s="207" t="str">
        <x:v>Критический</x:v>
      </x:c>
      <x:c r="I356" s="207" t="str">
        <x:v>Lead time; WIP; order cost</x:v>
      </x:c>
      <x:c r="J356" s="207" t="str">
        <x:v>План сдач row 113</x:v>
      </x:c>
      <x:c r="K356" s="207" t="str"/>
      <x:c r="L356" s="207" t="str"/>
      <x:c r="M356" s="207" t="str">
        <x:v>Не рассмотрено</x:v>
      </x:c>
      <x:c r="N356" s="207" t="str"/>
      <x:c r="O356" s="207" t="str">
        <x:v>17</x:v>
      </x:c>
      <x:c r="P356" s="207" t="n">
        <x:v>4</x:v>
      </x:c>
      <x:c r="Q356" s="208" t="str">
        <x:v>Wave 1 (0–30 дней)</x:v>
      </x:c>
    </x:row>
    <x:row r="357">
      <x:c r="A357" s="206" t="str">
        <x:v>DEC-00353</x:v>
      </x:c>
      <x:c r="B357" s="207" t="str">
        <x:v>Production order</x:v>
      </x:c>
      <x:c r="C357" s="207" t="str">
        <x:v>PO-DRAFT-0077</x:v>
      </x:c>
      <x:c r="D357" s="207" t="str">
        <x:v>canonical_sku; qty; production_status; actual_completion_date; production_order_owner</x:v>
      </x:c>
      <x:c r="E357" s="207" t="str">
        <x:v>11-03-26/5 | 47-27 | брюки на манжете, шифон беж</x:v>
      </x:c>
      <x:c r="F357" s="207" t="str">
        <x:v>Подтвердить модель/SKU, количество, сроки и статус</x:v>
      </x:c>
      <x:c r="G357" s="207" t="str">
        <x:v>Производство</x:v>
      </x:c>
      <x:c r="H357" s="207" t="str">
        <x:v>Критический</x:v>
      </x:c>
      <x:c r="I357" s="207" t="str">
        <x:v>Lead time; WIP; order cost</x:v>
      </x:c>
      <x:c r="J357" s="207" t="str">
        <x:v>План сдач row 114</x:v>
      </x:c>
      <x:c r="K357" s="207" t="str"/>
      <x:c r="L357" s="207" t="str"/>
      <x:c r="M357" s="207" t="str">
        <x:v>Не рассмотрено</x:v>
      </x:c>
      <x:c r="N357" s="207" t="str"/>
      <x:c r="O357" s="207" t="str">
        <x:v>17</x:v>
      </x:c>
      <x:c r="P357" s="207" t="n">
        <x:v>4</x:v>
      </x:c>
      <x:c r="Q357" s="208" t="str">
        <x:v>Wave 1 (0–30 дней)</x:v>
      </x:c>
    </x:row>
    <x:row r="358">
      <x:c r="A358" s="206" t="str">
        <x:v>DEC-00354</x:v>
      </x:c>
      <x:c r="B358" s="207" t="str">
        <x:v>Production order</x:v>
      </x:c>
      <x:c r="C358" s="207" t="str">
        <x:v>PO-DRAFT-0078</x:v>
      </x:c>
      <x:c r="D358" s="207" t="str">
        <x:v>due_date; canonical_sku; qty; production_status; actual_completion_date; production_order_owner</x:v>
      </x:c>
      <x:c r="E358" s="207" t="str">
        <x:v>13-03-26 | 29-14 | платье длин, с выш, графит бахрома</x:v>
      </x:c>
      <x:c r="F358" s="207" t="str">
        <x:v>Подтвердить модель/SKU, количество, сроки и статус</x:v>
      </x:c>
      <x:c r="G358" s="207" t="str">
        <x:v>Производство</x:v>
      </x:c>
      <x:c r="H358" s="207" t="str">
        <x:v>Критический</x:v>
      </x:c>
      <x:c r="I358" s="207" t="str">
        <x:v>Lead time; WIP; order cost</x:v>
      </x:c>
      <x:c r="J358" s="207" t="str">
        <x:v>План сдач row 115</x:v>
      </x:c>
      <x:c r="K358" s="207" t="str"/>
      <x:c r="L358" s="207" t="str"/>
      <x:c r="M358" s="207" t="str">
        <x:v>Не рассмотрено</x:v>
      </x:c>
      <x:c r="N358" s="207" t="str"/>
      <x:c r="O358" s="207" t="str">
        <x:v>17</x:v>
      </x:c>
      <x:c r="P358" s="207" t="n">
        <x:v>4</x:v>
      </x:c>
      <x:c r="Q358" s="208" t="str">
        <x:v>Wave 1 (0–30 дней)</x:v>
      </x:c>
    </x:row>
    <x:row r="359">
      <x:c r="A359" s="206" t="str">
        <x:v>DEC-00355</x:v>
      </x:c>
      <x:c r="B359" s="207" t="str">
        <x:v>Production order</x:v>
      </x:c>
      <x:c r="C359" s="207" t="str">
        <x:v>PO-DRAFT-0079</x:v>
      </x:c>
      <x:c r="D359" s="207" t="str">
        <x:v>canonical_sku; qty; production_status; actual_completion_date; production_order_owner</x:v>
      </x:c>
      <x:c r="E359" s="207" t="str">
        <x:v>04-02-26/2 | 47-11 | жакет с цветком, креп бел по мод</x:v>
      </x:c>
      <x:c r="F359" s="207" t="str">
        <x:v>Подтвердить модель/SKU, количество, сроки и статус</x:v>
      </x:c>
      <x:c r="G359" s="207" t="str">
        <x:v>Производство</x:v>
      </x:c>
      <x:c r="H359" s="207" t="str">
        <x:v>Критический</x:v>
      </x:c>
      <x:c r="I359" s="207" t="str">
        <x:v>Lead time; WIP; order cost</x:v>
      </x:c>
      <x:c r="J359" s="207" t="str">
        <x:v>План сдач row 120</x:v>
      </x:c>
      <x:c r="K359" s="207" t="str"/>
      <x:c r="L359" s="207" t="str"/>
      <x:c r="M359" s="207" t="str">
        <x:v>Не рассмотрено</x:v>
      </x:c>
      <x:c r="N359" s="207" t="str"/>
      <x:c r="O359" s="207" t="str">
        <x:v>17</x:v>
      </x:c>
      <x:c r="P359" s="207" t="n">
        <x:v>4</x:v>
      </x:c>
      <x:c r="Q359" s="208" t="str">
        <x:v>Wave 1 (0–30 дней)</x:v>
      </x:c>
    </x:row>
    <x:row r="360">
      <x:c r="A360" s="206" t="str">
        <x:v>DEC-00356</x:v>
      </x:c>
      <x:c r="B360" s="207" t="str">
        <x:v>Production order</x:v>
      </x:c>
      <x:c r="C360" s="207" t="str">
        <x:v>PO-DRAFT-0080</x:v>
      </x:c>
      <x:c r="D360" s="207" t="str">
        <x:v>canonical_sku; qty; production_status; actual_completion_date; production_order_owner</x:v>
      </x:c>
      <x:c r="E360" s="207" t="str">
        <x:v>04-02-26/3 | 47-11 | юбка длин, бархат стр черн</x:v>
      </x:c>
      <x:c r="F360" s="207" t="str">
        <x:v>Подтвердить модель/SKU, количество, сроки и статус</x:v>
      </x:c>
      <x:c r="G360" s="207" t="str">
        <x:v>Производство</x:v>
      </x:c>
      <x:c r="H360" s="207" t="str">
        <x:v>Критический</x:v>
      </x:c>
      <x:c r="I360" s="207" t="str">
        <x:v>Lead time; WIP; order cost</x:v>
      </x:c>
      <x:c r="J360" s="207" t="str">
        <x:v>План сдач row 121</x:v>
      </x:c>
      <x:c r="K360" s="207" t="str"/>
      <x:c r="L360" s="207" t="str"/>
      <x:c r="M360" s="207" t="str">
        <x:v>Не рассмотрено</x:v>
      </x:c>
      <x:c r="N360" s="207" t="str"/>
      <x:c r="O360" s="207" t="str">
        <x:v>17</x:v>
      </x:c>
      <x:c r="P360" s="207" t="n">
        <x:v>4</x:v>
      </x:c>
      <x:c r="Q360" s="208" t="str">
        <x:v>Wave 1 (0–30 дней)</x:v>
      </x:c>
    </x:row>
    <x:row r="361">
      <x:c r="A361" s="206" t="str">
        <x:v>DEC-00357</x:v>
      </x:c>
      <x:c r="B361" s="207" t="str">
        <x:v>Production order</x:v>
      </x:c>
      <x:c r="C361" s="207" t="str">
        <x:v>PO-DRAFT-0081</x:v>
      </x:c>
      <x:c r="D361" s="207" t="str">
        <x:v>canonical_sku; qty; production_status; actual_completion_date; production_order_owner</x:v>
      </x:c>
      <x:c r="E361" s="207" t="str">
        <x:v>04-02-26/6 | 47-22 | платье "черные звезды"</x:v>
      </x:c>
      <x:c r="F361" s="207" t="str">
        <x:v>Подтвердить модель/SKU, количество, сроки и статус</x:v>
      </x:c>
      <x:c r="G361" s="207" t="str">
        <x:v>Производство</x:v>
      </x:c>
      <x:c r="H361" s="207" t="str">
        <x:v>Критический</x:v>
      </x:c>
      <x:c r="I361" s="207" t="str">
        <x:v>Lead time; WIP; order cost</x:v>
      </x:c>
      <x:c r="J361" s="207" t="str">
        <x:v>План сдач row 122</x:v>
      </x:c>
      <x:c r="K361" s="207" t="str"/>
      <x:c r="L361" s="207" t="str"/>
      <x:c r="M361" s="207" t="str">
        <x:v>Не рассмотрено</x:v>
      </x:c>
      <x:c r="N361" s="207" t="str"/>
      <x:c r="O361" s="207" t="str">
        <x:v>17</x:v>
      </x:c>
      <x:c r="P361" s="207" t="n">
        <x:v>4</x:v>
      </x:c>
      <x:c r="Q361" s="208" t="str">
        <x:v>Wave 1 (0–30 дней)</x:v>
      </x:c>
    </x:row>
    <x:row r="362">
      <x:c r="A362" s="206" t="str">
        <x:v>DEC-00358</x:v>
      </x:c>
      <x:c r="B362" s="207" t="str">
        <x:v>Production order</x:v>
      </x:c>
      <x:c r="C362" s="207" t="str">
        <x:v>PO-DRAFT-0082</x:v>
      </x:c>
      <x:c r="D362" s="207" t="str">
        <x:v>canonical_sku; qty; production_status; actual_completion_date; production_order_owner</x:v>
      </x:c>
      <x:c r="E362" s="207" t="str">
        <x:v>23-04-26/1 | 0-3393 | рубашка "вишн цвет", хлопок голуб в полоску</x:v>
      </x:c>
      <x:c r="F362" s="207" t="str">
        <x:v>Подтвердить модель/SKU, количество, сроки и статус</x:v>
      </x:c>
      <x:c r="G362" s="207" t="str">
        <x:v>Производство</x:v>
      </x:c>
      <x:c r="H362" s="207" t="str">
        <x:v>Критический</x:v>
      </x:c>
      <x:c r="I362" s="207" t="str">
        <x:v>Lead time; WIP; order cost</x:v>
      </x:c>
      <x:c r="J362" s="207" t="str">
        <x:v>План сдач row 123</x:v>
      </x:c>
      <x:c r="K362" s="207" t="str"/>
      <x:c r="L362" s="207" t="str"/>
      <x:c r="M362" s="207" t="str">
        <x:v>Не рассмотрено</x:v>
      </x:c>
      <x:c r="N362" s="207" t="str"/>
      <x:c r="O362" s="207" t="str">
        <x:v>17</x:v>
      </x:c>
      <x:c r="P362" s="207" t="n">
        <x:v>4</x:v>
      </x:c>
      <x:c r="Q362" s="208" t="str">
        <x:v>Wave 1 (0–30 дней)</x:v>
      </x:c>
    </x:row>
    <x:row r="363">
      <x:c r="A363" s="206" t="str">
        <x:v>DEC-00359</x:v>
      </x:c>
      <x:c r="B363" s="207" t="str">
        <x:v>Production order</x:v>
      </x:c>
      <x:c r="C363" s="207" t="str">
        <x:v>PO-DRAFT-0083</x:v>
      </x:c>
      <x:c r="D363" s="207" t="str">
        <x:v>canonical_sku; qty; production_status; actual_completion_date; production_order_owner</x:v>
      </x:c>
      <x:c r="E363" s="207" t="str">
        <x:v>23-04-26/2 | 0-3394 | юбка-шорты "вишн цвет", хлопок голуб в полоску</x:v>
      </x:c>
      <x:c r="F363" s="207" t="str">
        <x:v>Подтвердить модель/SKU, количество, сроки и статус</x:v>
      </x:c>
      <x:c r="G363" s="207" t="str">
        <x:v>Производство</x:v>
      </x:c>
      <x:c r="H363" s="207" t="str">
        <x:v>Критический</x:v>
      </x:c>
      <x:c r="I363" s="207" t="str">
        <x:v>Lead time; WIP; order cost</x:v>
      </x:c>
      <x:c r="J363" s="207" t="str">
        <x:v>План сдач row 124</x:v>
      </x:c>
      <x:c r="K363" s="207" t="str"/>
      <x:c r="L363" s="207" t="str"/>
      <x:c r="M363" s="207" t="str">
        <x:v>Не рассмотрено</x:v>
      </x:c>
      <x:c r="N363" s="207" t="str"/>
      <x:c r="O363" s="207" t="str">
        <x:v>17</x:v>
      </x:c>
      <x:c r="P363" s="207" t="n">
        <x:v>4</x:v>
      </x:c>
      <x:c r="Q363" s="208" t="str">
        <x:v>Wave 1 (0–30 дней)</x:v>
      </x:c>
    </x:row>
    <x:row r="364">
      <x:c r="A364" s="206" t="str">
        <x:v>DEC-00360</x:v>
      </x:c>
      <x:c r="B364" s="207" t="str">
        <x:v>Production order</x:v>
      </x:c>
      <x:c r="C364" s="207" t="str">
        <x:v>PO-DRAFT-0084</x:v>
      </x:c>
      <x:c r="D364" s="207" t="str">
        <x:v>canonical_sku; qty; production_status; actual_completion_date; production_order_owner</x:v>
      </x:c>
      <x:c r="E364" s="207" t="str">
        <x:v>23-04-26/3 | 0-3385 | блузон, хлопок беж + рафия беж</x:v>
      </x:c>
      <x:c r="F364" s="207" t="str">
        <x:v>Подтвердить модель/SKU, количество, сроки и статус</x:v>
      </x:c>
      <x:c r="G364" s="207" t="str">
        <x:v>Производство</x:v>
      </x:c>
      <x:c r="H364" s="207" t="str">
        <x:v>Критический</x:v>
      </x:c>
      <x:c r="I364" s="207" t="str">
        <x:v>Lead time; WIP; order cost</x:v>
      </x:c>
      <x:c r="J364" s="207" t="str">
        <x:v>План сдач row 125</x:v>
      </x:c>
      <x:c r="K364" s="207" t="str"/>
      <x:c r="L364" s="207" t="str"/>
      <x:c r="M364" s="207" t="str">
        <x:v>Не рассмотрено</x:v>
      </x:c>
      <x:c r="N364" s="207" t="str"/>
      <x:c r="O364" s="207" t="str">
        <x:v>17</x:v>
      </x:c>
      <x:c r="P364" s="207" t="n">
        <x:v>4</x:v>
      </x:c>
      <x:c r="Q364" s="208" t="str">
        <x:v>Wave 1 (0–30 дней)</x:v>
      </x:c>
    </x:row>
    <x:row r="365">
      <x:c r="A365" s="206" t="str">
        <x:v>DEC-00361</x:v>
      </x:c>
      <x:c r="B365" s="207" t="str">
        <x:v>Production order</x:v>
      </x:c>
      <x:c r="C365" s="207" t="str">
        <x:v>PO-DRAFT-0085</x:v>
      </x:c>
      <x:c r="D365" s="207" t="str">
        <x:v>canonical_sku; qty; production_status; actual_completion_date; production_order_owner</x:v>
      </x:c>
      <x:c r="E365" s="207" t="str">
        <x:v>23-04-26/4 | 0-3416 | брюки с карм, хлопок беж</x:v>
      </x:c>
      <x:c r="F365" s="207" t="str">
        <x:v>Подтвердить модель/SKU, количество, сроки и статус</x:v>
      </x:c>
      <x:c r="G365" s="207" t="str">
        <x:v>Производство</x:v>
      </x:c>
      <x:c r="H365" s="207" t="str">
        <x:v>Критический</x:v>
      </x:c>
      <x:c r="I365" s="207" t="str">
        <x:v>Lead time; WIP; order cost</x:v>
      </x:c>
      <x:c r="J365" s="207" t="str">
        <x:v>План сдач row 126</x:v>
      </x:c>
      <x:c r="K365" s="207" t="str"/>
      <x:c r="L365" s="207" t="str"/>
      <x:c r="M365" s="207" t="str">
        <x:v>Не рассмотрено</x:v>
      </x:c>
      <x:c r="N365" s="207" t="str"/>
      <x:c r="O365" s="207" t="str">
        <x:v>17</x:v>
      </x:c>
      <x:c r="P365" s="207" t="n">
        <x:v>4</x:v>
      </x:c>
      <x:c r="Q365" s="208" t="str">
        <x:v>Wave 1 (0–30 дней)</x:v>
      </x:c>
    </x:row>
    <x:row r="366">
      <x:c r="A366" s="206" t="str">
        <x:v>DEC-00362</x:v>
      </x:c>
      <x:c r="B366" s="207" t="str">
        <x:v>Production order</x:v>
      </x:c>
      <x:c r="C366" s="207" t="str">
        <x:v>PO-DRAFT-0086</x:v>
      </x:c>
      <x:c r="D366" s="207" t="str">
        <x:v>canonical_sku; qty; production_status; actual_completion_date; production_order_owner</x:v>
      </x:c>
      <x:c r="E366" s="207" t="str">
        <x:v>23-04-26/5 | 0-3414А | блуза с колье, хлопок розов</x:v>
      </x:c>
      <x:c r="F366" s="207" t="str">
        <x:v>Подтвердить модель/SKU, количество, сроки и статус</x:v>
      </x:c>
      <x:c r="G366" s="207" t="str">
        <x:v>Производство</x:v>
      </x:c>
      <x:c r="H366" s="207" t="str">
        <x:v>Критический</x:v>
      </x:c>
      <x:c r="I366" s="207" t="str">
        <x:v>Lead time; WIP; order cost</x:v>
      </x:c>
      <x:c r="J366" s="207" t="str">
        <x:v>План сдач row 127</x:v>
      </x:c>
      <x:c r="K366" s="207" t="str"/>
      <x:c r="L366" s="207" t="str"/>
      <x:c r="M366" s="207" t="str">
        <x:v>Не рассмотрено</x:v>
      </x:c>
      <x:c r="N366" s="207" t="str"/>
      <x:c r="O366" s="207" t="str">
        <x:v>17</x:v>
      </x:c>
      <x:c r="P366" s="207" t="n">
        <x:v>4</x:v>
      </x:c>
      <x:c r="Q366" s="208" t="str">
        <x:v>Wave 1 (0–30 дней)</x:v>
      </x:c>
    </x:row>
    <x:row r="367">
      <x:c r="A367" s="206" t="str">
        <x:v>DEC-00363</x:v>
      </x:c>
      <x:c r="B367" s="207" t="str">
        <x:v>Production order</x:v>
      </x:c>
      <x:c r="C367" s="207" t="str">
        <x:v>PO-DRAFT-0087</x:v>
      </x:c>
      <x:c r="D367" s="207" t="str">
        <x:v>canonical_sku; qty; production_status; actual_completion_date; production_order_owner</x:v>
      </x:c>
      <x:c r="E367" s="207" t="str">
        <x:v>23-04-26/6 | 0-3414 | блуза с колье, хлопок мятн</x:v>
      </x:c>
      <x:c r="F367" s="207" t="str">
        <x:v>Подтвердить модель/SKU, количество, сроки и статус</x:v>
      </x:c>
      <x:c r="G367" s="207" t="str">
        <x:v>Производство</x:v>
      </x:c>
      <x:c r="H367" s="207" t="str">
        <x:v>Критический</x:v>
      </x:c>
      <x:c r="I367" s="207" t="str">
        <x:v>Lead time; WIP; order cost</x:v>
      </x:c>
      <x:c r="J367" s="207" t="str">
        <x:v>План сдач row 128</x:v>
      </x:c>
      <x:c r="K367" s="207" t="str"/>
      <x:c r="L367" s="207" t="str"/>
      <x:c r="M367" s="207" t="str">
        <x:v>Не рассмотрено</x:v>
      </x:c>
      <x:c r="N367" s="207" t="str"/>
      <x:c r="O367" s="207" t="str">
        <x:v>17</x:v>
      </x:c>
      <x:c r="P367" s="207" t="n">
        <x:v>4</x:v>
      </x:c>
      <x:c r="Q367" s="208" t="str">
        <x:v>Wave 1 (0–30 дней)</x:v>
      </x:c>
    </x:row>
    <x:row r="368">
      <x:c r="A368" s="206" t="str">
        <x:v>DEC-00364</x:v>
      </x:c>
      <x:c r="B368" s="207" t="str">
        <x:v>Production order</x:v>
      </x:c>
      <x:c r="C368" s="207" t="str">
        <x:v>PO-DRAFT-0088</x:v>
      </x:c>
      <x:c r="D368" s="207" t="str">
        <x:v>canonical_sku; qty; production_status; actual_completion_date; production_order_owner</x:v>
      </x:c>
      <x:c r="E368" s="207" t="str">
        <x:v>23-04-26/7 | 0-3386 | брюки с карм, хлопок бел</x:v>
      </x:c>
      <x:c r="F368" s="207" t="str">
        <x:v>Подтвердить модель/SKU, количество, сроки и статус</x:v>
      </x:c>
      <x:c r="G368" s="207" t="str">
        <x:v>Производство</x:v>
      </x:c>
      <x:c r="H368" s="207" t="str">
        <x:v>Критический</x:v>
      </x:c>
      <x:c r="I368" s="207" t="str">
        <x:v>Lead time; WIP; order cost</x:v>
      </x:c>
      <x:c r="J368" s="207" t="str">
        <x:v>План сдач row 129</x:v>
      </x:c>
      <x:c r="K368" s="207" t="str"/>
      <x:c r="L368" s="207" t="str"/>
      <x:c r="M368" s="207" t="str">
        <x:v>Не рассмотрено</x:v>
      </x:c>
      <x:c r="N368" s="207" t="str"/>
      <x:c r="O368" s="207" t="str">
        <x:v>17</x:v>
      </x:c>
      <x:c r="P368" s="207" t="n">
        <x:v>4</x:v>
      </x:c>
      <x:c r="Q368" s="208" t="str">
        <x:v>Wave 1 (0–30 дней)</x:v>
      </x:c>
    </x:row>
    <x:row r="369">
      <x:c r="A369" s="206" t="str">
        <x:v>DEC-00365</x:v>
      </x:c>
      <x:c r="B369" s="207" t="str">
        <x:v>Production order</x:v>
      </x:c>
      <x:c r="C369" s="207" t="str">
        <x:v>PO-DRAFT-0089</x:v>
      </x:c>
      <x:c r="D369" s="207" t="str">
        <x:v>canonical_sku; qty; production_status; actual_completion_date; production_order_owner</x:v>
      </x:c>
      <x:c r="E369" s="207" t="str">
        <x:v>23-04-26/8 | 0-3378 | блуза, хлопок желт</x:v>
      </x:c>
      <x:c r="F369" s="207" t="str">
        <x:v>Подтвердить модель/SKU, количество, сроки и статус</x:v>
      </x:c>
      <x:c r="G369" s="207" t="str">
        <x:v>Производство</x:v>
      </x:c>
      <x:c r="H369" s="207" t="str">
        <x:v>Критический</x:v>
      </x:c>
      <x:c r="I369" s="207" t="str">
        <x:v>Lead time; WIP; order cost</x:v>
      </x:c>
      <x:c r="J369" s="207" t="str">
        <x:v>План сдач row 130</x:v>
      </x:c>
      <x:c r="K369" s="207" t="str"/>
      <x:c r="L369" s="207" t="str"/>
      <x:c r="M369" s="207" t="str">
        <x:v>Не рассмотрено</x:v>
      </x:c>
      <x:c r="N369" s="207" t="str"/>
      <x:c r="O369" s="207" t="str">
        <x:v>17</x:v>
      </x:c>
      <x:c r="P369" s="207" t="n">
        <x:v>4</x:v>
      </x:c>
      <x:c r="Q369" s="208" t="str">
        <x:v>Wave 1 (0–30 дней)</x:v>
      </x:c>
    </x:row>
    <x:row r="370">
      <x:c r="A370" s="206" t="str">
        <x:v>DEC-00366</x:v>
      </x:c>
      <x:c r="B370" s="207" t="str">
        <x:v>Production order</x:v>
      </x:c>
      <x:c r="C370" s="207" t="str">
        <x:v>PO-DRAFT-0090</x:v>
      </x:c>
      <x:c r="D370" s="207" t="str">
        <x:v>canonical_sku; qty; production_status; actual_completion_date; production_order_owner</x:v>
      </x:c>
      <x:c r="E370" s="207" t="str">
        <x:v>23-04-26/9 | 0-3354 | юбка с выш, хлопок джинсов черн</x:v>
      </x:c>
      <x:c r="F370" s="207" t="str">
        <x:v>Подтвердить модель/SKU, количество, сроки и статус</x:v>
      </x:c>
      <x:c r="G370" s="207" t="str">
        <x:v>Производство</x:v>
      </x:c>
      <x:c r="H370" s="207" t="str">
        <x:v>Критический</x:v>
      </x:c>
      <x:c r="I370" s="207" t="str">
        <x:v>Lead time; WIP; order cost</x:v>
      </x:c>
      <x:c r="J370" s="207" t="str">
        <x:v>План сдач row 131</x:v>
      </x:c>
      <x:c r="K370" s="207" t="str"/>
      <x:c r="L370" s="207" t="str"/>
      <x:c r="M370" s="207" t="str">
        <x:v>Не рассмотрено</x:v>
      </x:c>
      <x:c r="N370" s="207" t="str"/>
      <x:c r="O370" s="207" t="str">
        <x:v>17</x:v>
      </x:c>
      <x:c r="P370" s="207" t="n">
        <x:v>4</x:v>
      </x:c>
      <x:c r="Q370" s="208" t="str">
        <x:v>Wave 1 (0–30 дней)</x:v>
      </x:c>
    </x:row>
    <x:row r="371">
      <x:c r="A371" s="206" t="str">
        <x:v>DEC-00367</x:v>
      </x:c>
      <x:c r="B371" s="207" t="str">
        <x:v>Production order</x:v>
      </x:c>
      <x:c r="C371" s="207" t="str">
        <x:v>PO-DRAFT-0091</x:v>
      </x:c>
      <x:c r="D371" s="207" t="str">
        <x:v>canonical_sku; qty; production_status; actual_completion_date; production_order_owner</x:v>
      </x:c>
      <x:c r="E371" s="207" t="str">
        <x:v>23-04-26/10 | 0-3368А | блузон, шелк ч/б феи</x:v>
      </x:c>
      <x:c r="F371" s="207" t="str">
        <x:v>Подтвердить модель/SKU, количество, сроки и статус</x:v>
      </x:c>
      <x:c r="G371" s="207" t="str">
        <x:v>Производство</x:v>
      </x:c>
      <x:c r="H371" s="207" t="str">
        <x:v>Критический</x:v>
      </x:c>
      <x:c r="I371" s="207" t="str">
        <x:v>Lead time; WIP; order cost</x:v>
      </x:c>
      <x:c r="J371" s="207" t="str">
        <x:v>План сдач row 132</x:v>
      </x:c>
      <x:c r="K371" s="207" t="str"/>
      <x:c r="L371" s="207" t="str"/>
      <x:c r="M371" s="207" t="str">
        <x:v>Не рассмотрено</x:v>
      </x:c>
      <x:c r="N371" s="207" t="str"/>
      <x:c r="O371" s="207" t="str">
        <x:v>17</x:v>
      </x:c>
      <x:c r="P371" s="207" t="n">
        <x:v>4</x:v>
      </x:c>
      <x:c r="Q371" s="208" t="str">
        <x:v>Wave 1 (0–30 дней)</x:v>
      </x:c>
    </x:row>
    <x:row r="372">
      <x:c r="A372" s="206" t="str">
        <x:v>DEC-00368</x:v>
      </x:c>
      <x:c r="B372" s="207" t="str">
        <x:v>Production order</x:v>
      </x:c>
      <x:c r="C372" s="207" t="str">
        <x:v>PO-DRAFT-0092</x:v>
      </x:c>
      <x:c r="D372" s="207" t="str">
        <x:v>canonical_sku; qty; production_status; actual_completion_date; production_order_owner</x:v>
      </x:c>
      <x:c r="E372" s="207" t="str">
        <x:v>23-04-26/11 | 0-3369А | брюки, шелк ч/б феи</x:v>
      </x:c>
      <x:c r="F372" s="207" t="str">
        <x:v>Подтвердить модель/SKU, количество, сроки и статус</x:v>
      </x:c>
      <x:c r="G372" s="207" t="str">
        <x:v>Производство</x:v>
      </x:c>
      <x:c r="H372" s="207" t="str">
        <x:v>Критический</x:v>
      </x:c>
      <x:c r="I372" s="207" t="str">
        <x:v>Lead time; WIP; order cost</x:v>
      </x:c>
      <x:c r="J372" s="207" t="str">
        <x:v>План сдач row 133</x:v>
      </x:c>
      <x:c r="K372" s="207" t="str"/>
      <x:c r="L372" s="207" t="str"/>
      <x:c r="M372" s="207" t="str">
        <x:v>Не рассмотрено</x:v>
      </x:c>
      <x:c r="N372" s="207" t="str"/>
      <x:c r="O372" s="207" t="str">
        <x:v>17</x:v>
      </x:c>
      <x:c r="P372" s="207" t="n">
        <x:v>4</x:v>
      </x:c>
      <x:c r="Q372" s="208" t="str">
        <x:v>Wave 1 (0–30 дней)</x:v>
      </x:c>
    </x:row>
    <x:row r="373">
      <x:c r="A373" s="206" t="str">
        <x:v>DEC-00369</x:v>
      </x:c>
      <x:c r="B373" s="207" t="str">
        <x:v>Production order</x:v>
      </x:c>
      <x:c r="C373" s="207" t="str">
        <x:v>PO-DRAFT-0093</x:v>
      </x:c>
      <x:c r="D373" s="207" t="str">
        <x:v>canonical_sku; qty; production_status; actual_completion_date; production_order_owner</x:v>
      </x:c>
      <x:c r="E373" s="207" t="str">
        <x:v>23-04-26/12 | 0-3370А | топ, шелк бел + кружево черн</x:v>
      </x:c>
      <x:c r="F373" s="207" t="str">
        <x:v>Подтвердить модель/SKU, количество, сроки и статус</x:v>
      </x:c>
      <x:c r="G373" s="207" t="str">
        <x:v>Производство</x:v>
      </x:c>
      <x:c r="H373" s="207" t="str">
        <x:v>Критический</x:v>
      </x:c>
      <x:c r="I373" s="207" t="str">
        <x:v>Lead time; WIP; order cost</x:v>
      </x:c>
      <x:c r="J373" s="207" t="str">
        <x:v>План сдач row 134</x:v>
      </x:c>
      <x:c r="K373" s="207" t="str"/>
      <x:c r="L373" s="207" t="str"/>
      <x:c r="M373" s="207" t="str">
        <x:v>Не рассмотрено</x:v>
      </x:c>
      <x:c r="N373" s="207" t="str"/>
      <x:c r="O373" s="207" t="str">
        <x:v>17</x:v>
      </x:c>
      <x:c r="P373" s="207" t="n">
        <x:v>4</x:v>
      </x:c>
      <x:c r="Q373" s="208" t="str">
        <x:v>Wave 1 (0–30 дней)</x:v>
      </x:c>
    </x:row>
    <x:row r="374">
      <x:c r="A374" s="206" t="str">
        <x:v>DEC-00370</x:v>
      </x:c>
      <x:c r="B374" s="207" t="str">
        <x:v>Production order</x:v>
      </x:c>
      <x:c r="C374" s="207" t="str">
        <x:v>PO-DRAFT-0094</x:v>
      </x:c>
      <x:c r="D374" s="207" t="str">
        <x:v>canonical_sku; qty; production_status; actual_completion_date; production_order_owner</x:v>
      </x:c>
      <x:c r="E374" s="207" t="str">
        <x:v>23-04-26/13 | 0-3426 | платье с голуб шарфом, шифон беж в горох</x:v>
      </x:c>
      <x:c r="F374" s="207" t="str">
        <x:v>Подтвердить модель/SKU, количество, сроки и статус</x:v>
      </x:c>
      <x:c r="G374" s="207" t="str">
        <x:v>Производство</x:v>
      </x:c>
      <x:c r="H374" s="207" t="str">
        <x:v>Критический</x:v>
      </x:c>
      <x:c r="I374" s="207" t="str">
        <x:v>Lead time; WIP; order cost</x:v>
      </x:c>
      <x:c r="J374" s="207" t="str">
        <x:v>План сдач row 135</x:v>
      </x:c>
      <x:c r="K374" s="207" t="str"/>
      <x:c r="L374" s="207" t="str"/>
      <x:c r="M374" s="207" t="str">
        <x:v>Не рассмотрено</x:v>
      </x:c>
      <x:c r="N374" s="207" t="str"/>
      <x:c r="O374" s="207" t="str">
        <x:v>17</x:v>
      </x:c>
      <x:c r="P374" s="207" t="n">
        <x:v>4</x:v>
      </x:c>
      <x:c r="Q374" s="208" t="str">
        <x:v>Wave 1 (0–30 дней)</x:v>
      </x:c>
    </x:row>
    <x:row r="375">
      <x:c r="A375" s="206" t="str">
        <x:v>DEC-00371</x:v>
      </x:c>
      <x:c r="B375" s="207" t="str">
        <x:v>Production order</x:v>
      </x:c>
      <x:c r="C375" s="207" t="str">
        <x:v>PO-DRAFT-0095</x:v>
      </x:c>
      <x:c r="D375" s="207" t="str">
        <x:v>canonical_sku; qty; production_status; actual_completion_date; production_order_owner</x:v>
      </x:c>
      <x:c r="E375" s="207" t="str">
        <x:v>23-04-26/14 | 0-3405А | сарафан "капли", шифон электрик</x:v>
      </x:c>
      <x:c r="F375" s="207" t="str">
        <x:v>Подтвердить модель/SKU, количество, сроки и статус</x:v>
      </x:c>
      <x:c r="G375" s="207" t="str">
        <x:v>Производство</x:v>
      </x:c>
      <x:c r="H375" s="207" t="str">
        <x:v>Критический</x:v>
      </x:c>
      <x:c r="I375" s="207" t="str">
        <x:v>Lead time; WIP; order cost</x:v>
      </x:c>
      <x:c r="J375" s="207" t="str">
        <x:v>План сдач row 136</x:v>
      </x:c>
      <x:c r="K375" s="207" t="str"/>
      <x:c r="L375" s="207" t="str"/>
      <x:c r="M375" s="207" t="str">
        <x:v>Не рассмотрено</x:v>
      </x:c>
      <x:c r="N375" s="207" t="str"/>
      <x:c r="O375" s="207" t="str">
        <x:v>17</x:v>
      </x:c>
      <x:c r="P375" s="207" t="n">
        <x:v>4</x:v>
      </x:c>
      <x:c r="Q375" s="208" t="str">
        <x:v>Wave 1 (0–30 дней)</x:v>
      </x:c>
    </x:row>
    <x:row r="376">
      <x:c r="A376" s="206" t="str">
        <x:v>DEC-00372</x:v>
      </x:c>
      <x:c r="B376" s="207" t="str">
        <x:v>Production order</x:v>
      </x:c>
      <x:c r="C376" s="207" t="str">
        <x:v>PO-DRAFT-0096</x:v>
      </x:c>
      <x:c r="D376" s="207" t="str">
        <x:v>canonical_sku; qty; production_status; actual_completion_date; production_order_owner</x:v>
      </x:c>
      <x:c r="E376" s="207" t="str">
        <x:v>08-06-26 | 33-30 | платье длин, с вышивкой, с изменен, с кейпом, без рук, шифон 18-031</x:v>
      </x:c>
      <x:c r="F376" s="207" t="str">
        <x:v>Подтвердить модель/SKU, количество, сроки и статус</x:v>
      </x:c>
      <x:c r="G376" s="207" t="str">
        <x:v>Производство</x:v>
      </x:c>
      <x:c r="H376" s="207" t="str">
        <x:v>Критический</x:v>
      </x:c>
      <x:c r="I376" s="207" t="str">
        <x:v>Lead time; WIP; order cost</x:v>
      </x:c>
      <x:c r="J376" s="207" t="str">
        <x:v>План сдач row 137</x:v>
      </x:c>
      <x:c r="K376" s="207" t="str"/>
      <x:c r="L376" s="207" t="str"/>
      <x:c r="M376" s="207" t="str">
        <x:v>Не рассмотрено</x:v>
      </x:c>
      <x:c r="N376" s="207" t="str"/>
      <x:c r="O376" s="207" t="str">
        <x:v>17</x:v>
      </x:c>
      <x:c r="P376" s="207" t="n">
        <x:v>4</x:v>
      </x:c>
      <x:c r="Q376" s="208" t="str">
        <x:v>Wave 1 (0–30 дней)</x:v>
      </x:c>
    </x:row>
    <x:row r="377">
      <x:c r="A377" s="206" t="str">
        <x:v>DEC-00373</x:v>
      </x:c>
      <x:c r="B377" s="207" t="str">
        <x:v>Production order</x:v>
      </x:c>
      <x:c r="C377" s="207" t="str">
        <x:v>PO-DRAFT-0097</x:v>
      </x:c>
      <x:c r="D377" s="207" t="str">
        <x:v>canonical_sku; qty; production_status; actual_completion_date; production_order_owner</x:v>
      </x:c>
      <x:c r="E377" s="207" t="str">
        <x:v>09-06-26 | НАСТЯ | платье длин, с вышивкой, шифон 18-031</x:v>
      </x:c>
      <x:c r="F377" s="207" t="str">
        <x:v>Подтвердить модель/SKU, количество, сроки и статус</x:v>
      </x:c>
      <x:c r="G377" s="207" t="str">
        <x:v>Производство</x:v>
      </x:c>
      <x:c r="H377" s="207" t="str">
        <x:v>Критический</x:v>
      </x:c>
      <x:c r="I377" s="207" t="str">
        <x:v>Lead time; WIP; order cost</x:v>
      </x:c>
      <x:c r="J377" s="207" t="str">
        <x:v>План сдач row 138</x:v>
      </x:c>
      <x:c r="K377" s="207" t="str"/>
      <x:c r="L377" s="207" t="str"/>
      <x:c r="M377" s="207" t="str">
        <x:v>Не рассмотрено</x:v>
      </x:c>
      <x:c r="N377" s="207" t="str"/>
      <x:c r="O377" s="207" t="str">
        <x:v>17</x:v>
      </x:c>
      <x:c r="P377" s="207" t="n">
        <x:v>4</x:v>
      </x:c>
      <x:c r="Q377" s="208" t="str">
        <x:v>Wave 1 (0–30 дней)</x:v>
      </x:c>
    </x:row>
    <x:row r="378">
      <x:c r="A378" s="206" t="str">
        <x:v>DEC-00374</x:v>
      </x:c>
      <x:c r="B378" s="207" t="str">
        <x:v>Production order</x:v>
      </x:c>
      <x:c r="C378" s="207" t="str">
        <x:v>PO-DRAFT-0098</x:v>
      </x:c>
      <x:c r="D378" s="207" t="str">
        <x:v>model_code; canonical_sku; qty; production_status; actual_completion_date; production_order_owner</x:v>
      </x:c>
      <x:c r="E378" s="207" t="str">
        <x:v>13-02-22 |  | платье "Юлия"-ассиметрия, с воланами + цветок, розовый шифон</x:v>
      </x:c>
      <x:c r="F378" s="207" t="str">
        <x:v>Подтвердить модель/SKU, количество, сроки и статус</x:v>
      </x:c>
      <x:c r="G378" s="207" t="str">
        <x:v>Производство</x:v>
      </x:c>
      <x:c r="H378" s="207" t="str">
        <x:v>Критический</x:v>
      </x:c>
      <x:c r="I378" s="207" t="str">
        <x:v>Lead time; WIP; order cost</x:v>
      </x:c>
      <x:c r="J378" s="207" t="str">
        <x:v>План сдач row 141</x:v>
      </x:c>
      <x:c r="K378" s="207" t="str"/>
      <x:c r="L378" s="207" t="str"/>
      <x:c r="M378" s="207" t="str">
        <x:v>Не рассмотрено</x:v>
      </x:c>
      <x:c r="N378" s="207" t="str"/>
      <x:c r="O378" s="207" t="str">
        <x:v>17</x:v>
      </x:c>
      <x:c r="P378" s="207" t="n">
        <x:v>4</x:v>
      </x:c>
      <x:c r="Q378" s="208" t="str">
        <x:v>Wave 1 (0–30 дней)</x:v>
      </x:c>
    </x:row>
    <x:row r="379">
      <x:c r="A379" s="206" t="str">
        <x:v>DEC-00375</x:v>
      </x:c>
      <x:c r="B379" s="207" t="str">
        <x:v>Production order</x:v>
      </x:c>
      <x:c r="C379" s="207" t="str">
        <x:v>PO-DRAFT-0099</x:v>
      </x:c>
      <x:c r="D379" s="207" t="str">
        <x:v>model_code; due_date; canonical_sku; qty; production_status; actual_completion_date; production_order_owner</x:v>
      </x:c>
      <x:c r="E379" s="207" t="str">
        <x:v>03-05-21 |  | платье свадебное "звезды", бел дюшес + бел вуаль</x:v>
      </x:c>
      <x:c r="F379" s="207" t="str">
        <x:v>Подтвердить модель/SKU, количество, сроки и статус</x:v>
      </x:c>
      <x:c r="G379" s="207" t="str">
        <x:v>Производство</x:v>
      </x:c>
      <x:c r="H379" s="207" t="str">
        <x:v>Критический</x:v>
      </x:c>
      <x:c r="I379" s="207" t="str">
        <x:v>Lead time; WIP; order cost</x:v>
      </x:c>
      <x:c r="J379" s="207" t="str">
        <x:v>План сдач row 144</x:v>
      </x:c>
      <x:c r="K379" s="207" t="str"/>
      <x:c r="L379" s="207" t="str"/>
      <x:c r="M379" s="207" t="str">
        <x:v>Не рассмотрено</x:v>
      </x:c>
      <x:c r="N379" s="207" t="str"/>
      <x:c r="O379" s="207" t="str">
        <x:v>17</x:v>
      </x:c>
      <x:c r="P379" s="207" t="n">
        <x:v>4</x:v>
      </x:c>
      <x:c r="Q379" s="208" t="str">
        <x:v>Wave 1 (0–30 дней)</x:v>
      </x:c>
    </x:row>
    <x:row r="380">
      <x:c r="A380" s="206" t="str">
        <x:v>DEC-00376</x:v>
      </x:c>
      <x:c r="B380" s="207" t="str">
        <x:v>Production order</x:v>
      </x:c>
      <x:c r="C380" s="207" t="str">
        <x:v>PO-DRAFT-0100</x:v>
      </x:c>
      <x:c r="D380" s="207" t="str">
        <x:v>valid order date; due_date; canonical_sku; qty; production_status; actual_completion_date; production_order_owner</x:v>
      </x:c>
      <x:c r="E380" s="207" t="str">
        <x:v>06-11 | 0-1390 | платье с выш, черн кожа + черн стр барх ЗАКАЗ ПЕРЕДЕЛКА</x:v>
      </x:c>
      <x:c r="F380" s="207" t="str">
        <x:v>Подтвердить модель/SKU, количество, сроки и статус</x:v>
      </x:c>
      <x:c r="G380" s="207" t="str">
        <x:v>Производство</x:v>
      </x:c>
      <x:c r="H380" s="207" t="str">
        <x:v>Критический</x:v>
      </x:c>
      <x:c r="I380" s="207" t="str">
        <x:v>Lead time; WIP; order cost</x:v>
      </x:c>
      <x:c r="J380" s="207" t="str">
        <x:v>План сдач row 153</x:v>
      </x:c>
      <x:c r="K380" s="207" t="str"/>
      <x:c r="L380" s="207" t="str"/>
      <x:c r="M380" s="207" t="str">
        <x:v>Не рассмотрено</x:v>
      </x:c>
      <x:c r="N380" s="207" t="str"/>
      <x:c r="O380" s="207" t="str">
        <x:v>17</x:v>
      </x:c>
      <x:c r="P380" s="207" t="n">
        <x:v>4</x:v>
      </x:c>
      <x:c r="Q380" s="208" t="str">
        <x:v>Wave 1 (0–30 дней)</x:v>
      </x:c>
    </x:row>
    <x:row r="381">
      <x:c r="A381" s="206" t="str">
        <x:v>DEC-00377</x:v>
      </x:c>
      <x:c r="B381" s="207" t="str">
        <x:v>Production order</x:v>
      </x:c>
      <x:c r="C381" s="207" t="str">
        <x:v>PO-DRAFT-0101</x:v>
      </x:c>
      <x:c r="D381" s="207" t="str">
        <x:v>valid order date; due_date; canonical_sku; qty; production_status; actual_completion_date; production_order_owner</x:v>
      </x:c>
      <x:c r="E381" s="207" t="str">
        <x:v>05-02 | 0-1544 | водолазка, черн трикотаж</x:v>
      </x:c>
      <x:c r="F381" s="207" t="str">
        <x:v>Подтвердить модель/SKU, количество, сроки и статус</x:v>
      </x:c>
      <x:c r="G381" s="207" t="str">
        <x:v>Производство</x:v>
      </x:c>
      <x:c r="H381" s="207" t="str">
        <x:v>Критический</x:v>
      </x:c>
      <x:c r="I381" s="207" t="str">
        <x:v>Lead time; WIP; order cost</x:v>
      </x:c>
      <x:c r="J381" s="207" t="str">
        <x:v>План сдач row 158</x:v>
      </x:c>
      <x:c r="K381" s="207" t="str"/>
      <x:c r="L381" s="207" t="str"/>
      <x:c r="M381" s="207" t="str">
        <x:v>Не рассмотрено</x:v>
      </x:c>
      <x:c r="N381" s="207" t="str"/>
      <x:c r="O381" s="207" t="str">
        <x:v>17</x:v>
      </x:c>
      <x:c r="P381" s="207" t="n">
        <x:v>4</x:v>
      </x:c>
      <x:c r="Q381" s="208" t="str">
        <x:v>Wave 1 (0–30 дней)</x:v>
      </x:c>
    </x:row>
    <x:row r="382">
      <x:c r="A382" s="206" t="str">
        <x:v>DEC-00378</x:v>
      </x:c>
      <x:c r="B382" s="207" t="str">
        <x:v>Production order</x:v>
      </x:c>
      <x:c r="C382" s="207" t="str">
        <x:v>PO-DRAFT-0102</x:v>
      </x:c>
      <x:c r="D382" s="207" t="str">
        <x:v>due_date; canonical_sku; qty; production_status; actual_completion_date; production_order_owner</x:v>
      </x:c>
      <x:c r="E382" s="207" t="str">
        <x:v>03-12-23/1 | 0-2781 | юбка, черн стр барх</x:v>
      </x:c>
      <x:c r="F382" s="207" t="str">
        <x:v>Подтвердить модель/SKU, количество, сроки и статус</x:v>
      </x:c>
      <x:c r="G382" s="207" t="str">
        <x:v>Производство</x:v>
      </x:c>
      <x:c r="H382" s="207" t="str">
        <x:v>Критический</x:v>
      </x:c>
      <x:c r="I382" s="207" t="str">
        <x:v>Lead time; WIP; order cost</x:v>
      </x:c>
      <x:c r="J382" s="207" t="str">
        <x:v>План сдач row 161</x:v>
      </x:c>
      <x:c r="K382" s="207" t="str"/>
      <x:c r="L382" s="207" t="str"/>
      <x:c r="M382" s="207" t="str">
        <x:v>Не рассмотрено</x:v>
      </x:c>
      <x:c r="N382" s="207" t="str"/>
      <x:c r="O382" s="207" t="str">
        <x:v>17</x:v>
      </x:c>
      <x:c r="P382" s="207" t="n">
        <x:v>4</x:v>
      </x:c>
      <x:c r="Q382" s="208" t="str">
        <x:v>Wave 1 (0–30 дней)</x:v>
      </x:c>
    </x:row>
    <x:row r="383">
      <x:c r="A383" s="206" t="str">
        <x:v>DEC-00379</x:v>
      </x:c>
      <x:c r="B383" s="207" t="str">
        <x:v>Production order</x:v>
      </x:c>
      <x:c r="C383" s="207" t="str">
        <x:v>PO-DRAFT-0103</x:v>
      </x:c>
      <x:c r="D383" s="207" t="str">
        <x:v>due_date; canonical_sku; qty; production_status; actual_completion_date; production_order_owner</x:v>
      </x:c>
      <x:c r="E383" s="207" t="str">
        <x:v>03-12-23/2 | 0-2781А | юбка, черн шелк</x:v>
      </x:c>
      <x:c r="F383" s="207" t="str">
        <x:v>Подтвердить модель/SKU, количество, сроки и статус</x:v>
      </x:c>
      <x:c r="G383" s="207" t="str">
        <x:v>Производство</x:v>
      </x:c>
      <x:c r="H383" s="207" t="str">
        <x:v>Критический</x:v>
      </x:c>
      <x:c r="I383" s="207" t="str">
        <x:v>Lead time; WIP; order cost</x:v>
      </x:c>
      <x:c r="J383" s="207" t="str">
        <x:v>План сдач row 162</x:v>
      </x:c>
      <x:c r="K383" s="207" t="str"/>
      <x:c r="L383" s="207" t="str"/>
      <x:c r="M383" s="207" t="str">
        <x:v>Не рассмотрено</x:v>
      </x:c>
      <x:c r="N383" s="207" t="str"/>
      <x:c r="O383" s="207" t="str">
        <x:v>17</x:v>
      </x:c>
      <x:c r="P383" s="207" t="n">
        <x:v>4</x:v>
      </x:c>
      <x:c r="Q383" s="208" t="str">
        <x:v>Wave 1 (0–30 дней)</x:v>
      </x:c>
    </x:row>
    <x:row r="384">
      <x:c r="A384" s="206" t="str">
        <x:v>DEC-00380</x:v>
      </x:c>
      <x:c r="B384" s="207" t="str">
        <x:v>Production order</x:v>
      </x:c>
      <x:c r="C384" s="207" t="str">
        <x:v>PO-DRAFT-0104</x:v>
      </x:c>
      <x:c r="D384" s="207" t="str">
        <x:v>canonical_sku; qty; production_status; actual_completion_date; production_order_owner</x:v>
      </x:c>
      <x:c r="E384" s="207" t="str">
        <x:v>03-12-25 | 23-11 | платье "ягоды" длин, дюшес акварель 5-011</x:v>
      </x:c>
      <x:c r="F384" s="207" t="str">
        <x:v>Подтвердить модель/SKU, количество, сроки и статус</x:v>
      </x:c>
      <x:c r="G384" s="207" t="str">
        <x:v>Производство</x:v>
      </x:c>
      <x:c r="H384" s="207" t="str">
        <x:v>Критический</x:v>
      </x:c>
      <x:c r="I384" s="207" t="str">
        <x:v>Lead time; WIP; order cost</x:v>
      </x:c>
      <x:c r="J384" s="207" t="str">
        <x:v>План сдач row 165</x:v>
      </x:c>
      <x:c r="K384" s="207" t="str"/>
      <x:c r="L384" s="207" t="str"/>
      <x:c r="M384" s="207" t="str">
        <x:v>Не рассмотрено</x:v>
      </x:c>
      <x:c r="N384" s="207" t="str"/>
      <x:c r="O384" s="207" t="str">
        <x:v>17</x:v>
      </x:c>
      <x:c r="P384" s="207" t="n">
        <x:v>4</x:v>
      </x:c>
      <x:c r="Q384" s="208" t="str">
        <x:v>Wave 1 (0–30 дней)</x:v>
      </x:c>
    </x:row>
    <x:row r="385">
      <x:c r="A385" s="206" t="str">
        <x:v>DEC-00381</x:v>
      </x:c>
      <x:c r="B385" s="207" t="str">
        <x:v>Production order</x:v>
      </x:c>
      <x:c r="C385" s="207" t="str">
        <x:v>PO-DRAFT-0105</x:v>
      </x:c>
      <x:c r="D385" s="207" t="str">
        <x:v>due_date; canonical_sku; qty; production_status; actual_completion_date; production_order_owner</x:v>
      </x:c>
      <x:c r="E385" s="207" t="str">
        <x:v>12-02-26 | 47-28 | платье "золот колосья", длин, чесуча золот</x:v>
      </x:c>
      <x:c r="F385" s="207" t="str">
        <x:v>Подтвердить модель/SKU, количество, сроки и статус</x:v>
      </x:c>
      <x:c r="G385" s="207" t="str">
        <x:v>Производство</x:v>
      </x:c>
      <x:c r="H385" s="207" t="str">
        <x:v>Критический</x:v>
      </x:c>
      <x:c r="I385" s="207" t="str">
        <x:v>Lead time; WIP; order cost</x:v>
      </x:c>
      <x:c r="J385" s="207" t="str">
        <x:v>План сдач row 166</x:v>
      </x:c>
      <x:c r="K385" s="207" t="str"/>
      <x:c r="L385" s="207" t="str"/>
      <x:c r="M385" s="207" t="str">
        <x:v>Не рассмотрено</x:v>
      </x:c>
      <x:c r="N385" s="207" t="str"/>
      <x:c r="O385" s="207" t="str">
        <x:v>17</x:v>
      </x:c>
      <x:c r="P385" s="207" t="n">
        <x:v>4</x:v>
      </x:c>
      <x:c r="Q385" s="208" t="str">
        <x:v>Wave 1 (0–30 дней)</x:v>
      </x:c>
    </x:row>
    <x:row r="386">
      <x:c r="A386" s="206" t="str">
        <x:v>DEC-00382</x:v>
      </x:c>
      <x:c r="B386" s="207" t="str">
        <x:v>Production order</x:v>
      </x:c>
      <x:c r="C386" s="207" t="str">
        <x:v>PO-DRAFT-0106</x:v>
      </x:c>
      <x:c r="D386" s="207" t="str">
        <x:v>canonical_sku; qty; production_status; actual_completion_date; production_order_owner</x:v>
      </x:c>
      <x:c r="E386" s="207" t="str">
        <x:v>22-04-26/1 | 47-20 | платье "золот колосья", корот, бархат х/б черн + шифон черн</x:v>
      </x:c>
      <x:c r="F386" s="207" t="str">
        <x:v>Подтвердить модель/SKU, количество, сроки и статус</x:v>
      </x:c>
      <x:c r="G386" s="207" t="str">
        <x:v>Производство</x:v>
      </x:c>
      <x:c r="H386" s="207" t="str">
        <x:v>Критический</x:v>
      </x:c>
      <x:c r="I386" s="207" t="str">
        <x:v>Lead time; WIP; order cost</x:v>
      </x:c>
      <x:c r="J386" s="207" t="str">
        <x:v>План сдач row 169</x:v>
      </x:c>
      <x:c r="K386" s="207" t="str"/>
      <x:c r="L386" s="207" t="str"/>
      <x:c r="M386" s="207" t="str">
        <x:v>Не рассмотрено</x:v>
      </x:c>
      <x:c r="N386" s="207" t="str"/>
      <x:c r="O386" s="207" t="str">
        <x:v>17</x:v>
      </x:c>
      <x:c r="P386" s="207" t="n">
        <x:v>4</x:v>
      </x:c>
      <x:c r="Q386" s="208" t="str">
        <x:v>Wave 1 (0–30 дней)</x:v>
      </x:c>
    </x:row>
    <x:row r="387">
      <x:c r="A387" s="206" t="str">
        <x:v>DEC-00383</x:v>
      </x:c>
      <x:c r="B387" s="207" t="str">
        <x:v>Production order</x:v>
      </x:c>
      <x:c r="C387" s="207" t="str">
        <x:v>PO-DRAFT-0107</x:v>
      </x:c>
      <x:c r="D387" s="207" t="str">
        <x:v>canonical_sku; qty; production_status; actual_completion_date; production_order_owner</x:v>
      </x:c>
      <x:c r="E387" s="207" t="str">
        <x:v>22-04-26/2 | 0-3395 | платье корот, с вышит кокеткой, рафия беж</x:v>
      </x:c>
      <x:c r="F387" s="207" t="str">
        <x:v>Подтвердить модель/SKU, количество, сроки и статус</x:v>
      </x:c>
      <x:c r="G387" s="207" t="str">
        <x:v>Производство</x:v>
      </x:c>
      <x:c r="H387" s="207" t="str">
        <x:v>Критический</x:v>
      </x:c>
      <x:c r="I387" s="207" t="str">
        <x:v>Lead time; WIP; order cost</x:v>
      </x:c>
      <x:c r="J387" s="207" t="str">
        <x:v>План сдач row 170</x:v>
      </x:c>
      <x:c r="K387" s="207" t="str"/>
      <x:c r="L387" s="207" t="str"/>
      <x:c r="M387" s="207" t="str">
        <x:v>Не рассмотрено</x:v>
      </x:c>
      <x:c r="N387" s="207" t="str"/>
      <x:c r="O387" s="207" t="str">
        <x:v>17</x:v>
      </x:c>
      <x:c r="P387" s="207" t="n">
        <x:v>4</x:v>
      </x:c>
      <x:c r="Q387" s="208" t="str">
        <x:v>Wave 1 (0–30 дней)</x:v>
      </x:c>
    </x:row>
    <x:row r="388">
      <x:c r="A388" s="206" t="str">
        <x:v>DEC-00384</x:v>
      </x:c>
      <x:c r="B388" s="207" t="str">
        <x:v>Production order</x:v>
      </x:c>
      <x:c r="C388" s="207" t="str">
        <x:v>PO-DRAFT-0108</x:v>
      </x:c>
      <x:c r="D388" s="207" t="str">
        <x:v>canonical_sku; qty; production_status; actual_completion_date; production_order_owner</x:v>
      </x:c>
      <x:c r="E388" s="207" t="str">
        <x:v>07-09-25/8 | 0-3273 | платье с выш кружево, твид</x:v>
      </x:c>
      <x:c r="F388" s="207" t="str">
        <x:v>Подтвердить модель/SKU, количество, сроки и статус</x:v>
      </x:c>
      <x:c r="G388" s="207" t="str">
        <x:v>Производство</x:v>
      </x:c>
      <x:c r="H388" s="207" t="str">
        <x:v>Критический</x:v>
      </x:c>
      <x:c r="I388" s="207" t="str">
        <x:v>Lead time; WIP; order cost</x:v>
      </x:c>
      <x:c r="J388" s="207" t="str">
        <x:v>План сдач row 173</x:v>
      </x:c>
      <x:c r="K388" s="207" t="str"/>
      <x:c r="L388" s="207" t="str"/>
      <x:c r="M388" s="207" t="str">
        <x:v>Не рассмотрено</x:v>
      </x:c>
      <x:c r="N388" s="207" t="str"/>
      <x:c r="O388" s="207" t="str">
        <x:v>17</x:v>
      </x:c>
      <x:c r="P388" s="207" t="n">
        <x:v>4</x:v>
      </x:c>
      <x:c r="Q388" s="208" t="str">
        <x:v>Wave 1 (0–30 дней)</x:v>
      </x:c>
    </x:row>
    <x:row r="389">
      <x:c r="A389" s="206" t="str">
        <x:v>DEC-00385</x:v>
      </x:c>
      <x:c r="B389" s="207" t="str">
        <x:v>Production order</x:v>
      </x:c>
      <x:c r="C389" s="207" t="str">
        <x:v>PO-DRAFT-0109</x:v>
      </x:c>
      <x:c r="D389" s="207" t="str">
        <x:v>canonical_sku; qty; production_status; actual_completion_date; production_order_owner</x:v>
      </x:c>
      <x:c r="E389" s="207" t="str">
        <x:v>05-01-26 | 0-3286 | юбка-брюки, черн иск креп</x:v>
      </x:c>
      <x:c r="F389" s="207" t="str">
        <x:v>Подтвердить модель/SKU, количество, сроки и статус</x:v>
      </x:c>
      <x:c r="G389" s="207" t="str">
        <x:v>Производство</x:v>
      </x:c>
      <x:c r="H389" s="207" t="str">
        <x:v>Критический</x:v>
      </x:c>
      <x:c r="I389" s="207" t="str">
        <x:v>Lead time; WIP; order cost</x:v>
      </x:c>
      <x:c r="J389" s="207" t="str">
        <x:v>План сдач row 174</x:v>
      </x:c>
      <x:c r="K389" s="207" t="str"/>
      <x:c r="L389" s="207" t="str"/>
      <x:c r="M389" s="207" t="str">
        <x:v>Не рассмотрено</x:v>
      </x:c>
      <x:c r="N389" s="207" t="str"/>
      <x:c r="O389" s="207" t="str">
        <x:v>17</x:v>
      </x:c>
      <x:c r="P389" s="207" t="n">
        <x:v>4</x:v>
      </x:c>
      <x:c r="Q389" s="208" t="str">
        <x:v>Wave 1 (0–30 дней)</x:v>
      </x:c>
    </x:row>
    <x:row r="390">
      <x:c r="A390" s="206" t="str">
        <x:v>DEC-00386</x:v>
      </x:c>
      <x:c r="B390" s="207" t="str">
        <x:v>Production order</x:v>
      </x:c>
      <x:c r="C390" s="207" t="str">
        <x:v>PO-DRAFT-0110</x:v>
      </x:c>
      <x:c r="D390" s="207" t="str">
        <x:v>canonical_sku; qty; production_status; actual_completion_date; production_order_owner</x:v>
      </x:c>
      <x:c r="E390" s="207" t="str">
        <x:v>03-03-26/1 | 47-19 | жакет "белые ромашки", телесн сетка</x:v>
      </x:c>
      <x:c r="F390" s="207" t="str">
        <x:v>Подтвердить модель/SKU, количество, сроки и статус</x:v>
      </x:c>
      <x:c r="G390" s="207" t="str">
        <x:v>Производство</x:v>
      </x:c>
      <x:c r="H390" s="207" t="str">
        <x:v>Критический</x:v>
      </x:c>
      <x:c r="I390" s="207" t="str">
        <x:v>Lead time; WIP; order cost</x:v>
      </x:c>
      <x:c r="J390" s="207" t="str">
        <x:v>План сдач row 177</x:v>
      </x:c>
      <x:c r="K390" s="207" t="str"/>
      <x:c r="L390" s="207" t="str"/>
      <x:c r="M390" s="207" t="str">
        <x:v>Не рассмотрено</x:v>
      </x:c>
      <x:c r="N390" s="207" t="str"/>
      <x:c r="O390" s="207" t="str">
        <x:v>17</x:v>
      </x:c>
      <x:c r="P390" s="207" t="n">
        <x:v>4</x:v>
      </x:c>
      <x:c r="Q390" s="208" t="str">
        <x:v>Wave 1 (0–30 дней)</x:v>
      </x:c>
    </x:row>
    <x:row r="391">
      <x:c r="A391" s="206" t="str">
        <x:v>DEC-00387</x:v>
      </x:c>
      <x:c r="B391" s="207" t="str">
        <x:v>Production order</x:v>
      </x:c>
      <x:c r="C391" s="207" t="str">
        <x:v>PO-DRAFT-0111</x:v>
      </x:c>
      <x:c r="D391" s="207" t="str">
        <x:v>canonical_sku; qty; production_status; actual_completion_date; production_order_owner</x:v>
      </x:c>
      <x:c r="E391" s="207" t="str">
        <x:v>03-03-26/2 | эскиз | брюки, шифон беж на шелк подкладке 16-011</x:v>
      </x:c>
      <x:c r="F391" s="207" t="str">
        <x:v>Подтвердить модель/SKU, количество, сроки и статус</x:v>
      </x:c>
      <x:c r="G391" s="207" t="str">
        <x:v>Производство</x:v>
      </x:c>
      <x:c r="H391" s="207" t="str">
        <x:v>Критический</x:v>
      </x:c>
      <x:c r="I391" s="207" t="str">
        <x:v>Lead time; WIP; order cost</x:v>
      </x:c>
      <x:c r="J391" s="207" t="str">
        <x:v>План сдач row 178</x:v>
      </x:c>
      <x:c r="K391" s="207" t="str"/>
      <x:c r="L391" s="207" t="str"/>
      <x:c r="M391" s="207" t="str">
        <x:v>Не рассмотрено</x:v>
      </x:c>
      <x:c r="N391" s="207" t="str"/>
      <x:c r="O391" s="207" t="str">
        <x:v>17</x:v>
      </x:c>
      <x:c r="P391" s="207" t="n">
        <x:v>4</x:v>
      </x:c>
      <x:c r="Q391" s="208" t="str">
        <x:v>Wave 1 (0–30 дней)</x:v>
      </x:c>
    </x:row>
    <x:row r="392">
      <x:c r="A392" s="206" t="str">
        <x:v>DEC-00388</x:v>
      </x:c>
      <x:c r="B392" s="207" t="str">
        <x:v>Production order</x:v>
      </x:c>
      <x:c r="C392" s="207" t="str">
        <x:v>PO-DRAFT-0112</x:v>
      </x:c>
      <x:c r="D392" s="207" t="str">
        <x:v>model_code; canonical_sku; qty; production_status; actual_completion_date; production_order_owner</x:v>
      </x:c>
      <x:c r="E392" s="207" t="str">
        <x:v>05-06-26 |  | платье длин, с выш камнями кокеткой, темно-син бахрома</x:v>
      </x:c>
      <x:c r="F392" s="207" t="str">
        <x:v>Подтвердить модель/SKU, количество, сроки и статус</x:v>
      </x:c>
      <x:c r="G392" s="207" t="str">
        <x:v>Производство</x:v>
      </x:c>
      <x:c r="H392" s="207" t="str">
        <x:v>Критический</x:v>
      </x:c>
      <x:c r="I392" s="207" t="str">
        <x:v>Lead time; WIP; order cost</x:v>
      </x:c>
      <x:c r="J392" s="207" t="str">
        <x:v>План сдач row 181</x:v>
      </x:c>
      <x:c r="K392" s="207" t="str"/>
      <x:c r="L392" s="207" t="str"/>
      <x:c r="M392" s="207" t="str">
        <x:v>Не рассмотрено</x:v>
      </x:c>
      <x:c r="N392" s="207" t="str"/>
      <x:c r="O392" s="207" t="str">
        <x:v>17</x:v>
      </x:c>
      <x:c r="P392" s="207" t="n">
        <x:v>4</x:v>
      </x:c>
      <x:c r="Q392" s="208" t="str">
        <x:v>Wave 1 (0–30 дней)</x:v>
      </x:c>
    </x:row>
    <x:row r="393">
      <x:c r="A393" s="206" t="str">
        <x:v>DEC-00389</x:v>
      </x:c>
      <x:c r="B393" s="207" t="str">
        <x:v>Production order</x:v>
      </x:c>
      <x:c r="C393" s="207" t="str">
        <x:v>PO-DRAFT-0113</x:v>
      </x:c>
      <x:c r="D393" s="207" t="str">
        <x:v>canonical_sku; qty; production_status; actual_completion_date; production_order_owner</x:v>
      </x:c>
      <x:c r="E393" s="207" t="str">
        <x:v>03-06-26/1 | 47-30 | жакет с выш графит рафия на графит сетке, подкладка телесн</x:v>
      </x:c>
      <x:c r="F393" s="207" t="str">
        <x:v>Подтвердить модель/SKU, количество, сроки и статус</x:v>
      </x:c>
      <x:c r="G393" s="207" t="str">
        <x:v>Производство</x:v>
      </x:c>
      <x:c r="H393" s="207" t="str">
        <x:v>Критический</x:v>
      </x:c>
      <x:c r="I393" s="207" t="str">
        <x:v>Lead time; WIP; order cost</x:v>
      </x:c>
      <x:c r="J393" s="207" t="str">
        <x:v>План сдач row 184</x:v>
      </x:c>
      <x:c r="K393" s="207" t="str"/>
      <x:c r="L393" s="207" t="str"/>
      <x:c r="M393" s="207" t="str">
        <x:v>Не рассмотрено</x:v>
      </x:c>
      <x:c r="N393" s="207" t="str"/>
      <x:c r="O393" s="207" t="str">
        <x:v>17</x:v>
      </x:c>
      <x:c r="P393" s="207" t="n">
        <x:v>4</x:v>
      </x:c>
      <x:c r="Q393" s="208" t="str">
        <x:v>Wave 1 (0–30 дней)</x:v>
      </x:c>
    </x:row>
    <x:row r="394">
      <x:c r="A394" s="206" t="str">
        <x:v>DEC-00390</x:v>
      </x:c>
      <x:c r="B394" s="207" t="str">
        <x:v>Production order</x:v>
      </x:c>
      <x:c r="C394" s="207" t="str">
        <x:v>PO-DRAFT-0114</x:v>
      </x:c>
      <x:c r="D394" s="207" t="str">
        <x:v>model_code; canonical_sku; qty; production_status; actual_completion_date; production_order_owner</x:v>
      </x:c>
      <x:c r="E394" s="207" t="str">
        <x:v>03-06-26/2 |  | юбка (по эскизу), длинная, чесуча графит</x:v>
      </x:c>
      <x:c r="F394" s="207" t="str">
        <x:v>Подтвердить модель/SKU, количество, сроки и статус</x:v>
      </x:c>
      <x:c r="G394" s="207" t="str">
        <x:v>Производство</x:v>
      </x:c>
      <x:c r="H394" s="207" t="str">
        <x:v>Критический</x:v>
      </x:c>
      <x:c r="I394" s="207" t="str">
        <x:v>Lead time; WIP; order cost</x:v>
      </x:c>
      <x:c r="J394" s="207" t="str">
        <x:v>План сдач row 185</x:v>
      </x:c>
      <x:c r="K394" s="207" t="str"/>
      <x:c r="L394" s="207" t="str"/>
      <x:c r="M394" s="207" t="str">
        <x:v>Не рассмотрено</x:v>
      </x:c>
      <x:c r="N394" s="207" t="str"/>
      <x:c r="O394" s="207" t="str">
        <x:v>17</x:v>
      </x:c>
      <x:c r="P394" s="207" t="n">
        <x:v>4</x:v>
      </x:c>
      <x:c r="Q394" s="208" t="str">
        <x:v>Wave 1 (0–30 дней)</x:v>
      </x:c>
    </x:row>
    <x:row r="395">
      <x:c r="A395" s="206" t="str">
        <x:v>DEC-00391</x:v>
      </x:c>
      <x:c r="B395" s="207" t="str">
        <x:v>Production order</x:v>
      </x:c>
      <x:c r="C395" s="207" t="str">
        <x:v>PO-DRAFT-0115</x:v>
      </x:c>
      <x:c r="D395" s="207" t="str">
        <x:v>model_code; canonical_sku; qty; production_status; actual_completion_date; production_order_owner</x:v>
      </x:c>
      <x:c r="E395" s="207" t="str">
        <x:v>03-06-26/3 |  | шлейф (по эскизу), шифон графит</x:v>
      </x:c>
      <x:c r="F395" s="207" t="str">
        <x:v>Подтвердить модель/SKU, количество, сроки и статус</x:v>
      </x:c>
      <x:c r="G395" s="207" t="str">
        <x:v>Производство</x:v>
      </x:c>
      <x:c r="H395" s="207" t="str">
        <x:v>Критический</x:v>
      </x:c>
      <x:c r="I395" s="207" t="str">
        <x:v>Lead time; WIP; order cost</x:v>
      </x:c>
      <x:c r="J395" s="207" t="str">
        <x:v>План сдач row 186</x:v>
      </x:c>
      <x:c r="K395" s="207" t="str"/>
      <x:c r="L395" s="207" t="str"/>
      <x:c r="M395" s="207" t="str">
        <x:v>Не рассмотрено</x:v>
      </x:c>
      <x:c r="N395" s="207" t="str"/>
      <x:c r="O395" s="207" t="str">
        <x:v>17</x:v>
      </x:c>
      <x:c r="P395" s="207" t="n">
        <x:v>4</x:v>
      </x:c>
      <x:c r="Q395" s="208" t="str">
        <x:v>Wave 1 (0–30 дней)</x:v>
      </x:c>
    </x:row>
    <x:row r="396">
      <x:c r="A396" s="206" t="str">
        <x:v>DEC-00392</x:v>
      </x:c>
      <x:c r="B396" s="207" t="str">
        <x:v>Production order</x:v>
      </x:c>
      <x:c r="C396" s="207" t="str">
        <x:v>PO-DRAFT-0116</x:v>
      </x:c>
      <x:c r="D396" s="207" t="str">
        <x:v>canonical_sku; qty; production_status; actual_completion_date; production_order_owner</x:v>
      </x:c>
      <x:c r="E396" s="207" t="str">
        <x:v>03-06-26/4 | ???? | головной убор - капюшон ???</x:v>
      </x:c>
      <x:c r="F396" s="207" t="str">
        <x:v>Подтвердить модель/SKU, количество, сроки и статус</x:v>
      </x:c>
      <x:c r="G396" s="207" t="str">
        <x:v>Производство</x:v>
      </x:c>
      <x:c r="H396" s="207" t="str">
        <x:v>Критический</x:v>
      </x:c>
      <x:c r="I396" s="207" t="str">
        <x:v>Lead time; WIP; order cost</x:v>
      </x:c>
      <x:c r="J396" s="207" t="str">
        <x:v>План сдач row 187</x:v>
      </x:c>
      <x:c r="K396" s="207" t="str"/>
      <x:c r="L396" s="207" t="str"/>
      <x:c r="M396" s="207" t="str">
        <x:v>Не рассмотрено</x:v>
      </x:c>
      <x:c r="N396" s="207" t="str"/>
      <x:c r="O396" s="207" t="str">
        <x:v>17</x:v>
      </x:c>
      <x:c r="P396" s="207" t="n">
        <x:v>4</x:v>
      </x:c>
      <x:c r="Q396" s="208" t="str">
        <x:v>Wave 1 (0–30 дней)</x:v>
      </x:c>
    </x:row>
    <x:row r="397">
      <x:c r="A397" s="206" t="str">
        <x:v>DEC-00393</x:v>
      </x:c>
      <x:c r="B397" s="207" t="str">
        <x:v>Production order</x:v>
      </x:c>
      <x:c r="C397" s="207" t="str">
        <x:v>PO-DRAFT-0117</x:v>
      </x:c>
      <x:c r="D397" s="207" t="str">
        <x:v>model_code; due_date; canonical_sku; qty; production_status; actual_completion_date; production_order_owner</x:v>
      </x:c>
      <x:c r="E397" s="207" t="str">
        <x:v>05-09-25 |  | брюки, чесуча бел</x:v>
      </x:c>
      <x:c r="F397" s="207" t="str">
        <x:v>Подтвердить модель/SKU, количество, сроки и статус</x:v>
      </x:c>
      <x:c r="G397" s="207" t="str">
        <x:v>Производство</x:v>
      </x:c>
      <x:c r="H397" s="207" t="str">
        <x:v>Критический</x:v>
      </x:c>
      <x:c r="I397" s="207" t="str">
        <x:v>Lead time; WIP; order cost</x:v>
      </x:c>
      <x:c r="J397" s="207" t="str">
        <x:v>План сдач row 193</x:v>
      </x:c>
      <x:c r="K397" s="207" t="str"/>
      <x:c r="L397" s="207" t="str"/>
      <x:c r="M397" s="207" t="str">
        <x:v>Не рассмотрено</x:v>
      </x:c>
      <x:c r="N397" s="207" t="str"/>
      <x:c r="O397" s="207" t="str">
        <x:v>17</x:v>
      </x:c>
      <x:c r="P397" s="207" t="n">
        <x:v>4</x:v>
      </x:c>
      <x:c r="Q397" s="208" t="str">
        <x:v>Wave 1 (0–30 дней)</x:v>
      </x:c>
    </x:row>
    <x:row r="398">
      <x:c r="A398" s="206" t="str">
        <x:v>DEC-00394</x:v>
      </x:c>
      <x:c r="B398" s="207" t="str">
        <x:v>Production order</x:v>
      </x:c>
      <x:c r="C398" s="207" t="str">
        <x:v>PO-DRAFT-0118</x:v>
      </x:c>
      <x:c r="D398" s="207" t="str">
        <x:v>canonical_sku; qty; production_status; actual_completion_date; production_order_owner</x:v>
      </x:c>
      <x:c r="E398" s="207" t="str">
        <x:v>14-02-26/1 | 47-17 | платье "бел цветы" на черном дюшесе</x:v>
      </x:c>
      <x:c r="F398" s="207" t="str">
        <x:v>Подтвердить модель/SKU, количество, сроки и статус</x:v>
      </x:c>
      <x:c r="G398" s="207" t="str">
        <x:v>Производство</x:v>
      </x:c>
      <x:c r="H398" s="207" t="str">
        <x:v>Критический</x:v>
      </x:c>
      <x:c r="I398" s="207" t="str">
        <x:v>Lead time; WIP; order cost</x:v>
      </x:c>
      <x:c r="J398" s="207" t="str">
        <x:v>План сдач row 194</x:v>
      </x:c>
      <x:c r="K398" s="207" t="str"/>
      <x:c r="L398" s="207" t="str"/>
      <x:c r="M398" s="207" t="str">
        <x:v>Не рассмотрено</x:v>
      </x:c>
      <x:c r="N398" s="207" t="str"/>
      <x:c r="O398" s="207" t="str">
        <x:v>17</x:v>
      </x:c>
      <x:c r="P398" s="207" t="n">
        <x:v>4</x:v>
      </x:c>
      <x:c r="Q398" s="208" t="str">
        <x:v>Wave 1 (0–30 дней)</x:v>
      </x:c>
    </x:row>
    <x:row r="399">
      <x:c r="A399" s="206" t="str">
        <x:v>DEC-00395</x:v>
      </x:c>
      <x:c r="B399" s="207" t="str">
        <x:v>Production order</x:v>
      </x:c>
      <x:c r="C399" s="207" t="str">
        <x:v>PO-DRAFT-0119</x:v>
      </x:c>
      <x:c r="D399" s="207" t="str">
        <x:v>canonical_sku; qty; production_status; actual_completion_date; production_order_owner</x:v>
      </x:c>
      <x:c r="E399" s="207" t="str">
        <x:v>14-02-26/2 | 47-16 | жакет "сер колосья", сер чесуча</x:v>
      </x:c>
      <x:c r="F399" s="207" t="str">
        <x:v>Подтвердить модель/SKU, количество, сроки и статус</x:v>
      </x:c>
      <x:c r="G399" s="207" t="str">
        <x:v>Производство</x:v>
      </x:c>
      <x:c r="H399" s="207" t="str">
        <x:v>Критический</x:v>
      </x:c>
      <x:c r="I399" s="207" t="str">
        <x:v>Lead time; WIP; order cost</x:v>
      </x:c>
      <x:c r="J399" s="207" t="str">
        <x:v>План сдач row 195</x:v>
      </x:c>
      <x:c r="K399" s="207" t="str"/>
      <x:c r="L399" s="207" t="str"/>
      <x:c r="M399" s="207" t="str">
        <x:v>Не рассмотрено</x:v>
      </x:c>
      <x:c r="N399" s="207" t="str"/>
      <x:c r="O399" s="207" t="str">
        <x:v>17</x:v>
      </x:c>
      <x:c r="P399" s="207" t="n">
        <x:v>4</x:v>
      </x:c>
      <x:c r="Q399" s="208" t="str">
        <x:v>Wave 1 (0–30 дней)</x:v>
      </x:c>
    </x:row>
    <x:row r="400">
      <x:c r="A400" s="206" t="str">
        <x:v>DEC-00396</x:v>
      </x:c>
      <x:c r="B400" s="207" t="str">
        <x:v>Production order</x:v>
      </x:c>
      <x:c r="C400" s="207" t="str">
        <x:v>PO-DRAFT-0120</x:v>
      </x:c>
      <x:c r="D400" s="207" t="str">
        <x:v>canonical_sku; qty; production_status; actual_completion_date; production_order_owner</x:v>
      </x:c>
      <x:c r="E400" s="207" t="str">
        <x:v>14-02-26/3 | 47-16 | брючки + юбка, шифон сер</x:v>
      </x:c>
      <x:c r="F400" s="207" t="str">
        <x:v>Подтвердить модель/SKU, количество, сроки и статус</x:v>
      </x:c>
      <x:c r="G400" s="207" t="str">
        <x:v>Производство</x:v>
      </x:c>
      <x:c r="H400" s="207" t="str">
        <x:v>Критический</x:v>
      </x:c>
      <x:c r="I400" s="207" t="str">
        <x:v>Lead time; WIP; order cost</x:v>
      </x:c>
      <x:c r="J400" s="207" t="str">
        <x:v>План сдач row 196</x:v>
      </x:c>
      <x:c r="K400" s="207" t="str"/>
      <x:c r="L400" s="207" t="str"/>
      <x:c r="M400" s="207" t="str">
        <x:v>Не рассмотрено</x:v>
      </x:c>
      <x:c r="N400" s="207" t="str"/>
      <x:c r="O400" s="207" t="str">
        <x:v>17</x:v>
      </x:c>
      <x:c r="P400" s="207" t="n">
        <x:v>4</x:v>
      </x:c>
      <x:c r="Q400" s="208" t="str">
        <x:v>Wave 1 (0–30 дней)</x:v>
      </x:c>
    </x:row>
    <x:row r="401">
      <x:c r="A401" s="206" t="str">
        <x:v>DEC-00397</x:v>
      </x:c>
      <x:c r="B401" s="207" t="str">
        <x:v>Production order</x:v>
      </x:c>
      <x:c r="C401" s="207" t="str">
        <x:v>PO-DRAFT-0121</x:v>
      </x:c>
      <x:c r="D401" s="207" t="str">
        <x:v>canonical_sku; qty; production_status; actual_completion_date; production_order_owner</x:v>
      </x:c>
      <x:c r="E401" s="207" t="str">
        <x:v>14-02-26/4 | эскиз | брючки, сер чесуча</x:v>
      </x:c>
      <x:c r="F401" s="207" t="str">
        <x:v>Подтвердить модель/SKU, количество, сроки и статус</x:v>
      </x:c>
      <x:c r="G401" s="207" t="str">
        <x:v>Производство</x:v>
      </x:c>
      <x:c r="H401" s="207" t="str">
        <x:v>Критический</x:v>
      </x:c>
      <x:c r="I401" s="207" t="str">
        <x:v>Lead time; WIP; order cost</x:v>
      </x:c>
      <x:c r="J401" s="207" t="str">
        <x:v>План сдач row 197</x:v>
      </x:c>
      <x:c r="K401" s="207" t="str"/>
      <x:c r="L401" s="207" t="str"/>
      <x:c r="M401" s="207" t="str">
        <x:v>Не рассмотрено</x:v>
      </x:c>
      <x:c r="N401" s="207" t="str"/>
      <x:c r="O401" s="207" t="str">
        <x:v>17</x:v>
      </x:c>
      <x:c r="P401" s="207" t="n">
        <x:v>4</x:v>
      </x:c>
      <x:c r="Q401" s="208" t="str">
        <x:v>Wave 1 (0–30 дней)</x:v>
      </x:c>
    </x:row>
    <x:row r="402">
      <x:c r="A402" s="206" t="str">
        <x:v>DEC-00398</x:v>
      </x:c>
      <x:c r="B402" s="207" t="str">
        <x:v>Production order</x:v>
      </x:c>
      <x:c r="C402" s="207" t="str">
        <x:v>PO-DRAFT-0122</x:v>
      </x:c>
      <x:c r="D402" s="207" t="str">
        <x:v>model_code; canonical_sku; qty; production_status; actual_completion_date; production_order_owner</x:v>
      </x:c>
      <x:c r="E402" s="207" t="str">
        <x:v>26-04-26 |  | платье по эскизу, вышивка по 0-3407, шифон ягодн 18-037</x:v>
      </x:c>
      <x:c r="F402" s="207" t="str">
        <x:v>Подтвердить модель/SKU, количество, сроки и статус</x:v>
      </x:c>
      <x:c r="G402" s="207" t="str">
        <x:v>Производство</x:v>
      </x:c>
      <x:c r="H402" s="207" t="str">
        <x:v>Критический</x:v>
      </x:c>
      <x:c r="I402" s="207" t="str">
        <x:v>Lead time; WIP; order cost</x:v>
      </x:c>
      <x:c r="J402" s="207" t="str">
        <x:v>План сдач row 200</x:v>
      </x:c>
      <x:c r="K402" s="207" t="str"/>
      <x:c r="L402" s="207" t="str"/>
      <x:c r="M402" s="207" t="str">
        <x:v>Не рассмотрено</x:v>
      </x:c>
      <x:c r="N402" s="207" t="str"/>
      <x:c r="O402" s="207" t="str">
        <x:v>17</x:v>
      </x:c>
      <x:c r="P402" s="207" t="n">
        <x:v>4</x:v>
      </x:c>
      <x:c r="Q402" s="208" t="str">
        <x:v>Wave 1 (0–30 дней)</x:v>
      </x:c>
    </x:row>
    <x:row r="403">
      <x:c r="A403" s="206" t="str">
        <x:v>DEC-00399</x:v>
      </x:c>
      <x:c r="B403" s="207" t="str">
        <x:v>Production order</x:v>
      </x:c>
      <x:c r="C403" s="207" t="str">
        <x:v>PO-DRAFT-0123</x:v>
      </x:c>
      <x:c r="D403" s="207" t="str">
        <x:v>canonical_sku; qty; production_status; actual_completion_date; production_order_owner</x:v>
      </x:c>
      <x:c r="E403" s="207" t="str">
        <x:v>14-04-26/1 | 0-3399 | платье с декором из цветов, хлопок "цветы" крупный яркий принт</x:v>
      </x:c>
      <x:c r="F403" s="207" t="str">
        <x:v>Подтвердить модель/SKU, количество, сроки и статус</x:v>
      </x:c>
      <x:c r="G403" s="207" t="str">
        <x:v>Производство</x:v>
      </x:c>
      <x:c r="H403" s="207" t="str">
        <x:v>Критический</x:v>
      </x:c>
      <x:c r="I403" s="207" t="str">
        <x:v>Lead time; WIP; order cost</x:v>
      </x:c>
      <x:c r="J403" s="207" t="str">
        <x:v>План сдач row 203</x:v>
      </x:c>
      <x:c r="K403" s="207" t="str"/>
      <x:c r="L403" s="207" t="str"/>
      <x:c r="M403" s="207" t="str">
        <x:v>Не рассмотрено</x:v>
      </x:c>
      <x:c r="N403" s="207" t="str"/>
      <x:c r="O403" s="207" t="str">
        <x:v>17</x:v>
      </x:c>
      <x:c r="P403" s="207" t="n">
        <x:v>4</x:v>
      </x:c>
      <x:c r="Q403" s="208" t="str">
        <x:v>Wave 1 (0–30 дней)</x:v>
      </x:c>
    </x:row>
    <x:row r="404">
      <x:c r="A404" s="206" t="str">
        <x:v>DEC-00400</x:v>
      </x:c>
      <x:c r="B404" s="207" t="str">
        <x:v>Production order</x:v>
      </x:c>
      <x:c r="C404" s="207" t="str">
        <x:v>PO-DRAFT-0124</x:v>
      </x:c>
      <x:c r="D404" s="207" t="str">
        <x:v>model_code; canonical_sku; qty; production_status; actual_completion_date; production_order_owner</x:v>
      </x:c>
      <x:c r="E404" s="207" t="str">
        <x:v>10-05-26 |  | платье"черн дракон"длин,по основе 47-10,на беж сетке черн аппл</x:v>
      </x:c>
      <x:c r="F404" s="207" t="str">
        <x:v>Подтвердить модель/SKU, количество, сроки и статус</x:v>
      </x:c>
      <x:c r="G404" s="207" t="str">
        <x:v>Производство</x:v>
      </x:c>
      <x:c r="H404" s="207" t="str">
        <x:v>Критический</x:v>
      </x:c>
      <x:c r="I404" s="207" t="str">
        <x:v>Lead time; WIP; order cost</x:v>
      </x:c>
      <x:c r="J404" s="207" t="str">
        <x:v>План сдач row 206</x:v>
      </x:c>
      <x:c r="K404" s="207" t="str"/>
      <x:c r="L404" s="207" t="str"/>
      <x:c r="M404" s="207" t="str">
        <x:v>Не рассмотрено</x:v>
      </x:c>
      <x:c r="N404" s="207" t="str"/>
      <x:c r="O404" s="207" t="str">
        <x:v>17</x:v>
      </x:c>
      <x:c r="P404" s="207" t="n">
        <x:v>4</x:v>
      </x:c>
      <x:c r="Q404" s="208" t="str">
        <x:v>Wave 1 (0–30 дней)</x:v>
      </x:c>
    </x:row>
    <x:row r="405">
      <x:c r="A405" s="206" t="str">
        <x:v>DEC-00401</x:v>
      </x:c>
      <x:c r="B405" s="207" t="str">
        <x:v>Production order</x:v>
      </x:c>
      <x:c r="C405" s="207" t="str">
        <x:v>PO-DRAFT-0125</x:v>
      </x:c>
      <x:c r="D405" s="207" t="str">
        <x:v>canonical_sku; qty; production_status; actual_completion_date; production_order_owner</x:v>
      </x:c>
      <x:c r="E405" s="207" t="str">
        <x:v>09-09-26/5 | 47-19 | жакет, бел цветы на телесн сетке</x:v>
      </x:c>
      <x:c r="F405" s="207" t="str">
        <x:v>Подтвердить модель/SKU, количество, сроки и статус</x:v>
      </x:c>
      <x:c r="G405" s="207" t="str">
        <x:v>Производство</x:v>
      </x:c>
      <x:c r="H405" s="207" t="str">
        <x:v>Критический</x:v>
      </x:c>
      <x:c r="I405" s="207" t="str">
        <x:v>Lead time; WIP; order cost</x:v>
      </x:c>
      <x:c r="J405" s="207" t="str">
        <x:v>План сдач row 209</x:v>
      </x:c>
      <x:c r="K405" s="207" t="str"/>
      <x:c r="L405" s="207" t="str"/>
      <x:c r="M405" s="207" t="str">
        <x:v>Не рассмотрено</x:v>
      </x:c>
      <x:c r="N405" s="207" t="str"/>
      <x:c r="O405" s="207" t="str">
        <x:v>17</x:v>
      </x:c>
      <x:c r="P405" s="207" t="n">
        <x:v>4</x:v>
      </x:c>
      <x:c r="Q405" s="208" t="str">
        <x:v>Wave 1 (0–30 дней)</x:v>
      </x:c>
    </x:row>
    <x:row r="406">
      <x:c r="A406" s="206" t="str">
        <x:v>DEC-00402</x:v>
      </x:c>
      <x:c r="B406" s="207" t="str">
        <x:v>Production order</x:v>
      </x:c>
      <x:c r="C406" s="207" t="str">
        <x:v>PO-DRAFT-0126</x:v>
      </x:c>
      <x:c r="D406" s="207" t="str">
        <x:v>model_code; canonical_sku; qty; production_status; actual_completion_date; production_order_owner</x:v>
      </x:c>
      <x:c r="E406" s="207" t="str">
        <x:v>09-09-26/6 |  | брюки прямые, с карманами, креп иск бел</x:v>
      </x:c>
      <x:c r="F406" s="207" t="str">
        <x:v>Подтвердить модель/SKU, количество, сроки и статус</x:v>
      </x:c>
      <x:c r="G406" s="207" t="str">
        <x:v>Производство</x:v>
      </x:c>
      <x:c r="H406" s="207" t="str">
        <x:v>Критический</x:v>
      </x:c>
      <x:c r="I406" s="207" t="str">
        <x:v>Lead time; WIP; order cost</x:v>
      </x:c>
      <x:c r="J406" s="207" t="str">
        <x:v>План сдач row 210</x:v>
      </x:c>
      <x:c r="K406" s="207" t="str"/>
      <x:c r="L406" s="207" t="str"/>
      <x:c r="M406" s="207" t="str">
        <x:v>Не рассмотрено</x:v>
      </x:c>
      <x:c r="N406" s="207" t="str"/>
      <x:c r="O406" s="207" t="str">
        <x:v>17</x:v>
      </x:c>
      <x:c r="P406" s="207" t="n">
        <x:v>4</x:v>
      </x:c>
      <x:c r="Q406" s="208" t="str">
        <x:v>Wave 1 (0–30 дней)</x:v>
      </x:c>
    </x:row>
    <x:row r="407">
      <x:c r="A407" s="206" t="str">
        <x:v>DEC-00403</x:v>
      </x:c>
      <x:c r="B407" s="207" t="str">
        <x:v>Production order</x:v>
      </x:c>
      <x:c r="C407" s="207" t="str">
        <x:v>PO-DRAFT-0127</x:v>
      </x:c>
      <x:c r="D407" s="207" t="str">
        <x:v>canonical_sku; qty; production_status; actual_completion_date; production_order_owner</x:v>
      </x:c>
      <x:c r="E407" s="207" t="str">
        <x:v>16-04-26/1 | 0-3365А | рубашка, хлопок бел "собачки"</x:v>
      </x:c>
      <x:c r="F407" s="207" t="str">
        <x:v>Подтвердить модель/SKU, количество, сроки и статус</x:v>
      </x:c>
      <x:c r="G407" s="207" t="str">
        <x:v>Производство</x:v>
      </x:c>
      <x:c r="H407" s="207" t="str">
        <x:v>Критический</x:v>
      </x:c>
      <x:c r="I407" s="207" t="str">
        <x:v>Lead time; WIP; order cost</x:v>
      </x:c>
      <x:c r="J407" s="207" t="str">
        <x:v>План сдач row 211</x:v>
      </x:c>
      <x:c r="K407" s="207" t="str"/>
      <x:c r="L407" s="207" t="str"/>
      <x:c r="M407" s="207" t="str">
        <x:v>Не рассмотрено</x:v>
      </x:c>
      <x:c r="N407" s="207" t="str"/>
      <x:c r="O407" s="207" t="str">
        <x:v>17</x:v>
      </x:c>
      <x:c r="P407" s="207" t="n">
        <x:v>4</x:v>
      </x:c>
      <x:c r="Q407" s="208" t="str">
        <x:v>Wave 1 (0–30 дней)</x:v>
      </x:c>
    </x:row>
    <x:row r="408">
      <x:c r="A408" s="206" t="str">
        <x:v>DEC-00404</x:v>
      </x:c>
      <x:c r="B408" s="207" t="str">
        <x:v>Production order</x:v>
      </x:c>
      <x:c r="C408" s="207" t="str">
        <x:v>PO-DRAFT-0128</x:v>
      </x:c>
      <x:c r="D408" s="207" t="str">
        <x:v>canonical_sku; qty; production_status; actual_completion_date; production_order_owner</x:v>
      </x:c>
      <x:c r="E408" s="207" t="str">
        <x:v>16-04-26/2 | 0-3378В | блуза, хлопок голуб</x:v>
      </x:c>
      <x:c r="F408" s="207" t="str">
        <x:v>Подтвердить модель/SKU, количество, сроки и статус</x:v>
      </x:c>
      <x:c r="G408" s="207" t="str">
        <x:v>Производство</x:v>
      </x:c>
      <x:c r="H408" s="207" t="str">
        <x:v>Критический</x:v>
      </x:c>
      <x:c r="I408" s="207" t="str">
        <x:v>Lead time; WIP; order cost</x:v>
      </x:c>
      <x:c r="J408" s="207" t="str">
        <x:v>План сдач row 212</x:v>
      </x:c>
      <x:c r="K408" s="207" t="str"/>
      <x:c r="L408" s="207" t="str"/>
      <x:c r="M408" s="207" t="str">
        <x:v>Не рассмотрено</x:v>
      </x:c>
      <x:c r="N408" s="207" t="str"/>
      <x:c r="O408" s="207" t="str">
        <x:v>17</x:v>
      </x:c>
      <x:c r="P408" s="207" t="n">
        <x:v>4</x:v>
      </x:c>
      <x:c r="Q408" s="208" t="str">
        <x:v>Wave 1 (0–30 дней)</x:v>
      </x:c>
    </x:row>
    <x:row r="409">
      <x:c r="A409" s="206" t="str">
        <x:v>DEC-00405</x:v>
      </x:c>
      <x:c r="B409" s="207" t="str">
        <x:v>Production order</x:v>
      </x:c>
      <x:c r="C409" s="207" t="str">
        <x:v>PO-DRAFT-0129</x:v>
      </x:c>
      <x:c r="D409" s="207" t="str">
        <x:v>canonical_sku; qty; production_status; actual_completion_date; production_order_owner</x:v>
      </x:c>
      <x:c r="E409" s="207" t="str">
        <x:v>16-04-26/3 | 0-3354 | юбка с выш, хлопок черн</x:v>
      </x:c>
      <x:c r="F409" s="207" t="str">
        <x:v>Подтвердить модель/SKU, количество, сроки и статус</x:v>
      </x:c>
      <x:c r="G409" s="207" t="str">
        <x:v>Производство</x:v>
      </x:c>
      <x:c r="H409" s="207" t="str">
        <x:v>Критический</x:v>
      </x:c>
      <x:c r="I409" s="207" t="str">
        <x:v>Lead time; WIP; order cost</x:v>
      </x:c>
      <x:c r="J409" s="207" t="str">
        <x:v>План сдач row 213</x:v>
      </x:c>
      <x:c r="K409" s="207" t="str"/>
      <x:c r="L409" s="207" t="str"/>
      <x:c r="M409" s="207" t="str">
        <x:v>Не рассмотрено</x:v>
      </x:c>
      <x:c r="N409" s="207" t="str"/>
      <x:c r="O409" s="207" t="str">
        <x:v>17</x:v>
      </x:c>
      <x:c r="P409" s="207" t="n">
        <x:v>4</x:v>
      </x:c>
      <x:c r="Q409" s="208" t="str">
        <x:v>Wave 1 (0–30 дней)</x:v>
      </x:c>
    </x:row>
    <x:row r="410">
      <x:c r="A410" s="206" t="str">
        <x:v>DEC-00406</x:v>
      </x:c>
      <x:c r="B410" s="207" t="str">
        <x:v>Production order</x:v>
      </x:c>
      <x:c r="C410" s="207" t="str">
        <x:v>PO-DRAFT-0130</x:v>
      </x:c>
      <x:c r="D410" s="207" t="str">
        <x:v>canonical_sku; qty; production_status; actual_completion_date; production_order_owner</x:v>
      </x:c>
      <x:c r="E410" s="207" t="str">
        <x:v>27-02-26/1 | 47-30 | жакет "сер рафия" по мод</x:v>
      </x:c>
      <x:c r="F410" s="207" t="str">
        <x:v>Подтвердить модель/SKU, количество, сроки и статус</x:v>
      </x:c>
      <x:c r="G410" s="207" t="str">
        <x:v>Производство</x:v>
      </x:c>
      <x:c r="H410" s="207" t="str">
        <x:v>Критический</x:v>
      </x:c>
      <x:c r="I410" s="207" t="str">
        <x:v>Lead time; WIP; order cost</x:v>
      </x:c>
      <x:c r="J410" s="207" t="str">
        <x:v>План сдач row 219</x:v>
      </x:c>
      <x:c r="K410" s="207" t="str"/>
      <x:c r="L410" s="207" t="str"/>
      <x:c r="M410" s="207" t="str">
        <x:v>Не рассмотрено</x:v>
      </x:c>
      <x:c r="N410" s="207" t="str"/>
      <x:c r="O410" s="207" t="str">
        <x:v>17</x:v>
      </x:c>
      <x:c r="P410" s="207" t="n">
        <x:v>4</x:v>
      </x:c>
      <x:c r="Q410" s="208" t="str">
        <x:v>Wave 1 (0–30 дней)</x:v>
      </x:c>
    </x:row>
    <x:row r="411">
      <x:c r="A411" s="206" t="str">
        <x:v>DEC-00407</x:v>
      </x:c>
      <x:c r="B411" s="207" t="str">
        <x:v>Production order</x:v>
      </x:c>
      <x:c r="C411" s="207" t="str">
        <x:v>PO-DRAFT-0131</x:v>
      </x:c>
      <x:c r="D411" s="207" t="str">
        <x:v>canonical_sku; qty; production_status; actual_completion_date; production_order_owner</x:v>
      </x:c>
      <x:c r="E411" s="207" t="str">
        <x:v>27-02-26/2 | 47-30 | платье по юбке, сер чесуча, наполнение - сетка, без каркаса</x:v>
      </x:c>
      <x:c r="F411" s="207" t="str">
        <x:v>Подтвердить модель/SKU, количество, сроки и статус</x:v>
      </x:c>
      <x:c r="G411" s="207" t="str">
        <x:v>Производство</x:v>
      </x:c>
      <x:c r="H411" s="207" t="str">
        <x:v>Критический</x:v>
      </x:c>
      <x:c r="I411" s="207" t="str">
        <x:v>Lead time; WIP; order cost</x:v>
      </x:c>
      <x:c r="J411" s="207" t="str">
        <x:v>План сдач row 220</x:v>
      </x:c>
      <x:c r="K411" s="207" t="str"/>
      <x:c r="L411" s="207" t="str"/>
      <x:c r="M411" s="207" t="str">
        <x:v>Не рассмотрено</x:v>
      </x:c>
      <x:c r="N411" s="207" t="str"/>
      <x:c r="O411" s="207" t="str">
        <x:v>17</x:v>
      </x:c>
      <x:c r="P411" s="207" t="n">
        <x:v>4</x:v>
      </x:c>
      <x:c r="Q411" s="208" t="str">
        <x:v>Wave 1 (0–30 дней)</x:v>
      </x:c>
    </x:row>
    <x:row r="412">
      <x:c r="A412" s="206" t="str">
        <x:v>DEC-00408</x:v>
      </x:c>
      <x:c r="B412" s="207" t="str">
        <x:v>Production order</x:v>
      </x:c>
      <x:c r="C412" s="207" t="str">
        <x:v>PO-DRAFT-0132</x:v>
      </x:c>
      <x:c r="D412" s="207" t="str">
        <x:v>canonical_sku; qty; production_status; actual_completion_date; production_order_owner</x:v>
      </x:c>
      <x:c r="E412" s="207" t="str">
        <x:v>27-02-26/3 | 47-30 | браслеты "ярусы", жемчуг с переходом серого, пара</x:v>
      </x:c>
      <x:c r="F412" s="207" t="str">
        <x:v>Подтвердить модель/SKU, количество, сроки и статус</x:v>
      </x:c>
      <x:c r="G412" s="207" t="str">
        <x:v>Производство</x:v>
      </x:c>
      <x:c r="H412" s="207" t="str">
        <x:v>Критический</x:v>
      </x:c>
      <x:c r="I412" s="207" t="str">
        <x:v>Lead time; WIP; order cost</x:v>
      </x:c>
      <x:c r="J412" s="207" t="str">
        <x:v>План сдач row 221</x:v>
      </x:c>
      <x:c r="K412" s="207" t="str"/>
      <x:c r="L412" s="207" t="str"/>
      <x:c r="M412" s="207" t="str">
        <x:v>Не рассмотрено</x:v>
      </x:c>
      <x:c r="N412" s="207" t="str"/>
      <x:c r="O412" s="207" t="str">
        <x:v>17</x:v>
      </x:c>
      <x:c r="P412" s="207" t="n">
        <x:v>4</x:v>
      </x:c>
      <x:c r="Q412" s="208" t="str">
        <x:v>Wave 1 (0–30 дней)</x:v>
      </x:c>
    </x:row>
    <x:row r="413">
      <x:c r="A413" s="206" t="str">
        <x:v>DEC-00409</x:v>
      </x:c>
      <x:c r="B413" s="207" t="str">
        <x:v>Production order</x:v>
      </x:c>
      <x:c r="C413" s="207" t="str">
        <x:v>PO-DRAFT-0133</x:v>
      </x:c>
      <x:c r="D413" s="207" t="str">
        <x:v>canonical_sku; qty; production_status; actual_completion_date; production_order_owner</x:v>
      </x:c>
      <x:c r="E413" s="207" t="str">
        <x:v>28-02-26 | 47-21 | платье "золот колосья", бархат черн, дина по кост, меньше вырез</x:v>
      </x:c>
      <x:c r="F413" s="207" t="str">
        <x:v>Подтвердить модель/SKU, количество, сроки и статус</x:v>
      </x:c>
      <x:c r="G413" s="207" t="str">
        <x:v>Производство</x:v>
      </x:c>
      <x:c r="H413" s="207" t="str">
        <x:v>Критический</x:v>
      </x:c>
      <x:c r="I413" s="207" t="str">
        <x:v>Lead time; WIP; order cost</x:v>
      </x:c>
      <x:c r="J413" s="207" t="str">
        <x:v>План сдач row 222</x:v>
      </x:c>
      <x:c r="K413" s="207" t="str"/>
      <x:c r="L413" s="207" t="str"/>
      <x:c r="M413" s="207" t="str">
        <x:v>Не рассмотрено</x:v>
      </x:c>
      <x:c r="N413" s="207" t="str"/>
      <x:c r="O413" s="207" t="str">
        <x:v>17</x:v>
      </x:c>
      <x:c r="P413" s="207" t="n">
        <x:v>4</x:v>
      </x:c>
      <x:c r="Q413" s="208" t="str">
        <x:v>Wave 1 (0–30 дней)</x:v>
      </x:c>
    </x:row>
    <x:row r="414">
      <x:c r="A414" s="206" t="str">
        <x:v>DEC-00410</x:v>
      </x:c>
      <x:c r="B414" s="207" t="str">
        <x:v>Production order</x:v>
      </x:c>
      <x:c r="C414" s="207" t="str">
        <x:v>PO-DRAFT-0134</x:v>
      </x:c>
      <x:c r="D414" s="207" t="str">
        <x:v>canonical_sku; qty; production_status; actual_completion_date; production_order_owner</x:v>
      </x:c>
      <x:c r="E414" s="207" t="str">
        <x:v>09-04-26/1 | 0-3370 | топ, шелк черн + кружево черн</x:v>
      </x:c>
      <x:c r="F414" s="207" t="str">
        <x:v>Подтвердить модель/SKU, количество, сроки и статус</x:v>
      </x:c>
      <x:c r="G414" s="207" t="str">
        <x:v>Производство</x:v>
      </x:c>
      <x:c r="H414" s="207" t="str">
        <x:v>Критический</x:v>
      </x:c>
      <x:c r="I414" s="207" t="str">
        <x:v>Lead time; WIP; order cost</x:v>
      </x:c>
      <x:c r="J414" s="207" t="str">
        <x:v>План сдач row 223</x:v>
      </x:c>
      <x:c r="K414" s="207" t="str"/>
      <x:c r="L414" s="207" t="str"/>
      <x:c r="M414" s="207" t="str">
        <x:v>Не рассмотрено</x:v>
      </x:c>
      <x:c r="N414" s="207" t="str"/>
      <x:c r="O414" s="207" t="str">
        <x:v>17</x:v>
      </x:c>
      <x:c r="P414" s="207" t="n">
        <x:v>4</x:v>
      </x:c>
      <x:c r="Q414" s="208" t="str">
        <x:v>Wave 1 (0–30 дней)</x:v>
      </x:c>
    </x:row>
    <x:row r="415">
      <x:c r="A415" s="206" t="str">
        <x:v>DEC-00411</x:v>
      </x:c>
      <x:c r="B415" s="207" t="str">
        <x:v>Production order</x:v>
      </x:c>
      <x:c r="C415" s="207" t="str">
        <x:v>PO-DRAFT-0135</x:v>
      </x:c>
      <x:c r="D415" s="207" t="str">
        <x:v>canonical_sku; qty; production_status; actual_completion_date; production_order_owner</x:v>
      </x:c>
      <x:c r="E415" s="207" t="str">
        <x:v>09-04-26/2 | 0-3400 | платье с вышит рукавами, батист олив (С ИЗМЕНЕН)</x:v>
      </x:c>
      <x:c r="F415" s="207" t="str">
        <x:v>Подтвердить модель/SKU, количество, сроки и статус</x:v>
      </x:c>
      <x:c r="G415" s="207" t="str">
        <x:v>Производство</x:v>
      </x:c>
      <x:c r="H415" s="207" t="str">
        <x:v>Критический</x:v>
      </x:c>
      <x:c r="I415" s="207" t="str">
        <x:v>Lead time; WIP; order cost</x:v>
      </x:c>
      <x:c r="J415" s="207" t="str">
        <x:v>План сдач row 224</x:v>
      </x:c>
      <x:c r="K415" s="207" t="str"/>
      <x:c r="L415" s="207" t="str"/>
      <x:c r="M415" s="207" t="str">
        <x:v>Не рассмотрено</x:v>
      </x:c>
      <x:c r="N415" s="207" t="str"/>
      <x:c r="O415" s="207" t="str">
        <x:v>17</x:v>
      </x:c>
      <x:c r="P415" s="207" t="n">
        <x:v>4</x:v>
      </x:c>
      <x:c r="Q415" s="208" t="str">
        <x:v>Wave 1 (0–30 дней)</x:v>
      </x:c>
    </x:row>
    <x:row r="416">
      <x:c r="A416" s="206" t="str">
        <x:v>DEC-00412</x:v>
      </x:c>
      <x:c r="B416" s="207" t="str">
        <x:v>Production order</x:v>
      </x:c>
      <x:c r="C416" s="207" t="str">
        <x:v>PO-DRAFT-0136</x:v>
      </x:c>
      <x:c r="D416" s="207" t="str">
        <x:v>canonical_sku; qty; production_status; actual_completion_date; production_order_owner</x:v>
      </x:c>
      <x:c r="E416" s="207" t="str">
        <x:v>01-05-26/1 | 45 | тюрбан с узлом, бархат стр черн</x:v>
      </x:c>
      <x:c r="F416" s="207" t="str">
        <x:v>Подтвердить модель/SKU, количество, сроки и статус</x:v>
      </x:c>
      <x:c r="G416" s="207" t="str">
        <x:v>Производство</x:v>
      </x:c>
      <x:c r="H416" s="207" t="str">
        <x:v>Критический</x:v>
      </x:c>
      <x:c r="I416" s="207" t="str">
        <x:v>Lead time; WIP; order cost</x:v>
      </x:c>
      <x:c r="J416" s="207" t="str">
        <x:v>План сдач row 225</x:v>
      </x:c>
      <x:c r="K416" s="207" t="str"/>
      <x:c r="L416" s="207" t="str"/>
      <x:c r="M416" s="207" t="str">
        <x:v>Не рассмотрено</x:v>
      </x:c>
      <x:c r="N416" s="207" t="str"/>
      <x:c r="O416" s="207" t="str">
        <x:v>17</x:v>
      </x:c>
      <x:c r="P416" s="207" t="n">
        <x:v>4</x:v>
      </x:c>
      <x:c r="Q416" s="208" t="str">
        <x:v>Wave 1 (0–30 дней)</x:v>
      </x:c>
    </x:row>
    <x:row r="417">
      <x:c r="A417" s="206" t="str">
        <x:v>DEC-00413</x:v>
      </x:c>
      <x:c r="B417" s="207" t="str">
        <x:v>Production order</x:v>
      </x:c>
      <x:c r="C417" s="207" t="str">
        <x:v>PO-DRAFT-0137</x:v>
      </x:c>
      <x:c r="D417" s="207" t="str">
        <x:v>canonical_sku; qty; production_status; actual_completion_date; production_order_owner</x:v>
      </x:c>
      <x:c r="E417" s="207" t="str">
        <x:v>01-05-26/2 | 45 | тюрбан с узлом, чесуча сер</x:v>
      </x:c>
      <x:c r="F417" s="207" t="str">
        <x:v>Подтвердить модель/SKU, количество, сроки и статус</x:v>
      </x:c>
      <x:c r="G417" s="207" t="str">
        <x:v>Производство</x:v>
      </x:c>
      <x:c r="H417" s="207" t="str">
        <x:v>Критический</x:v>
      </x:c>
      <x:c r="I417" s="207" t="str">
        <x:v>Lead time; WIP; order cost</x:v>
      </x:c>
      <x:c r="J417" s="207" t="str">
        <x:v>План сдач row 226</x:v>
      </x:c>
      <x:c r="K417" s="207" t="str"/>
      <x:c r="L417" s="207" t="str"/>
      <x:c r="M417" s="207" t="str">
        <x:v>Не рассмотрено</x:v>
      </x:c>
      <x:c r="N417" s="207" t="str"/>
      <x:c r="O417" s="207" t="str">
        <x:v>17</x:v>
      </x:c>
      <x:c r="P417" s="207" t="n">
        <x:v>4</x:v>
      </x:c>
      <x:c r="Q417" s="208" t="str">
        <x:v>Wave 1 (0–30 дней)</x:v>
      </x:c>
    </x:row>
    <x:row r="418">
      <x:c r="A418" s="206" t="str">
        <x:v>DEC-00414</x:v>
      </x:c>
      <x:c r="B418" s="207" t="str">
        <x:v>Production order</x:v>
      </x:c>
      <x:c r="C418" s="207" t="str">
        <x:v>PO-DRAFT-0138</x:v>
      </x:c>
      <x:c r="D418" s="207" t="str">
        <x:v>canonical_sku; qty; production_status; actual_completion_date; production_order_owner</x:v>
      </x:c>
      <x:c r="E418" s="207" t="str">
        <x:v>12-03-26/1 | 47-05 | платье с вышит пелериной, темно-син стр бархат</x:v>
      </x:c>
      <x:c r="F418" s="207" t="str">
        <x:v>Подтвердить модель/SKU, количество, сроки и статус</x:v>
      </x:c>
      <x:c r="G418" s="207" t="str">
        <x:v>Производство</x:v>
      </x:c>
      <x:c r="H418" s="207" t="str">
        <x:v>Критический</x:v>
      </x:c>
      <x:c r="I418" s="207" t="str">
        <x:v>Lead time; WIP; order cost</x:v>
      </x:c>
      <x:c r="J418" s="207" t="str">
        <x:v>План сдач row 229</x:v>
      </x:c>
      <x:c r="K418" s="207" t="str"/>
      <x:c r="L418" s="207" t="str"/>
      <x:c r="M418" s="207" t="str">
        <x:v>Не рассмотрено</x:v>
      </x:c>
      <x:c r="N418" s="207" t="str"/>
      <x:c r="O418" s="207" t="str">
        <x:v>17</x:v>
      </x:c>
      <x:c r="P418" s="207" t="n">
        <x:v>4</x:v>
      </x:c>
      <x:c r="Q418" s="208" t="str">
        <x:v>Wave 1 (0–30 дней)</x:v>
      </x:c>
    </x:row>
    <x:row r="419">
      <x:c r="A419" s="206" t="str">
        <x:v>DEC-00415</x:v>
      </x:c>
      <x:c r="B419" s="207" t="str">
        <x:v>Production order</x:v>
      </x:c>
      <x:c r="C419" s="207" t="str">
        <x:v>PO-DRAFT-0139</x:v>
      </x:c>
      <x:c r="D419" s="207" t="str">
        <x:v>canonical_sku; qty; production_status; actual_completion_date; production_order_owner</x:v>
      </x:c>
      <x:c r="E419" s="207" t="str">
        <x:v>12-03-26/5 | 13-28 | платье длин, черн ленты на черн сетке</x:v>
      </x:c>
      <x:c r="F419" s="207" t="str">
        <x:v>Подтвердить модель/SKU, количество, сроки и статус</x:v>
      </x:c>
      <x:c r="G419" s="207" t="str">
        <x:v>Производство</x:v>
      </x:c>
      <x:c r="H419" s="207" t="str">
        <x:v>Критический</x:v>
      </x:c>
      <x:c r="I419" s="207" t="str">
        <x:v>Lead time; WIP; order cost</x:v>
      </x:c>
      <x:c r="J419" s="207" t="str">
        <x:v>План сдач row 230</x:v>
      </x:c>
      <x:c r="K419" s="207" t="str"/>
      <x:c r="L419" s="207" t="str"/>
      <x:c r="M419" s="207" t="str">
        <x:v>Не рассмотрено</x:v>
      </x:c>
      <x:c r="N419" s="207" t="str"/>
      <x:c r="O419" s="207" t="str">
        <x:v>17</x:v>
      </x:c>
      <x:c r="P419" s="207" t="n">
        <x:v>4</x:v>
      </x:c>
      <x:c r="Q419" s="208" t="str">
        <x:v>Wave 1 (0–30 дней)</x:v>
      </x:c>
    </x:row>
    <x:row r="420">
      <x:c r="A420" s="206" t="str">
        <x:v>DEC-00416</x:v>
      </x:c>
      <x:c r="B420" s="207" t="str">
        <x:v>Production order</x:v>
      </x:c>
      <x:c r="C420" s="207" t="str">
        <x:v>PO-DRAFT-0140</x:v>
      </x:c>
      <x:c r="D420" s="207" t="str">
        <x:v>model_code; canonical_sku; qty; production_status; actual_completion_date; production_order_owner</x:v>
      </x:c>
      <x:c r="E420" s="207" t="str">
        <x:v>12-03-26/6 |  | пояс-бусы, жемчуг</x:v>
      </x:c>
      <x:c r="F420" s="207" t="str">
        <x:v>Подтвердить модель/SKU, количество, сроки и статус</x:v>
      </x:c>
      <x:c r="G420" s="207" t="str">
        <x:v>Производство</x:v>
      </x:c>
      <x:c r="H420" s="207" t="str">
        <x:v>Критический</x:v>
      </x:c>
      <x:c r="I420" s="207" t="str">
        <x:v>Lead time; WIP; order cost</x:v>
      </x:c>
      <x:c r="J420" s="207" t="str">
        <x:v>План сдач row 231</x:v>
      </x:c>
      <x:c r="K420" s="207" t="str"/>
      <x:c r="L420" s="207" t="str"/>
      <x:c r="M420" s="207" t="str">
        <x:v>Не рассмотрено</x:v>
      </x:c>
      <x:c r="N420" s="207" t="str"/>
      <x:c r="O420" s="207" t="str">
        <x:v>17</x:v>
      </x:c>
      <x:c r="P420" s="207" t="n">
        <x:v>4</x:v>
      </x:c>
      <x:c r="Q420" s="208" t="str">
        <x:v>Wave 1 (0–30 дней)</x:v>
      </x:c>
    </x:row>
    <x:row r="421">
      <x:c r="A421" s="206" t="str">
        <x:v>DEC-00417</x:v>
      </x:c>
      <x:c r="B421" s="207" t="str">
        <x:v>Production order</x:v>
      </x:c>
      <x:c r="C421" s="207" t="str">
        <x:v>PO-DRAFT-0141</x:v>
      </x:c>
      <x:c r="D421" s="207" t="str">
        <x:v>due_date; canonical_sku; qty; production_status; actual_completion_date; production_order_owner</x:v>
      </x:c>
      <x:c r="E421" s="207" t="str">
        <x:v>10-03-26 | 47-14 | платье с измен длины, выш меньше - черная, креп черн</x:v>
      </x:c>
      <x:c r="F421" s="207" t="str">
        <x:v>Подтвердить модель/SKU, количество, сроки и статус</x:v>
      </x:c>
      <x:c r="G421" s="207" t="str">
        <x:v>Производство</x:v>
      </x:c>
      <x:c r="H421" s="207" t="str">
        <x:v>Критический</x:v>
      </x:c>
      <x:c r="I421" s="207" t="str">
        <x:v>Lead time; WIP; order cost</x:v>
      </x:c>
      <x:c r="J421" s="207" t="str">
        <x:v>План сдач row 234</x:v>
      </x:c>
      <x:c r="K421" s="207" t="str"/>
      <x:c r="L421" s="207" t="str"/>
      <x:c r="M421" s="207" t="str">
        <x:v>Не рассмотрено</x:v>
      </x:c>
      <x:c r="N421" s="207" t="str"/>
      <x:c r="O421" s="207" t="str">
        <x:v>17</x:v>
      </x:c>
      <x:c r="P421" s="207" t="n">
        <x:v>4</x:v>
      </x:c>
      <x:c r="Q421" s="208" t="str">
        <x:v>Wave 1 (0–30 дней)</x:v>
      </x:c>
    </x:row>
    <x:row r="422">
      <x:c r="A422" s="206" t="str">
        <x:v>DEC-00418</x:v>
      </x:c>
      <x:c r="B422" s="207" t="str">
        <x:v>Production order</x:v>
      </x:c>
      <x:c r="C422" s="207" t="str">
        <x:v>PO-DRAFT-0142</x:v>
      </x:c>
      <x:c r="D422" s="207" t="str">
        <x:v>canonical_sku; qty; production_status; actual_completion_date; production_order_owner</x:v>
      </x:c>
      <x:c r="E422" s="207" t="str">
        <x:v>03-05-26/1 | 0-3368А | блузон, шелк феи ч/б</x:v>
      </x:c>
      <x:c r="F422" s="207" t="str">
        <x:v>Подтвердить модель/SKU, количество, сроки и статус</x:v>
      </x:c>
      <x:c r="G422" s="207" t="str">
        <x:v>Производство</x:v>
      </x:c>
      <x:c r="H422" s="207" t="str">
        <x:v>Критический</x:v>
      </x:c>
      <x:c r="I422" s="207" t="str">
        <x:v>Lead time; WIP; order cost</x:v>
      </x:c>
      <x:c r="J422" s="207" t="str">
        <x:v>План сдач row 237</x:v>
      </x:c>
      <x:c r="K422" s="207" t="str"/>
      <x:c r="L422" s="207" t="str"/>
      <x:c r="M422" s="207" t="str">
        <x:v>Не рассмотрено</x:v>
      </x:c>
      <x:c r="N422" s="207" t="str"/>
      <x:c r="O422" s="207" t="str">
        <x:v>17</x:v>
      </x:c>
      <x:c r="P422" s="207" t="n">
        <x:v>4</x:v>
      </x:c>
      <x:c r="Q422" s="208" t="str">
        <x:v>Wave 1 (0–30 дней)</x:v>
      </x:c>
    </x:row>
    <x:row r="423">
      <x:c r="A423" s="206" t="str">
        <x:v>DEC-00419</x:v>
      </x:c>
      <x:c r="B423" s="207" t="str">
        <x:v>Production order</x:v>
      </x:c>
      <x:c r="C423" s="207" t="str">
        <x:v>PO-DRAFT-0143</x:v>
      </x:c>
      <x:c r="D423" s="207" t="str">
        <x:v>canonical_sku; qty; production_status; actual_completion_date; production_order_owner</x:v>
      </x:c>
      <x:c r="E423" s="207" t="str">
        <x:v>03-05-26/2 | 0-3369А | брюки, шелк феи ч/б</x:v>
      </x:c>
      <x:c r="F423" s="207" t="str">
        <x:v>Подтвердить модель/SKU, количество, сроки и статус</x:v>
      </x:c>
      <x:c r="G423" s="207" t="str">
        <x:v>Производство</x:v>
      </x:c>
      <x:c r="H423" s="207" t="str">
        <x:v>Критический</x:v>
      </x:c>
      <x:c r="I423" s="207" t="str">
        <x:v>Lead time; WIP; order cost</x:v>
      </x:c>
      <x:c r="J423" s="207" t="str">
        <x:v>План сдач row 238</x:v>
      </x:c>
      <x:c r="K423" s="207" t="str"/>
      <x:c r="L423" s="207" t="str"/>
      <x:c r="M423" s="207" t="str">
        <x:v>Не рассмотрено</x:v>
      </x:c>
      <x:c r="N423" s="207" t="str"/>
      <x:c r="O423" s="207" t="str">
        <x:v>17</x:v>
      </x:c>
      <x:c r="P423" s="207" t="n">
        <x:v>4</x:v>
      </x:c>
      <x:c r="Q423" s="208" t="str">
        <x:v>Wave 1 (0–30 дней)</x:v>
      </x:c>
    </x:row>
    <x:row r="424">
      <x:c r="A424" s="206" t="str">
        <x:v>DEC-00420</x:v>
      </x:c>
      <x:c r="B424" s="207" t="str">
        <x:v>Production order</x:v>
      </x:c>
      <x:c r="C424" s="207" t="str">
        <x:v>PO-DRAFT-0144</x:v>
      </x:c>
      <x:c r="D424" s="207" t="str">
        <x:v>canonical_sku; qty; production_status; actual_completion_date; production_order_owner</x:v>
      </x:c>
      <x:c r="E424" s="207" t="str">
        <x:v>03-05-26/3 | 0-3370 | топ, шелк черн + кружево черн</x:v>
      </x:c>
      <x:c r="F424" s="207" t="str">
        <x:v>Подтвердить модель/SKU, количество, сроки и статус</x:v>
      </x:c>
      <x:c r="G424" s="207" t="str">
        <x:v>Производство</x:v>
      </x:c>
      <x:c r="H424" s="207" t="str">
        <x:v>Критический</x:v>
      </x:c>
      <x:c r="I424" s="207" t="str">
        <x:v>Lead time; WIP; order cost</x:v>
      </x:c>
      <x:c r="J424" s="207" t="str">
        <x:v>План сдач row 239</x:v>
      </x:c>
      <x:c r="K424" s="207" t="str"/>
      <x:c r="L424" s="207" t="str"/>
      <x:c r="M424" s="207" t="str">
        <x:v>Не рассмотрено</x:v>
      </x:c>
      <x:c r="N424" s="207" t="str"/>
      <x:c r="O424" s="207" t="str">
        <x:v>17</x:v>
      </x:c>
      <x:c r="P424" s="207" t="n">
        <x:v>4</x:v>
      </x:c>
      <x:c r="Q424" s="208" t="str">
        <x:v>Wave 1 (0–30 дней)</x:v>
      </x:c>
    </x:row>
    <x:row r="425">
      <x:c r="A425" s="206" t="str">
        <x:v>DEC-00421</x:v>
      </x:c>
      <x:c r="B425" s="207" t="str">
        <x:v>Production order</x:v>
      </x:c>
      <x:c r="C425" s="207" t="str">
        <x:v>PO-DRAFT-0145</x:v>
      </x:c>
      <x:c r="D425" s="207" t="str">
        <x:v>due_date; canonical_sku; qty; production_status; actual_completion_date; production_order_owner</x:v>
      </x:c>
      <x:c r="E425" s="207" t="str">
        <x:v>13-06-26 | 47-20 | корсет "золот колосья" с изменен, с пелериной, бархат черн х/б+шифон</x:v>
      </x:c>
      <x:c r="F425" s="207" t="str">
        <x:v>Подтвердить модель/SKU, количество, сроки и статус</x:v>
      </x:c>
      <x:c r="G425" s="207" t="str">
        <x:v>Производство</x:v>
      </x:c>
      <x:c r="H425" s="207" t="str">
        <x:v>Критический</x:v>
      </x:c>
      <x:c r="I425" s="207" t="str">
        <x:v>Lead time; WIP; order cost</x:v>
      </x:c>
      <x:c r="J425" s="207" t="str">
        <x:v>План сдач row 242</x:v>
      </x:c>
      <x:c r="K425" s="207" t="str"/>
      <x:c r="L425" s="207" t="str"/>
      <x:c r="M425" s="207" t="str">
        <x:v>Не рассмотрено</x:v>
      </x:c>
      <x:c r="N425" s="207" t="str"/>
      <x:c r="O425" s="207" t="str">
        <x:v>17</x:v>
      </x:c>
      <x:c r="P425" s="207" t="n">
        <x:v>4</x:v>
      </x:c>
      <x:c r="Q425" s="208" t="str">
        <x:v>Wave 1 (0–30 дней)</x:v>
      </x:c>
    </x:row>
    <x:row r="426">
      <x:c r="A426" s="206" t="str">
        <x:v>DEC-00422</x:v>
      </x:c>
      <x:c r="B426" s="207" t="str">
        <x:v>Production order</x:v>
      </x:c>
      <x:c r="C426" s="207" t="str">
        <x:v>PO-DRAFT-0146</x:v>
      </x:c>
      <x:c r="D426" s="207" t="str">
        <x:v>qty; production_status; actual_completion_date; production_order_owner</x:v>
      </x:c>
      <x:c r="E426" s="207" t="str">
        <x:v>27-04-26/1 | 0-2894 | платье со съемными рук, хлопок зелен микс</x:v>
      </x:c>
      <x:c r="F426" s="207" t="str">
        <x:v>Подтвердить модель/SKU, количество, сроки и статус</x:v>
      </x:c>
      <x:c r="G426" s="207" t="str">
        <x:v>Производство</x:v>
      </x:c>
      <x:c r="H426" s="207" t="str">
        <x:v>Высокий</x:v>
      </x:c>
      <x:c r="I426" s="207" t="str">
        <x:v>Lead time; WIP; order cost</x:v>
      </x:c>
      <x:c r="J426" s="207" t="str">
        <x:v>План сдач row 245</x:v>
      </x:c>
      <x:c r="K426" s="207" t="str"/>
      <x:c r="L426" s="207" t="str"/>
      <x:c r="M426" s="207" t="str">
        <x:v>Не рассмотрено</x:v>
      </x:c>
      <x:c r="N426" s="207" t="str"/>
      <x:c r="O426" s="207" t="str">
        <x:v>17</x:v>
      </x:c>
      <x:c r="P426" s="207" t="n">
        <x:v>3</x:v>
      </x:c>
      <x:c r="Q426" s="208" t="str">
        <x:v>Wave 2 (31–60 дней)</x:v>
      </x:c>
    </x:row>
    <x:row r="427">
      <x:c r="A427" s="206" t="str">
        <x:v>DEC-00423</x:v>
      </x:c>
      <x:c r="B427" s="207" t="str">
        <x:v>Production order</x:v>
      </x:c>
      <x:c r="C427" s="207" t="str">
        <x:v>PO-DRAFT-0147</x:v>
      </x:c>
      <x:c r="D427" s="207" t="str">
        <x:v>canonical_sku; qty; production_status; actual_completion_date; production_order_owner</x:v>
      </x:c>
      <x:c r="E427" s="207" t="str">
        <x:v>08-04-26/1 | 0-1141 | платье-трапеция, корот, с рукав-крыльями и бахромой, кружево коралл</x:v>
      </x:c>
      <x:c r="F427" s="207" t="str">
        <x:v>Подтвердить модель/SKU, количество, сроки и статус</x:v>
      </x:c>
      <x:c r="G427" s="207" t="str">
        <x:v>Производство</x:v>
      </x:c>
      <x:c r="H427" s="207" t="str">
        <x:v>Критический</x:v>
      </x:c>
      <x:c r="I427" s="207" t="str">
        <x:v>Lead time; WIP; order cost</x:v>
      </x:c>
      <x:c r="J427" s="207" t="str">
        <x:v>План сдач row 248</x:v>
      </x:c>
      <x:c r="K427" s="207" t="str"/>
      <x:c r="L427" s="207" t="str"/>
      <x:c r="M427" s="207" t="str">
        <x:v>Не рассмотрено</x:v>
      </x:c>
      <x:c r="N427" s="207" t="str"/>
      <x:c r="O427" s="207" t="str">
        <x:v>17</x:v>
      </x:c>
      <x:c r="P427" s="207" t="n">
        <x:v>4</x:v>
      </x:c>
      <x:c r="Q427" s="208" t="str">
        <x:v>Wave 1 (0–30 дней)</x:v>
      </x:c>
    </x:row>
    <x:row r="428">
      <x:c r="A428" s="206" t="str">
        <x:v>DEC-00424</x:v>
      </x:c>
      <x:c r="B428" s="207" t="str">
        <x:v>Production order</x:v>
      </x:c>
      <x:c r="C428" s="207" t="str">
        <x:v>PO-DRAFT-0148</x:v>
      </x:c>
      <x:c r="D428" s="207" t="str">
        <x:v>qty; production_status; actual_completion_date; production_order_owner</x:v>
      </x:c>
      <x:c r="E428" s="207" t="str">
        <x:v>08-04-26/2 | 0-2540 | блузон с выш на рук, шелк черн "цветн капли" 17А-032</x:v>
      </x:c>
      <x:c r="F428" s="207" t="str">
        <x:v>Подтвердить модель/SKU, количество, сроки и статус</x:v>
      </x:c>
      <x:c r="G428" s="207" t="str">
        <x:v>Производство</x:v>
      </x:c>
      <x:c r="H428" s="207" t="str">
        <x:v>Высокий</x:v>
      </x:c>
      <x:c r="I428" s="207" t="str">
        <x:v>Lead time; WIP; order cost</x:v>
      </x:c>
      <x:c r="J428" s="207" t="str">
        <x:v>План сдач row 249</x:v>
      </x:c>
      <x:c r="K428" s="207" t="str"/>
      <x:c r="L428" s="207" t="str"/>
      <x:c r="M428" s="207" t="str">
        <x:v>Не рассмотрено</x:v>
      </x:c>
      <x:c r="N428" s="207" t="str"/>
      <x:c r="O428" s="207" t="str">
        <x:v>17</x:v>
      </x:c>
      <x:c r="P428" s="207" t="n">
        <x:v>3</x:v>
      </x:c>
      <x:c r="Q428" s="208" t="str">
        <x:v>Wave 2 (31–60 дней)</x:v>
      </x:c>
    </x:row>
    <x:row r="429">
      <x:c r="A429" s="206" t="str">
        <x:v>DEC-00425</x:v>
      </x:c>
      <x:c r="B429" s="207" t="str">
        <x:v>Production order</x:v>
      </x:c>
      <x:c r="C429" s="207" t="str">
        <x:v>PO-DRAFT-0149</x:v>
      </x:c>
      <x:c r="D429" s="207" t="str">
        <x:v>qty; production_status; actual_completion_date; production_order_owner</x:v>
      </x:c>
      <x:c r="E429" s="207" t="str">
        <x:v>08-04-26/3 | 0-2541 | брюки, шелк черн "цветн капли" 17А-033</x:v>
      </x:c>
      <x:c r="F429" s="207" t="str">
        <x:v>Подтвердить модель/SKU, количество, сроки и статус</x:v>
      </x:c>
      <x:c r="G429" s="207" t="str">
        <x:v>Производство</x:v>
      </x:c>
      <x:c r="H429" s="207" t="str">
        <x:v>Высокий</x:v>
      </x:c>
      <x:c r="I429" s="207" t="str">
        <x:v>Lead time; WIP; order cost</x:v>
      </x:c>
      <x:c r="J429" s="207" t="str">
        <x:v>План сдач row 250</x:v>
      </x:c>
      <x:c r="K429" s="207" t="str"/>
      <x:c r="L429" s="207" t="str"/>
      <x:c r="M429" s="207" t="str">
        <x:v>Не рассмотрено</x:v>
      </x:c>
      <x:c r="N429" s="207" t="str"/>
      <x:c r="O429" s="207" t="str">
        <x:v>17</x:v>
      </x:c>
      <x:c r="P429" s="207" t="n">
        <x:v>3</x:v>
      </x:c>
      <x:c r="Q429" s="208" t="str">
        <x:v>Wave 2 (31–60 дней)</x:v>
      </x:c>
    </x:row>
    <x:row r="430">
      <x:c r="A430" s="206" t="str">
        <x:v>DEC-00426</x:v>
      </x:c>
      <x:c r="B430" s="207" t="str">
        <x:v>Production order</x:v>
      </x:c>
      <x:c r="C430" s="207" t="str">
        <x:v>PO-DRAFT-0150</x:v>
      </x:c>
      <x:c r="D430" s="207" t="str">
        <x:v>canonical_sku; qty; production_status; actual_completion_date; production_order_owner</x:v>
      </x:c>
      <x:c r="E430" s="207" t="str">
        <x:v>08-04-26/4 | 0-3371А | рубашка, батист вишни черн</x:v>
      </x:c>
      <x:c r="F430" s="207" t="str">
        <x:v>Подтвердить модель/SKU, количество, сроки и статус</x:v>
      </x:c>
      <x:c r="G430" s="207" t="str">
        <x:v>Производство</x:v>
      </x:c>
      <x:c r="H430" s="207" t="str">
        <x:v>Критический</x:v>
      </x:c>
      <x:c r="I430" s="207" t="str">
        <x:v>Lead time; WIP; order cost</x:v>
      </x:c>
      <x:c r="J430" s="207" t="str">
        <x:v>План сдач row 251</x:v>
      </x:c>
      <x:c r="K430" s="207" t="str"/>
      <x:c r="L430" s="207" t="str"/>
      <x:c r="M430" s="207" t="str">
        <x:v>Не рассмотрено</x:v>
      </x:c>
      <x:c r="N430" s="207" t="str"/>
      <x:c r="O430" s="207" t="str">
        <x:v>17</x:v>
      </x:c>
      <x:c r="P430" s="207" t="n">
        <x:v>4</x:v>
      </x:c>
      <x:c r="Q430" s="208" t="str">
        <x:v>Wave 1 (0–30 дней)</x:v>
      </x:c>
    </x:row>
    <x:row r="431">
      <x:c r="A431" s="206" t="str">
        <x:v>DEC-00427</x:v>
      </x:c>
      <x:c r="B431" s="207" t="str">
        <x:v>Production order</x:v>
      </x:c>
      <x:c r="C431" s="207" t="str">
        <x:v>PO-DRAFT-0151</x:v>
      </x:c>
      <x:c r="D431" s="207" t="str">
        <x:v>canonical_sku; qty; production_status; actual_completion_date; production_order_owner</x:v>
      </x:c>
      <x:c r="E431" s="207" t="str">
        <x:v>08-04-26/5 | 0-3372А | брюки, батист вишни черн</x:v>
      </x:c>
      <x:c r="F431" s="207" t="str">
        <x:v>Подтвердить модель/SKU, количество, сроки и статус</x:v>
      </x:c>
      <x:c r="G431" s="207" t="str">
        <x:v>Производство</x:v>
      </x:c>
      <x:c r="H431" s="207" t="str">
        <x:v>Критический</x:v>
      </x:c>
      <x:c r="I431" s="207" t="str">
        <x:v>Lead time; WIP; order cost</x:v>
      </x:c>
      <x:c r="J431" s="207" t="str">
        <x:v>План сдач row 252</x:v>
      </x:c>
      <x:c r="K431" s="207" t="str"/>
      <x:c r="L431" s="207" t="str"/>
      <x:c r="M431" s="207" t="str">
        <x:v>Не рассмотрено</x:v>
      </x:c>
      <x:c r="N431" s="207" t="str"/>
      <x:c r="O431" s="207" t="str">
        <x:v>17</x:v>
      </x:c>
      <x:c r="P431" s="207" t="n">
        <x:v>4</x:v>
      </x:c>
      <x:c r="Q431" s="208" t="str">
        <x:v>Wave 1 (0–30 дней)</x:v>
      </x:c>
    </x:row>
    <x:row r="432">
      <x:c r="A432" s="206" t="str">
        <x:v>DEC-00428</x:v>
      </x:c>
      <x:c r="B432" s="207" t="str">
        <x:v>Production order</x:v>
      </x:c>
      <x:c r="C432" s="207" t="str">
        <x:v>PO-DRAFT-0152</x:v>
      </x:c>
      <x:c r="D432" s="207" t="str">
        <x:v>canonical_sku; qty; production_status; actual_completion_date; production_order_owner</x:v>
      </x:c>
      <x:c r="E432" s="207" t="str">
        <x:v>08-04-26/6 | 0-3373А | шорты, батист вишни черн</x:v>
      </x:c>
      <x:c r="F432" s="207" t="str">
        <x:v>Подтвердить модель/SKU, количество, сроки и статус</x:v>
      </x:c>
      <x:c r="G432" s="207" t="str">
        <x:v>Производство</x:v>
      </x:c>
      <x:c r="H432" s="207" t="str">
        <x:v>Критический</x:v>
      </x:c>
      <x:c r="I432" s="207" t="str">
        <x:v>Lead time; WIP; order cost</x:v>
      </x:c>
      <x:c r="J432" s="207" t="str">
        <x:v>План сдач row 253</x:v>
      </x:c>
      <x:c r="K432" s="207" t="str"/>
      <x:c r="L432" s="207" t="str"/>
      <x:c r="M432" s="207" t="str">
        <x:v>Не рассмотрено</x:v>
      </x:c>
      <x:c r="N432" s="207" t="str"/>
      <x:c r="O432" s="207" t="str">
        <x:v>17</x:v>
      </x:c>
      <x:c r="P432" s="207" t="n">
        <x:v>4</x:v>
      </x:c>
      <x:c r="Q432" s="208" t="str">
        <x:v>Wave 1 (0–30 дней)</x:v>
      </x:c>
    </x:row>
    <x:row r="433">
      <x:c r="A433" s="206" t="str">
        <x:v>DEC-00429</x:v>
      </x:c>
      <x:c r="B433" s="207" t="str">
        <x:v>Production order</x:v>
      </x:c>
      <x:c r="C433" s="207" t="str">
        <x:v>PO-DRAFT-0153</x:v>
      </x:c>
      <x:c r="D433" s="207" t="str">
        <x:v>model_code; canonical_sku; qty; production_status; actual_completion_date; production_order_owner</x:v>
      </x:c>
      <x:c r="E433" s="207" t="str">
        <x:v>08-04-26/7 |  | платок-парео, шифон черн</x:v>
      </x:c>
      <x:c r="F433" s="207" t="str">
        <x:v>Подтвердить модель/SKU, количество, сроки и статус</x:v>
      </x:c>
      <x:c r="G433" s="207" t="str">
        <x:v>Производство</x:v>
      </x:c>
      <x:c r="H433" s="207" t="str">
        <x:v>Критический</x:v>
      </x:c>
      <x:c r="I433" s="207" t="str">
        <x:v>Lead time; WIP; order cost</x:v>
      </x:c>
      <x:c r="J433" s="207" t="str">
        <x:v>План сдач row 254</x:v>
      </x:c>
      <x:c r="K433" s="207" t="str"/>
      <x:c r="L433" s="207" t="str"/>
      <x:c r="M433" s="207" t="str">
        <x:v>Не рассмотрено</x:v>
      </x:c>
      <x:c r="N433" s="207" t="str"/>
      <x:c r="O433" s="207" t="str">
        <x:v>17</x:v>
      </x:c>
      <x:c r="P433" s="207" t="n">
        <x:v>4</x:v>
      </x:c>
      <x:c r="Q433" s="208" t="str">
        <x:v>Wave 1 (0–30 дней)</x:v>
      </x:c>
    </x:row>
    <x:row r="434">
      <x:c r="A434" s="206" t="str">
        <x:v>DEC-00430</x:v>
      </x:c>
      <x:c r="B434" s="207" t="str">
        <x:v>Production order</x:v>
      </x:c>
      <x:c r="C434" s="207" t="str">
        <x:v>PO-DRAFT-0154</x:v>
      </x:c>
      <x:c r="D434" s="207" t="str">
        <x:v>canonical_sku; qty; production_status; actual_completion_date; production_order_owner</x:v>
      </x:c>
      <x:c r="E434" s="207" t="str">
        <x:v>11-06-26 | 0-3400 | платье с выш рукавами, батист олив (добавить длину по полочке)</x:v>
      </x:c>
      <x:c r="F434" s="207" t="str">
        <x:v>Подтвердить модель/SKU, количество, сроки и статус</x:v>
      </x:c>
      <x:c r="G434" s="207" t="str">
        <x:v>Производство</x:v>
      </x:c>
      <x:c r="H434" s="207" t="str">
        <x:v>Критический</x:v>
      </x:c>
      <x:c r="I434" s="207" t="str">
        <x:v>Lead time; WIP; order cost</x:v>
      </x:c>
      <x:c r="J434" s="207" t="str">
        <x:v>План сдач row 255</x:v>
      </x:c>
      <x:c r="K434" s="207" t="str"/>
      <x:c r="L434" s="207" t="str"/>
      <x:c r="M434" s="207" t="str">
        <x:v>Не рассмотрено</x:v>
      </x:c>
      <x:c r="N434" s="207" t="str"/>
      <x:c r="O434" s="207" t="str">
        <x:v>17</x:v>
      </x:c>
      <x:c r="P434" s="207" t="n">
        <x:v>4</x:v>
      </x:c>
      <x:c r="Q434" s="208" t="str">
        <x:v>Wave 1 (0–30 дней)</x:v>
      </x:c>
    </x:row>
    <x:row r="435">
      <x:c r="A435" s="206" t="str">
        <x:v>DEC-00431</x:v>
      </x:c>
      <x:c r="B435" s="207" t="str">
        <x:v>Production order</x:v>
      </x:c>
      <x:c r="C435" s="207" t="str">
        <x:v>PO-DRAFT-0155</x:v>
      </x:c>
      <x:c r="D435" s="207" t="str">
        <x:v>canonical_sku; qty; production_status; actual_completion_date; production_order_owner</x:v>
      </x:c>
      <x:c r="E435" s="207" t="str">
        <x:v>07-04-26/1 | 0-3400 | платье с вышит рукавами, батист олив (С ИЗМЕНЕН)</x:v>
      </x:c>
      <x:c r="F435" s="207" t="str">
        <x:v>Подтвердить модель/SKU, количество, сроки и статус</x:v>
      </x:c>
      <x:c r="G435" s="207" t="str">
        <x:v>Производство</x:v>
      </x:c>
      <x:c r="H435" s="207" t="str">
        <x:v>Критический</x:v>
      </x:c>
      <x:c r="I435" s="207" t="str">
        <x:v>Lead time; WIP; order cost</x:v>
      </x:c>
      <x:c r="J435" s="207" t="str">
        <x:v>План сдач row 258</x:v>
      </x:c>
      <x:c r="K435" s="207" t="str"/>
      <x:c r="L435" s="207" t="str"/>
      <x:c r="M435" s="207" t="str">
        <x:v>Не рассмотрено</x:v>
      </x:c>
      <x:c r="N435" s="207" t="str"/>
      <x:c r="O435" s="207" t="str">
        <x:v>17</x:v>
      </x:c>
      <x:c r="P435" s="207" t="n">
        <x:v>4</x:v>
      </x:c>
      <x:c r="Q435" s="208" t="str">
        <x:v>Wave 1 (0–30 дней)</x:v>
      </x:c>
    </x:row>
    <x:row r="436">
      <x:c r="A436" s="206" t="str">
        <x:v>DEC-00432</x:v>
      </x:c>
      <x:c r="B436" s="207" t="str">
        <x:v>Production order</x:v>
      </x:c>
      <x:c r="C436" s="207" t="str">
        <x:v>PO-DRAFT-0156</x:v>
      </x:c>
      <x:c r="D436" s="207" t="str">
        <x:v>due_date; canonical_sku; qty; production_status; actual_completion_date; production_order_owner</x:v>
      </x:c>
      <x:c r="E436" s="207" t="str">
        <x:v>07-04-26/2 | 0-2352 | пальто с бахромой и вышит рук, Шанель табачно-золот 8-028</x:v>
      </x:c>
      <x:c r="F436" s="207" t="str">
        <x:v>Подтвердить модель/SKU, количество, сроки и статус</x:v>
      </x:c>
      <x:c r="G436" s="207" t="str">
        <x:v>Производство</x:v>
      </x:c>
      <x:c r="H436" s="207" t="str">
        <x:v>Критический</x:v>
      </x:c>
      <x:c r="I436" s="207" t="str">
        <x:v>Lead time; WIP; order cost</x:v>
      </x:c>
      <x:c r="J436" s="207" t="str">
        <x:v>План сдач row 259</x:v>
      </x:c>
      <x:c r="K436" s="207" t="str"/>
      <x:c r="L436" s="207" t="str"/>
      <x:c r="M436" s="207" t="str">
        <x:v>Не рассмотрено</x:v>
      </x:c>
      <x:c r="N436" s="207" t="str"/>
      <x:c r="O436" s="207" t="str">
        <x:v>17</x:v>
      </x:c>
      <x:c r="P436" s="207" t="n">
        <x:v>4</x:v>
      </x:c>
      <x:c r="Q436" s="208" t="str">
        <x:v>Wave 1 (0–30 дней)</x:v>
      </x:c>
    </x:row>
    <x:row r="437">
      <x:c r="A437" s="206" t="str">
        <x:v>DEC-00433</x:v>
      </x:c>
      <x:c r="B437" s="207" t="str">
        <x:v>Production order</x:v>
      </x:c>
      <x:c r="C437" s="207" t="str">
        <x:v>PO-DRAFT-0157</x:v>
      </x:c>
      <x:c r="D437" s="207" t="str">
        <x:v>canonical_sku; qty; production_status; actual_completion_date; production_order_owner</x:v>
      </x:c>
      <x:c r="E437" s="207" t="str">
        <x:v>05-05-26 | 0-3384 | кафтан, с изменениями, хлопок беж + рафия беж</x:v>
      </x:c>
      <x:c r="F437" s="207" t="str">
        <x:v>Подтвердить модель/SKU, количество, сроки и статус</x:v>
      </x:c>
      <x:c r="G437" s="207" t="str">
        <x:v>Производство</x:v>
      </x:c>
      <x:c r="H437" s="207" t="str">
        <x:v>Критический</x:v>
      </x:c>
      <x:c r="I437" s="207" t="str">
        <x:v>Lead time; WIP; order cost</x:v>
      </x:c>
      <x:c r="J437" s="207" t="str">
        <x:v>План сдач row 260</x:v>
      </x:c>
      <x:c r="K437" s="207" t="str"/>
      <x:c r="L437" s="207" t="str"/>
      <x:c r="M437" s="207" t="str">
        <x:v>Не рассмотрено</x:v>
      </x:c>
      <x:c r="N437" s="207" t="str"/>
      <x:c r="O437" s="207" t="str">
        <x:v>17</x:v>
      </x:c>
      <x:c r="P437" s="207" t="n">
        <x:v>4</x:v>
      </x:c>
      <x:c r="Q437" s="208" t="str">
        <x:v>Wave 1 (0–30 дней)</x:v>
      </x:c>
    </x:row>
    <x:row r="438">
      <x:c r="A438" s="206" t="str">
        <x:v>DEC-00434</x:v>
      </x:c>
      <x:c r="B438" s="207" t="str">
        <x:v>Production order</x:v>
      </x:c>
      <x:c r="C438" s="207" t="str">
        <x:v>PO-DRAFT-0158</x:v>
      </x:c>
      <x:c r="D438" s="207" t="str">
        <x:v>canonical_sku; qty; production_status; actual_completion_date; production_order_owner</x:v>
      </x:c>
      <x:c r="E438" s="207" t="str">
        <x:v>01-02-26/1 | 44-22 | платье, зелен шифон, вышивка по 40-18 красные цветы</x:v>
      </x:c>
      <x:c r="F438" s="207" t="str">
        <x:v>Подтвердить модель/SKU, количество, сроки и статус</x:v>
      </x:c>
      <x:c r="G438" s="207" t="str">
        <x:v>Производство</x:v>
      </x:c>
      <x:c r="H438" s="207" t="str">
        <x:v>Критический</x:v>
      </x:c>
      <x:c r="I438" s="207" t="str">
        <x:v>Lead time; WIP; order cost</x:v>
      </x:c>
      <x:c r="J438" s="207" t="str">
        <x:v>План сдач row 263</x:v>
      </x:c>
      <x:c r="K438" s="207" t="str"/>
      <x:c r="L438" s="207" t="str"/>
      <x:c r="M438" s="207" t="str">
        <x:v>Не рассмотрено</x:v>
      </x:c>
      <x:c r="N438" s="207" t="str"/>
      <x:c r="O438" s="207" t="str">
        <x:v>17</x:v>
      </x:c>
      <x:c r="P438" s="207" t="n">
        <x:v>4</x:v>
      </x:c>
      <x:c r="Q438" s="208" t="str">
        <x:v>Wave 1 (0–30 дней)</x:v>
      </x:c>
    </x:row>
    <x:row r="439">
      <x:c r="A439" s="206" t="str">
        <x:v>DEC-00435</x:v>
      </x:c>
      <x:c r="B439" s="207" t="str">
        <x:v>Production order</x:v>
      </x:c>
      <x:c r="C439" s="207" t="str">
        <x:v>PO-DRAFT-0159</x:v>
      </x:c>
      <x:c r="D439" s="207" t="str">
        <x:v>canonical_sku; qty; production_status; actual_completion_date; production_order_owner</x:v>
      </x:c>
      <x:c r="E439" s="207" t="str">
        <x:v>01-02-26/2 | эскиз | брюки, зелен шифон, подкладка - шортики, зелен шелк</x:v>
      </x:c>
      <x:c r="F439" s="207" t="str">
        <x:v>Подтвердить модель/SKU, количество, сроки и статус</x:v>
      </x:c>
      <x:c r="G439" s="207" t="str">
        <x:v>Производство</x:v>
      </x:c>
      <x:c r="H439" s="207" t="str">
        <x:v>Критический</x:v>
      </x:c>
      <x:c r="I439" s="207" t="str">
        <x:v>Lead time; WIP; order cost</x:v>
      </x:c>
      <x:c r="J439" s="207" t="str">
        <x:v>План сдач row 264</x:v>
      </x:c>
      <x:c r="K439" s="207" t="str"/>
      <x:c r="L439" s="207" t="str"/>
      <x:c r="M439" s="207" t="str">
        <x:v>Не рассмотрено</x:v>
      </x:c>
      <x:c r="N439" s="207" t="str"/>
      <x:c r="O439" s="207" t="str">
        <x:v>17</x:v>
      </x:c>
      <x:c r="P439" s="207" t="n">
        <x:v>4</x:v>
      </x:c>
      <x:c r="Q439" s="208" t="str">
        <x:v>Wave 1 (0–30 дней)</x:v>
      </x:c>
    </x:row>
    <x:row r="440">
      <x:c r="A440" s="206" t="str">
        <x:v>DEC-00436</x:v>
      </x:c>
      <x:c r="B440" s="207" t="str">
        <x:v>Production order</x:v>
      </x:c>
      <x:c r="C440" s="207" t="str">
        <x:v>PO-DRAFT-0160</x:v>
      </x:c>
      <x:c r="D440" s="207" t="str">
        <x:v>canonical_sku; qty; production_status; actual_completion_date; production_order_owner</x:v>
      </x:c>
      <x:c r="E440" s="207" t="str">
        <x:v>08-05-26 | 0-3120 | платье с рукавами, шелк черный с принтом микс</x:v>
      </x:c>
      <x:c r="F440" s="207" t="str">
        <x:v>Подтвердить модель/SKU, количество, сроки и статус</x:v>
      </x:c>
      <x:c r="G440" s="207" t="str">
        <x:v>Производство</x:v>
      </x:c>
      <x:c r="H440" s="207" t="str">
        <x:v>Критический</x:v>
      </x:c>
      <x:c r="I440" s="207" t="str">
        <x:v>Lead time; WIP; order cost</x:v>
      </x:c>
      <x:c r="J440" s="207" t="str">
        <x:v>План сдач row 265</x:v>
      </x:c>
      <x:c r="K440" s="207" t="str"/>
      <x:c r="L440" s="207" t="str"/>
      <x:c r="M440" s="207" t="str">
        <x:v>Не рассмотрено</x:v>
      </x:c>
      <x:c r="N440" s="207" t="str"/>
      <x:c r="O440" s="207" t="str">
        <x:v>17</x:v>
      </x:c>
      <x:c r="P440" s="207" t="n">
        <x:v>4</x:v>
      </x:c>
      <x:c r="Q440" s="208" t="str">
        <x:v>Wave 1 (0–30 дней)</x:v>
      </x:c>
    </x:row>
    <x:row r="441">
      <x:c r="A441" s="206" t="str">
        <x:v>DEC-00437</x:v>
      </x:c>
      <x:c r="B441" s="207" t="str">
        <x:v>Production order</x:v>
      </x:c>
      <x:c r="C441" s="207" t="str">
        <x:v>PO-DRAFT-0161</x:v>
      </x:c>
      <x:c r="D441" s="207" t="str">
        <x:v>due_date; canonical_sku; qty; production_status; actual_completion_date; production_order_owner</x:v>
      </x:c>
      <x:c r="E441" s="207" t="str">
        <x:v>09-07-24/1 | 21-29 | платье длин "черн перья" на черн сетке</x:v>
      </x:c>
      <x:c r="F441" s="207" t="str">
        <x:v>Подтвердить модель/SKU, количество, сроки и статус</x:v>
      </x:c>
      <x:c r="G441" s="207" t="str">
        <x:v>Производство</x:v>
      </x:c>
      <x:c r="H441" s="207" t="str">
        <x:v>Критический</x:v>
      </x:c>
      <x:c r="I441" s="207" t="str">
        <x:v>Lead time; WIP; order cost</x:v>
      </x:c>
      <x:c r="J441" s="207" t="str">
        <x:v>План сдач row 268</x:v>
      </x:c>
      <x:c r="K441" s="207" t="str"/>
      <x:c r="L441" s="207" t="str"/>
      <x:c r="M441" s="207" t="str">
        <x:v>Не рассмотрено</x:v>
      </x:c>
      <x:c r="N441" s="207" t="str"/>
      <x:c r="O441" s="207" t="str">
        <x:v>17</x:v>
      </x:c>
      <x:c r="P441" s="207" t="n">
        <x:v>4</x:v>
      </x:c>
      <x:c r="Q441" s="208" t="str">
        <x:v>Wave 1 (0–30 дней)</x:v>
      </x:c>
    </x:row>
    <x:row r="442">
      <x:c r="A442" s="206" t="str">
        <x:v>DEC-00438</x:v>
      </x:c>
      <x:c r="B442" s="207" t="str">
        <x:v>Production order</x:v>
      </x:c>
      <x:c r="C442" s="207" t="str">
        <x:v>PO-DRAFT-0162</x:v>
      </x:c>
      <x:c r="D442" s="207" t="str">
        <x:v>canonical_sku; qty; production_status; actual_completion_date; production_order_owner</x:v>
      </x:c>
      <x:c r="E442" s="207" t="str">
        <x:v>15-10-25/1 | 38-20 | платье длин, с сереб вышивкой, бархат шелков синий</x:v>
      </x:c>
      <x:c r="F442" s="207" t="str">
        <x:v>Подтвердить модель/SKU, количество, сроки и статус</x:v>
      </x:c>
      <x:c r="G442" s="207" t="str">
        <x:v>Производство</x:v>
      </x:c>
      <x:c r="H442" s="207" t="str">
        <x:v>Критический</x:v>
      </x:c>
      <x:c r="I442" s="207" t="str">
        <x:v>Lead time; WIP; order cost</x:v>
      </x:c>
      <x:c r="J442" s="207" t="str">
        <x:v>План сдач row 269</x:v>
      </x:c>
      <x:c r="K442" s="207" t="str"/>
      <x:c r="L442" s="207" t="str"/>
      <x:c r="M442" s="207" t="str">
        <x:v>Не рассмотрено</x:v>
      </x:c>
      <x:c r="N442" s="207" t="str"/>
      <x:c r="O442" s="207" t="str">
        <x:v>17</x:v>
      </x:c>
      <x:c r="P442" s="207" t="n">
        <x:v>4</x:v>
      </x:c>
      <x:c r="Q442" s="208" t="str">
        <x:v>Wave 1 (0–30 дней)</x:v>
      </x:c>
    </x:row>
    <x:row r="443">
      <x:c r="A443" s="206" t="str">
        <x:v>DEC-00439</x:v>
      </x:c>
      <x:c r="B443" s="207" t="str">
        <x:v>Production order</x:v>
      </x:c>
      <x:c r="C443" s="207" t="str">
        <x:v>PO-DRAFT-0163</x:v>
      </x:c>
      <x:c r="D443" s="207" t="str">
        <x:v>canonical_sku; qty; production_status; actual_completion_date; production_order_owner</x:v>
      </x:c>
      <x:c r="E443" s="207" t="str">
        <x:v>02-01-26 | 28-07 | пальто с выш, бархат х/б черн, мех - норка черн</x:v>
      </x:c>
      <x:c r="F443" s="207" t="str">
        <x:v>Подтвердить модель/SKU, количество, сроки и статус</x:v>
      </x:c>
      <x:c r="G443" s="207" t="str">
        <x:v>Производство</x:v>
      </x:c>
      <x:c r="H443" s="207" t="str">
        <x:v>Критический</x:v>
      </x:c>
      <x:c r="I443" s="207" t="str">
        <x:v>Lead time; WIP; order cost</x:v>
      </x:c>
      <x:c r="J443" s="207" t="str">
        <x:v>План сдач row 270</x:v>
      </x:c>
      <x:c r="K443" s="207" t="str"/>
      <x:c r="L443" s="207" t="str"/>
      <x:c r="M443" s="207" t="str">
        <x:v>Не рассмотрено</x:v>
      </x:c>
      <x:c r="N443" s="207" t="str"/>
      <x:c r="O443" s="207" t="str">
        <x:v>17</x:v>
      </x:c>
      <x:c r="P443" s="207" t="n">
        <x:v>4</x:v>
      </x:c>
      <x:c r="Q443" s="208" t="str">
        <x:v>Wave 1 (0–30 дней)</x:v>
      </x:c>
    </x:row>
    <x:row r="444">
      <x:c r="A444" s="206" t="str">
        <x:v>DEC-00440</x:v>
      </x:c>
      <x:c r="B444" s="207" t="str">
        <x:v>Operation</x:v>
      </x:c>
      <x:c r="C444" s="207" t="str">
        <x:v>OP-DRAFT-00001</x:v>
      </x:c>
      <x:c r="D444" s="207" t="str">
        <x:v>model_id/canonical_sku; production_order_id; operation_type_id; planned_hours; actual_hours; output_qty; defect_qty; completion_status</x:v>
      </x:c>
      <x:c r="E444" s="207" t="str">
        <x:v>ЦУМ</x:v>
      </x:c>
      <x:c r="F444" s="207" t="str">
        <x:v>Назначить production_order_id, operation_type, дату и факт часов</x:v>
      </x:c>
      <x:c r="G444" s="207" t="str">
        <x:v>Производство</x:v>
      </x:c>
      <x:c r="H444" s="207" t="str">
        <x:v>Высокий</x:v>
      </x:c>
      <x:c r="I444" s="207" t="str">
        <x:v>Загрузка; производительность; фактическая cost</x:v>
      </x:c>
      <x:c r="J444" s="207" t="str">
        <x:v>Планирование C4</x:v>
      </x:c>
      <x:c r="K444" s="207" t="str"/>
      <x:c r="L444" s="207" t="str"/>
      <x:c r="M444" s="207" t="str">
        <x:v>Не рассмотрено</x:v>
      </x:c>
      <x:c r="N444" s="207" t="str"/>
      <x:c r="O444" s="207" t="str">
        <x:v>17</x:v>
      </x:c>
      <x:c r="P444" s="207" t="n">
        <x:v>3</x:v>
      </x:c>
      <x:c r="Q444" s="208" t="str">
        <x:v>Wave 2 (31–60 дней)</x:v>
      </x:c>
    </x:row>
    <x:row r="445">
      <x:c r="A445" s="206" t="str">
        <x:v>DEC-00441</x:v>
      </x:c>
      <x:c r="B445" s="207" t="str">
        <x:v>Operation</x:v>
      </x:c>
      <x:c r="C445" s="207" t="str">
        <x:v>OP-DRAFT-00002</x:v>
      </x:c>
      <x:c r="D445" s="207" t="str">
        <x:v>production_order_id; operation_type_id; planned_hours; actual_hours; output_qty; defect_qty; completion_status</x:v>
      </x:c>
      <x:c r="E445" s="207" t="str">
        <x:v>48-30</x:v>
      </x:c>
      <x:c r="F445" s="207" t="str">
        <x:v>Назначить production_order_id, operation_type, дату и факт часов</x:v>
      </x:c>
      <x:c r="G445" s="207" t="str">
        <x:v>Производство</x:v>
      </x:c>
      <x:c r="H445" s="207" t="str">
        <x:v>Высокий</x:v>
      </x:c>
      <x:c r="I445" s="207" t="str">
        <x:v>Загрузка; производительность; фактическая cost</x:v>
      </x:c>
      <x:c r="J445" s="207" t="str">
        <x:v>Планирование O4</x:v>
      </x:c>
      <x:c r="K445" s="207" t="str"/>
      <x:c r="L445" s="207" t="str"/>
      <x:c r="M445" s="207" t="str">
        <x:v>Не рассмотрено</x:v>
      </x:c>
      <x:c r="N445" s="207" t="str"/>
      <x:c r="O445" s="207" t="str">
        <x:v>17</x:v>
      </x:c>
      <x:c r="P445" s="207" t="n">
        <x:v>3</x:v>
      </x:c>
      <x:c r="Q445" s="208" t="str">
        <x:v>Wave 2 (31–60 дней)</x:v>
      </x:c>
    </x:row>
    <x:row r="446">
      <x:c r="A446" s="206" t="str">
        <x:v>DEC-00442</x:v>
      </x:c>
      <x:c r="B446" s="207" t="str">
        <x:v>Operation</x:v>
      </x:c>
      <x:c r="C446" s="207" t="str">
        <x:v>OP-DRAFT-00003</x:v>
      </x:c>
      <x:c r="D446" s="207" t="str">
        <x:v>model_id/canonical_sku; production_order_id; operation_type_id; planned_hours; actual_hours; output_qty; defect_qty; completion_status</x:v>
      </x:c>
      <x:c r="E446" s="207" t="str">
        <x:v>РЕМОНТ</x:v>
      </x:c>
      <x:c r="F446" s="207" t="str">
        <x:v>Назначить production_order_id, operation_type, дату и факт часов</x:v>
      </x:c>
      <x:c r="G446" s="207" t="str">
        <x:v>Производство</x:v>
      </x:c>
      <x:c r="H446" s="207" t="str">
        <x:v>Высокий</x:v>
      </x:c>
      <x:c r="I446" s="207" t="str">
        <x:v>Загрузка; производительность; фактическая cost</x:v>
      </x:c>
      <x:c r="J446" s="207" t="str">
        <x:v>Планирование R4</x:v>
      </x:c>
      <x:c r="K446" s="207" t="str"/>
      <x:c r="L446" s="207" t="str"/>
      <x:c r="M446" s="207" t="str">
        <x:v>Не рассмотрено</x:v>
      </x:c>
      <x:c r="N446" s="207" t="str"/>
      <x:c r="O446" s="207" t="str">
        <x:v>17</x:v>
      </x:c>
      <x:c r="P446" s="207" t="n">
        <x:v>3</x:v>
      </x:c>
      <x:c r="Q446" s="208" t="str">
        <x:v>Wave 2 (31–60 дней)</x:v>
      </x:c>
    </x:row>
    <x:row r="447">
      <x:c r="A447" s="206" t="str">
        <x:v>DEC-00443</x:v>
      </x:c>
      <x:c r="B447" s="207" t="str">
        <x:v>Operation</x:v>
      </x:c>
      <x:c r="C447" s="207" t="str">
        <x:v>OP-DRAFT-00004</x:v>
      </x:c>
      <x:c r="D447" s="207" t="str">
        <x:v>model_id/canonical_sku; production_order_id; operation_type_id; planned_hours; actual_hours; output_qty; defect_qty; completion_status</x:v>
      </x:c>
      <x:c r="E447" s="207" t="str">
        <x:v>РЕМОНТ</x:v>
      </x:c>
      <x:c r="F447" s="207" t="str">
        <x:v>Назначить production_order_id, operation_type, дату и факт часов</x:v>
      </x:c>
      <x:c r="G447" s="207" t="str">
        <x:v>Производство</x:v>
      </x:c>
      <x:c r="H447" s="207" t="str">
        <x:v>Высокий</x:v>
      </x:c>
      <x:c r="I447" s="207" t="str">
        <x:v>Загрузка; производительность; фактическая cost</x:v>
      </x:c>
      <x:c r="J447" s="207" t="str">
        <x:v>Планирование S4</x:v>
      </x:c>
      <x:c r="K447" s="207" t="str"/>
      <x:c r="L447" s="207" t="str"/>
      <x:c r="M447" s="207" t="str">
        <x:v>Не рассмотрено</x:v>
      </x:c>
      <x:c r="N447" s="207" t="str"/>
      <x:c r="O447" s="207" t="str">
        <x:v>17</x:v>
      </x:c>
      <x:c r="P447" s="207" t="n">
        <x:v>3</x:v>
      </x:c>
      <x:c r="Q447" s="208" t="str">
        <x:v>Wave 2 (31–60 дней)</x:v>
      </x:c>
    </x:row>
    <x:row r="448">
      <x:c r="A448" s="206" t="str">
        <x:v>DEC-00444</x:v>
      </x:c>
      <x:c r="B448" s="207" t="str">
        <x:v>Operation</x:v>
      </x:c>
      <x:c r="C448" s="207" t="str">
        <x:v>OP-DRAFT-00005</x:v>
      </x:c>
      <x:c r="D448" s="207" t="str">
        <x:v>model_id/canonical_sku; production_order_id; operation_type_id; planned_hours; actual_hours; output_qty; defect_qty; completion_status</x:v>
      </x:c>
      <x:c r="E448" s="207" t="str">
        <x:v>РЕМОНТ</x:v>
      </x:c>
      <x:c r="F448" s="207" t="str">
        <x:v>Назначить production_order_id, operation_type, дату и факт часов</x:v>
      </x:c>
      <x:c r="G448" s="207" t="str">
        <x:v>Производство</x:v>
      </x:c>
      <x:c r="H448" s="207" t="str">
        <x:v>Высокий</x:v>
      </x:c>
      <x:c r="I448" s="207" t="str">
        <x:v>Загрузка; производительность; фактическая cost</x:v>
      </x:c>
      <x:c r="J448" s="207" t="str">
        <x:v>Планирование V4</x:v>
      </x:c>
      <x:c r="K448" s="207" t="str"/>
      <x:c r="L448" s="207" t="str"/>
      <x:c r="M448" s="207" t="str">
        <x:v>Не рассмотрено</x:v>
      </x:c>
      <x:c r="N448" s="207" t="str"/>
      <x:c r="O448" s="207" t="str">
        <x:v>17</x:v>
      </x:c>
      <x:c r="P448" s="207" t="n">
        <x:v>3</x:v>
      </x:c>
      <x:c r="Q448" s="208" t="str">
        <x:v>Wave 2 (31–60 дней)</x:v>
      </x:c>
    </x:row>
    <x:row r="449">
      <x:c r="A449" s="206" t="str">
        <x:v>DEC-00445</x:v>
      </x:c>
      <x:c r="B449" s="207" t="str">
        <x:v>Operation</x:v>
      </x:c>
      <x:c r="C449" s="207" t="str">
        <x:v>OP-DRAFT-00006</x:v>
      </x:c>
      <x:c r="D449" s="207" t="str">
        <x:v>model_id/canonical_sku; production_order_id; operation_type_id; planned_hours; actual_hours; output_qty; defect_qty; completion_status</x:v>
      </x:c>
      <x:c r="E449" s="207" t="str">
        <x:v>РЕМОНТ</x:v>
      </x:c>
      <x:c r="F449" s="207" t="str">
        <x:v>Назначить production_order_id, operation_type, дату и факт часов</x:v>
      </x:c>
      <x:c r="G449" s="207" t="str">
        <x:v>Производство</x:v>
      </x:c>
      <x:c r="H449" s="207" t="str">
        <x:v>Высокий</x:v>
      </x:c>
      <x:c r="I449" s="207" t="str">
        <x:v>Загрузка; производительность; фактическая cost</x:v>
      </x:c>
      <x:c r="J449" s="207" t="str">
        <x:v>Планирование W4</x:v>
      </x:c>
      <x:c r="K449" s="207" t="str"/>
      <x:c r="L449" s="207" t="str"/>
      <x:c r="M449" s="207" t="str">
        <x:v>Не рассмотрено</x:v>
      </x:c>
      <x:c r="N449" s="207" t="str"/>
      <x:c r="O449" s="207" t="str">
        <x:v>17</x:v>
      </x:c>
      <x:c r="P449" s="207" t="n">
        <x:v>3</x:v>
      </x:c>
      <x:c r="Q449" s="208" t="str">
        <x:v>Wave 2 (31–60 дней)</x:v>
      </x:c>
    </x:row>
    <x:row r="450">
      <x:c r="A450" s="206" t="str">
        <x:v>DEC-00446</x:v>
      </x:c>
      <x:c r="B450" s="207" t="str">
        <x:v>Operation</x:v>
      </x:c>
      <x:c r="C450" s="207" t="str">
        <x:v>OP-DRAFT-00007</x:v>
      </x:c>
      <x:c r="D450" s="207" t="str">
        <x:v>model_id/canonical_sku; production_order_id; operation_type_id; planned_hours; actual_hours; output_qty; defect_qty; completion_status</x:v>
      </x:c>
      <x:c r="E450" s="207" t="str">
        <x:v>РЕМОНТ</x:v>
      </x:c>
      <x:c r="F450" s="207" t="str">
        <x:v>Назначить production_order_id, operation_type, дату и факт часов</x:v>
      </x:c>
      <x:c r="G450" s="207" t="str">
        <x:v>Производство</x:v>
      </x:c>
      <x:c r="H450" s="207" t="str">
        <x:v>Высокий</x:v>
      </x:c>
      <x:c r="I450" s="207" t="str">
        <x:v>Загрузка; производительность; фактическая cost</x:v>
      </x:c>
      <x:c r="J450" s="207" t="str">
        <x:v>Планирование X4</x:v>
      </x:c>
      <x:c r="K450" s="207" t="str"/>
      <x:c r="L450" s="207" t="str"/>
      <x:c r="M450" s="207" t="str">
        <x:v>Не рассмотрено</x:v>
      </x:c>
      <x:c r="N450" s="207" t="str"/>
      <x:c r="O450" s="207" t="str">
        <x:v>17</x:v>
      </x:c>
      <x:c r="P450" s="207" t="n">
        <x:v>3</x:v>
      </x:c>
      <x:c r="Q450" s="208" t="str">
        <x:v>Wave 2 (31–60 дней)</x:v>
      </x:c>
    </x:row>
    <x:row r="451">
      <x:c r="A451" s="206" t="str">
        <x:v>DEC-00447</x:v>
      </x:c>
      <x:c r="B451" s="207" t="str">
        <x:v>Operation</x:v>
      </x:c>
      <x:c r="C451" s="207" t="str">
        <x:v>OP-DRAFT-00008</x:v>
      </x:c>
      <x:c r="D451" s="207" t="str">
        <x:v>model_id/canonical_sku; production_order_id; operation_type_id; planned_hours; actual_hours; output_qty; defect_qty; completion_status</x:v>
      </x:c>
      <x:c r="E451" s="207" t="str">
        <x:v>РЕМОНТ</x:v>
      </x:c>
      <x:c r="F451" s="207" t="str">
        <x:v>Назначить production_order_id, operation_type, дату и факт часов</x:v>
      </x:c>
      <x:c r="G451" s="207" t="str">
        <x:v>Производство</x:v>
      </x:c>
      <x:c r="H451" s="207" t="str">
        <x:v>Высокий</x:v>
      </x:c>
      <x:c r="I451" s="207" t="str">
        <x:v>Загрузка; производительность; фактическая cost</x:v>
      </x:c>
      <x:c r="J451" s="207" t="str">
        <x:v>Планирование Y4</x:v>
      </x:c>
      <x:c r="K451" s="207" t="str"/>
      <x:c r="L451" s="207" t="str"/>
      <x:c r="M451" s="207" t="str">
        <x:v>Не рассмотрено</x:v>
      </x:c>
      <x:c r="N451" s="207" t="str"/>
      <x:c r="O451" s="207" t="str">
        <x:v>17</x:v>
      </x:c>
      <x:c r="P451" s="207" t="n">
        <x:v>3</x:v>
      </x:c>
      <x:c r="Q451" s="208" t="str">
        <x:v>Wave 2 (31–60 дней)</x:v>
      </x:c>
    </x:row>
    <x:row r="452">
      <x:c r="A452" s="206" t="str">
        <x:v>DEC-00448</x:v>
      </x:c>
      <x:c r="B452" s="207" t="str">
        <x:v>Operation</x:v>
      </x:c>
      <x:c r="C452" s="207" t="str">
        <x:v>OP-DRAFT-00009</x:v>
      </x:c>
      <x:c r="D452" s="207" t="str">
        <x:v>model_id/canonical_sku; production_order_id; operation_type_id; planned_hours; actual_hours; output_qty; defect_qty; completion_status</x:v>
      </x:c>
      <x:c r="E452" s="207" t="str">
        <x:v>РЕМОНТ вырезка</x:v>
      </x:c>
      <x:c r="F452" s="207" t="str">
        <x:v>Назначить production_order_id, operation_type, дату и факт часов</x:v>
      </x:c>
      <x:c r="G452" s="207" t="str">
        <x:v>Производство</x:v>
      </x:c>
      <x:c r="H452" s="207" t="str">
        <x:v>Высокий</x:v>
      </x:c>
      <x:c r="I452" s="207" t="str">
        <x:v>Загрузка; производительность; фактическая cost</x:v>
      </x:c>
      <x:c r="J452" s="207" t="str">
        <x:v>Планирование AC4</x:v>
      </x:c>
      <x:c r="K452" s="207" t="str"/>
      <x:c r="L452" s="207" t="str"/>
      <x:c r="M452" s="207" t="str">
        <x:v>Не рассмотрено</x:v>
      </x:c>
      <x:c r="N452" s="207" t="str"/>
      <x:c r="O452" s="207" t="str">
        <x:v>17</x:v>
      </x:c>
      <x:c r="P452" s="207" t="n">
        <x:v>3</x:v>
      </x:c>
      <x:c r="Q452" s="208" t="str">
        <x:v>Wave 2 (31–60 дней)</x:v>
      </x:c>
    </x:row>
    <x:row r="453">
      <x:c r="A453" s="206" t="str">
        <x:v>DEC-00449</x:v>
      </x:c>
      <x:c r="B453" s="207" t="str">
        <x:v>Operation</x:v>
      </x:c>
      <x:c r="C453" s="207" t="str">
        <x:v>OP-DRAFT-00010</x:v>
      </x:c>
      <x:c r="D453" s="207" t="str">
        <x:v>model_id/canonical_sku; production_order_id; operation_type_id; planned_hours; actual_hours; output_qty; defect_qty; completion_status</x:v>
      </x:c>
      <x:c r="E453" s="207" t="str">
        <x:v>РЕМОНТ вырезка</x:v>
      </x:c>
      <x:c r="F453" s="207" t="str">
        <x:v>Назначить production_order_id, operation_type, дату и факт часов</x:v>
      </x:c>
      <x:c r="G453" s="207" t="str">
        <x:v>Производство</x:v>
      </x:c>
      <x:c r="H453" s="207" t="str">
        <x:v>Высокий</x:v>
      </x:c>
      <x:c r="I453" s="207" t="str">
        <x:v>Загрузка; производительность; фактическая cost</x:v>
      </x:c>
      <x:c r="J453" s="207" t="str">
        <x:v>Планирование AD4</x:v>
      </x:c>
      <x:c r="K453" s="207" t="str"/>
      <x:c r="L453" s="207" t="str"/>
      <x:c r="M453" s="207" t="str">
        <x:v>Не рассмотрено</x:v>
      </x:c>
      <x:c r="N453" s="207" t="str"/>
      <x:c r="O453" s="207" t="str">
        <x:v>17</x:v>
      </x:c>
      <x:c r="P453" s="207" t="n">
        <x:v>3</x:v>
      </x:c>
      <x:c r="Q453" s="208" t="str">
        <x:v>Wave 2 (31–60 дней)</x:v>
      </x:c>
    </x:row>
    <x:row r="454">
      <x:c r="A454" s="206" t="str">
        <x:v>DEC-00450</x:v>
      </x:c>
      <x:c r="B454" s="207" t="str">
        <x:v>Operation</x:v>
      </x:c>
      <x:c r="C454" s="207" t="str">
        <x:v>OP-DRAFT-00011</x:v>
      </x:c>
      <x:c r="D454" s="207" t="str">
        <x:v>model_id/canonical_sku; production_order_id; operation_type_id; planned_hours; actual_hours; output_qty; defect_qty; completion_status</x:v>
      </x:c>
      <x:c r="E454" s="207" t="str">
        <x:v>РЕМОНТ вырезка</x:v>
      </x:c>
      <x:c r="F454" s="207" t="str">
        <x:v>Назначить production_order_id, operation_type, дату и факт часов</x:v>
      </x:c>
      <x:c r="G454" s="207" t="str">
        <x:v>Производство</x:v>
      </x:c>
      <x:c r="H454" s="207" t="str">
        <x:v>Высокий</x:v>
      </x:c>
      <x:c r="I454" s="207" t="str">
        <x:v>Загрузка; производительность; фактическая cost</x:v>
      </x:c>
      <x:c r="J454" s="207" t="str">
        <x:v>Планирование AE4</x:v>
      </x:c>
      <x:c r="K454" s="207" t="str"/>
      <x:c r="L454" s="207" t="str"/>
      <x:c r="M454" s="207" t="str">
        <x:v>Не рассмотрено</x:v>
      </x:c>
      <x:c r="N454" s="207" t="str"/>
      <x:c r="O454" s="207" t="str">
        <x:v>17</x:v>
      </x:c>
      <x:c r="P454" s="207" t="n">
        <x:v>3</x:v>
      </x:c>
      <x:c r="Q454" s="208" t="str">
        <x:v>Wave 2 (31–60 дней)</x:v>
      </x:c>
    </x:row>
    <x:row r="455">
      <x:c r="A455" s="206" t="str">
        <x:v>DEC-00451</x:v>
      </x:c>
      <x:c r="B455" s="207" t="str">
        <x:v>Operation</x:v>
      </x:c>
      <x:c r="C455" s="207" t="str">
        <x:v>OP-DRAFT-00012</x:v>
      </x:c>
      <x:c r="D455" s="207" t="str">
        <x:v>model_id/canonical_sku; production_order_id; operation_type_id; planned_hours; actual_hours; output_qty; defect_qty; completion_status</x:v>
      </x:c>
      <x:c r="E455" s="207" t="str">
        <x:v>РЕМОНТ вырезка</x:v>
      </x:c>
      <x:c r="F455" s="207" t="str">
        <x:v>Назначить production_order_id, operation_type, дату и факт часов</x:v>
      </x:c>
      <x:c r="G455" s="207" t="str">
        <x:v>Производство</x:v>
      </x:c>
      <x:c r="H455" s="207" t="str">
        <x:v>Высокий</x:v>
      </x:c>
      <x:c r="I455" s="207" t="str">
        <x:v>Загрузка; производительность; фактическая cost</x:v>
      </x:c>
      <x:c r="J455" s="207" t="str">
        <x:v>Планирование AF4</x:v>
      </x:c>
      <x:c r="K455" s="207" t="str"/>
      <x:c r="L455" s="207" t="str"/>
      <x:c r="M455" s="207" t="str">
        <x:v>Не рассмотрено</x:v>
      </x:c>
      <x:c r="N455" s="207" t="str"/>
      <x:c r="O455" s="207" t="str">
        <x:v>17</x:v>
      </x:c>
      <x:c r="P455" s="207" t="n">
        <x:v>3</x:v>
      </x:c>
      <x:c r="Q455" s="208" t="str">
        <x:v>Wave 2 (31–60 дней)</x:v>
      </x:c>
    </x:row>
    <x:row r="456">
      <x:c r="A456" s="206" t="str">
        <x:v>DEC-00452</x:v>
      </x:c>
      <x:c r="B456" s="207" t="str">
        <x:v>Operation</x:v>
      </x:c>
      <x:c r="C456" s="207" t="str">
        <x:v>OP-DRAFT-00013</x:v>
      </x:c>
      <x:c r="D456" s="207" t="str">
        <x:v>model_id/canonical_sku; production_order_id; operation_type_id; planned_hours; actual_hours; output_qty; defect_qty; completion_status</x:v>
      </x:c>
      <x:c r="E456" s="207" t="str">
        <x:v>РЕМОНТ сметка кржева</x:v>
      </x:c>
      <x:c r="F456" s="207" t="str">
        <x:v>Назначить production_order_id, operation_type, дату и факт часов</x:v>
      </x:c>
      <x:c r="G456" s="207" t="str">
        <x:v>Производство</x:v>
      </x:c>
      <x:c r="H456" s="207" t="str">
        <x:v>Высокий</x:v>
      </x:c>
      <x:c r="I456" s="207" t="str">
        <x:v>Загрузка; производительность; фактическая cost</x:v>
      </x:c>
      <x:c r="J456" s="207" t="str">
        <x:v>Планирование AG4</x:v>
      </x:c>
      <x:c r="K456" s="207" t="str"/>
      <x:c r="L456" s="207" t="str"/>
      <x:c r="M456" s="207" t="str">
        <x:v>Не рассмотрено</x:v>
      </x:c>
      <x:c r="N456" s="207" t="str"/>
      <x:c r="O456" s="207" t="str">
        <x:v>17</x:v>
      </x:c>
      <x:c r="P456" s="207" t="n">
        <x:v>3</x:v>
      </x:c>
      <x:c r="Q456" s="208" t="str">
        <x:v>Wave 2 (31–60 дней)</x:v>
      </x:c>
    </x:row>
    <x:row r="457">
      <x:c r="A457" s="206" t="str">
        <x:v>DEC-00453</x:v>
      </x:c>
      <x:c r="B457" s="207" t="str">
        <x:v>Operation</x:v>
      </x:c>
      <x:c r="C457" s="207" t="str">
        <x:v>OP-DRAFT-00015</x:v>
      </x:c>
      <x:c r="D457" s="207" t="str">
        <x:v>model_id/canonical_sku; production_order_id; operation_type_id; planned_hours; actual_hours; output_qty; defect_qty; completion_status</x:v>
      </x:c>
      <x:c r="E457" s="207" t="str">
        <x:v>ПРИОСТАНОВЛЕНО</x:v>
      </x:c>
      <x:c r="F457" s="207" t="str">
        <x:v>Назначить production_order_id, operation_type, дату и факт часов</x:v>
      </x:c>
      <x:c r="G457" s="207" t="str">
        <x:v>Производство</x:v>
      </x:c>
      <x:c r="H457" s="207" t="str">
        <x:v>Высокий</x:v>
      </x:c>
      <x:c r="I457" s="207" t="str">
        <x:v>Загрузка; производительность; фактическая cost</x:v>
      </x:c>
      <x:c r="J457" s="207" t="str">
        <x:v>Планирование I5</x:v>
      </x:c>
      <x:c r="K457" s="207" t="str"/>
      <x:c r="L457" s="207" t="str"/>
      <x:c r="M457" s="207" t="str">
        <x:v>Не рассмотрено</x:v>
      </x:c>
      <x:c r="N457" s="207" t="str"/>
      <x:c r="O457" s="207" t="str">
        <x:v>17</x:v>
      </x:c>
      <x:c r="P457" s="207" t="n">
        <x:v>3</x:v>
      </x:c>
      <x:c r="Q457" s="208" t="str">
        <x:v>Wave 2 (31–60 дней)</x:v>
      </x:c>
    </x:row>
    <x:row r="458">
      <x:c r="A458" s="206" t="str">
        <x:v>DEC-00454</x:v>
      </x:c>
      <x:c r="B458" s="207" t="str">
        <x:v>Operation</x:v>
      </x:c>
      <x:c r="C458" s="207" t="str">
        <x:v>OP-DRAFT-00017</x:v>
      </x:c>
      <x:c r="D458" s="207" t="str">
        <x:v>production_order_id; operation_type_id; planned_hours; actual_hours; output_qty; defect_qty; completion_status</x:v>
      </x:c>
      <x:c r="E458" s="207" t="str">
        <x:v>48-25 вырезка</x:v>
      </x:c>
      <x:c r="F458" s="207" t="str">
        <x:v>Назначить production_order_id, operation_type, дату и факт часов</x:v>
      </x:c>
      <x:c r="G458" s="207" t="str">
        <x:v>Производство</x:v>
      </x:c>
      <x:c r="H458" s="207" t="str">
        <x:v>Высокий</x:v>
      </x:c>
      <x:c r="I458" s="207" t="str">
        <x:v>Загрузка; производительность; фактическая cost</x:v>
      </x:c>
      <x:c r="J458" s="207" t="str">
        <x:v>Планирование R5</x:v>
      </x:c>
      <x:c r="K458" s="207" t="str"/>
      <x:c r="L458" s="207" t="str"/>
      <x:c r="M458" s="207" t="str">
        <x:v>Не рассмотрено</x:v>
      </x:c>
      <x:c r="N458" s="207" t="str"/>
      <x:c r="O458" s="207" t="str">
        <x:v>17</x:v>
      </x:c>
      <x:c r="P458" s="207" t="n">
        <x:v>3</x:v>
      </x:c>
      <x:c r="Q458" s="208" t="str">
        <x:v>Wave 2 (31–60 дней)</x:v>
      </x:c>
    </x:row>
    <x:row r="459">
      <x:c r="A459" s="206" t="str">
        <x:v>DEC-00455</x:v>
      </x:c>
      <x:c r="B459" s="207" t="str">
        <x:v>Operation</x:v>
      </x:c>
      <x:c r="C459" s="207" t="str">
        <x:v>OP-DRAFT-00018</x:v>
      </x:c>
      <x:c r="D459" s="207" t="str">
        <x:v>production_order_id; operation_type_id; planned_hours; actual_hours; output_qty; defect_qty; completion_status</x:v>
      </x:c>
      <x:c r="E459" s="207" t="str">
        <x:v>48-25 белое кружево</x:v>
      </x:c>
      <x:c r="F459" s="207" t="str">
        <x:v>Назначить production_order_id, operation_type, дату и факт часов</x:v>
      </x:c>
      <x:c r="G459" s="207" t="str">
        <x:v>Производство</x:v>
      </x:c>
      <x:c r="H459" s="207" t="str">
        <x:v>Высокий</x:v>
      </x:c>
      <x:c r="I459" s="207" t="str">
        <x:v>Загрузка; производительность; фактическая cost</x:v>
      </x:c>
      <x:c r="J459" s="207" t="str">
        <x:v>Планирование S5</x:v>
      </x:c>
      <x:c r="K459" s="207" t="str"/>
      <x:c r="L459" s="207" t="str"/>
      <x:c r="M459" s="207" t="str">
        <x:v>Не рассмотрено</x:v>
      </x:c>
      <x:c r="N459" s="207" t="str"/>
      <x:c r="O459" s="207" t="str">
        <x:v>17</x:v>
      </x:c>
      <x:c r="P459" s="207" t="n">
        <x:v>3</x:v>
      </x:c>
      <x:c r="Q459" s="208" t="str">
        <x:v>Wave 2 (31–60 дней)</x:v>
      </x:c>
    </x:row>
    <x:row r="460">
      <x:c r="A460" s="206" t="str">
        <x:v>DEC-00456</x:v>
      </x:c>
      <x:c r="B460" s="207" t="str">
        <x:v>Operation</x:v>
      </x:c>
      <x:c r="C460" s="207" t="str">
        <x:v>OP-DRAFT-00019</x:v>
      </x:c>
      <x:c r="D460" s="207" t="str">
        <x:v>production_order_id; operation_type_id; planned_hours; actual_hours; output_qty; defect_qty; completion_status</x:v>
      </x:c>
      <x:c r="E460" s="207" t="str">
        <x:v>48-02 черн кружево</x:v>
      </x:c>
      <x:c r="F460" s="207" t="str">
        <x:v>Назначить production_order_id, operation_type, дату и факт часов</x:v>
      </x:c>
      <x:c r="G460" s="207" t="str">
        <x:v>Производство</x:v>
      </x:c>
      <x:c r="H460" s="207" t="str">
        <x:v>Высокий</x:v>
      </x:c>
      <x:c r="I460" s="207" t="str">
        <x:v>Загрузка; производительность; фактическая cost</x:v>
      </x:c>
      <x:c r="J460" s="207" t="str">
        <x:v>Планирование V5</x:v>
      </x:c>
      <x:c r="K460" s="207" t="str"/>
      <x:c r="L460" s="207" t="str"/>
      <x:c r="M460" s="207" t="str">
        <x:v>Не рассмотрено</x:v>
      </x:c>
      <x:c r="N460" s="207" t="str"/>
      <x:c r="O460" s="207" t="str">
        <x:v>17</x:v>
      </x:c>
      <x:c r="P460" s="207" t="n">
        <x:v>3</x:v>
      </x:c>
      <x:c r="Q460" s="208" t="str">
        <x:v>Wave 2 (31–60 дней)</x:v>
      </x:c>
    </x:row>
    <x:row r="461">
      <x:c r="A461" s="206" t="str">
        <x:v>DEC-00457</x:v>
      </x:c>
      <x:c r="B461" s="207" t="str">
        <x:v>Operation</x:v>
      </x:c>
      <x:c r="C461" s="207" t="str">
        <x:v>OP-DRAFT-00020</x:v>
      </x:c>
      <x:c r="D461" s="207" t="str">
        <x:v>production_order_id; operation_type_id; planned_hours; actual_hours; output_qty; defect_qty; completion_status</x:v>
      </x:c>
      <x:c r="E461" s="207" t="str">
        <x:v>48-25 бел кружево</x:v>
      </x:c>
      <x:c r="F461" s="207" t="str">
        <x:v>Назначить production_order_id, operation_type, дату и факт часов</x:v>
      </x:c>
      <x:c r="G461" s="207" t="str">
        <x:v>Производство</x:v>
      </x:c>
      <x:c r="H461" s="207" t="str">
        <x:v>Высокий</x:v>
      </x:c>
      <x:c r="I461" s="207" t="str">
        <x:v>Загрузка; производительность; фактическая cost</x:v>
      </x:c>
      <x:c r="J461" s="207" t="str">
        <x:v>Планирование X5</x:v>
      </x:c>
      <x:c r="K461" s="207" t="str"/>
      <x:c r="L461" s="207" t="str"/>
      <x:c r="M461" s="207" t="str">
        <x:v>Не рассмотрено</x:v>
      </x:c>
      <x:c r="N461" s="207" t="str"/>
      <x:c r="O461" s="207" t="str">
        <x:v>17</x:v>
      </x:c>
      <x:c r="P461" s="207" t="n">
        <x:v>3</x:v>
      </x:c>
      <x:c r="Q461" s="208" t="str">
        <x:v>Wave 2 (31–60 дней)</x:v>
      </x:c>
    </x:row>
    <x:row r="462">
      <x:c r="A462" s="206" t="str">
        <x:v>DEC-00458</x:v>
      </x:c>
      <x:c r="B462" s="207" t="str">
        <x:v>Operation</x:v>
      </x:c>
      <x:c r="C462" s="207" t="str">
        <x:v>OP-DRAFT-00021</x:v>
      </x:c>
      <x:c r="D462" s="207" t="str">
        <x:v>production_order_id; operation_type_id; planned_hours; actual_hours; output_qty; defect_qty; completion_status</x:v>
      </x:c>
      <x:c r="E462" s="207" t="str">
        <x:v>48-25 бел кружево</x:v>
      </x:c>
      <x:c r="F462" s="207" t="str">
        <x:v>Назначить production_order_id, operation_type, дату и факт часов</x:v>
      </x:c>
      <x:c r="G462" s="207" t="str">
        <x:v>Производство</x:v>
      </x:c>
      <x:c r="H462" s="207" t="str">
        <x:v>Высокий</x:v>
      </x:c>
      <x:c r="I462" s="207" t="str">
        <x:v>Загрузка; производительность; фактическая cost</x:v>
      </x:c>
      <x:c r="J462" s="207" t="str">
        <x:v>Планирование Y5</x:v>
      </x:c>
      <x:c r="K462" s="207" t="str"/>
      <x:c r="L462" s="207" t="str"/>
      <x:c r="M462" s="207" t="str">
        <x:v>Не рассмотрено</x:v>
      </x:c>
      <x:c r="N462" s="207" t="str"/>
      <x:c r="O462" s="207" t="str">
        <x:v>17</x:v>
      </x:c>
      <x:c r="P462" s="207" t="n">
        <x:v>3</x:v>
      </x:c>
      <x:c r="Q462" s="208" t="str">
        <x:v>Wave 2 (31–60 дней)</x:v>
      </x:c>
    </x:row>
    <x:row r="463">
      <x:c r="A463" s="206" t="str">
        <x:v>DEC-00459</x:v>
      </x:c>
      <x:c r="B463" s="207" t="str">
        <x:v>Operation</x:v>
      </x:c>
      <x:c r="C463" s="207" t="str">
        <x:v>OP-DRAFT-00022</x:v>
      </x:c>
      <x:c r="D463" s="207" t="str">
        <x:v>production_order_id; operation_type_id; planned_hours; actual_hours; output_qty; defect_qty; completion_status</x:v>
      </x:c>
      <x:c r="E463" s="207" t="str">
        <x:v>48-25 бел кружево</x:v>
      </x:c>
      <x:c r="F463" s="207" t="str">
        <x:v>Назначить production_order_id, operation_type, дату и факт часов</x:v>
      </x:c>
      <x:c r="G463" s="207" t="str">
        <x:v>Производство</x:v>
      </x:c>
      <x:c r="H463" s="207" t="str">
        <x:v>Высокий</x:v>
      </x:c>
      <x:c r="I463" s="207" t="str">
        <x:v>Загрузка; производительность; фактическая cost</x:v>
      </x:c>
      <x:c r="J463" s="207" t="str">
        <x:v>Планирование Z5</x:v>
      </x:c>
      <x:c r="K463" s="207" t="str"/>
      <x:c r="L463" s="207" t="str"/>
      <x:c r="M463" s="207" t="str">
        <x:v>Не рассмотрено</x:v>
      </x:c>
      <x:c r="N463" s="207" t="str"/>
      <x:c r="O463" s="207" t="str">
        <x:v>17</x:v>
      </x:c>
      <x:c r="P463" s="207" t="n">
        <x:v>3</x:v>
      </x:c>
      <x:c r="Q463" s="208" t="str">
        <x:v>Wave 2 (31–60 дней)</x:v>
      </x:c>
    </x:row>
    <x:row r="464">
      <x:c r="A464" s="206" t="str">
        <x:v>DEC-00460</x:v>
      </x:c>
      <x:c r="B464" s="207" t="str">
        <x:v>Operation</x:v>
      </x:c>
      <x:c r="C464" s="207" t="str">
        <x:v>OP-DRAFT-00023</x:v>
      </x:c>
      <x:c r="D464" s="207" t="str">
        <x:v>production_order_id; operation_type_id; planned_hours; actual_hours; output_qty; defect_qty; completion_status</x:v>
      </x:c>
      <x:c r="E464" s="207" t="str">
        <x:v>48-08 веточки</x:v>
      </x:c>
      <x:c r="F464" s="207" t="str">
        <x:v>Назначить production_order_id, operation_type, дату и факт часов</x:v>
      </x:c>
      <x:c r="G464" s="207" t="str">
        <x:v>Производство</x:v>
      </x:c>
      <x:c r="H464" s="207" t="str">
        <x:v>Высокий</x:v>
      </x:c>
      <x:c r="I464" s="207" t="str">
        <x:v>Загрузка; производительность; фактическая cost</x:v>
      </x:c>
      <x:c r="J464" s="207" t="str">
        <x:v>Планирование AC5</x:v>
      </x:c>
      <x:c r="K464" s="207" t="str"/>
      <x:c r="L464" s="207" t="str"/>
      <x:c r="M464" s="207" t="str">
        <x:v>Не рассмотрено</x:v>
      </x:c>
      <x:c r="N464" s="207" t="str"/>
      <x:c r="O464" s="207" t="str">
        <x:v>17</x:v>
      </x:c>
      <x:c r="P464" s="207" t="n">
        <x:v>3</x:v>
      </x:c>
      <x:c r="Q464" s="208" t="str">
        <x:v>Wave 2 (31–60 дней)</x:v>
      </x:c>
    </x:row>
    <x:row r="465">
      <x:c r="A465" s="206" t="str">
        <x:v>DEC-00461</x:v>
      </x:c>
      <x:c r="B465" s="207" t="str">
        <x:v>Operation</x:v>
      </x:c>
      <x:c r="C465" s="207" t="str">
        <x:v>OP-DRAFT-00024</x:v>
      </x:c>
      <x:c r="D465" s="207" t="str">
        <x:v>production_order_id; operation_type_id; planned_hours; actual_hours; output_qty; defect_qty; completion_status</x:v>
      </x:c>
      <x:c r="E465" s="207" t="str">
        <x:v>Вырезка цветочков 48-10 и 48-09,</x:v>
      </x:c>
      <x:c r="F465" s="207" t="str">
        <x:v>Назначить production_order_id, operation_type, дату и факт часов</x:v>
      </x:c>
      <x:c r="G465" s="207" t="str">
        <x:v>Производство</x:v>
      </x:c>
      <x:c r="H465" s="207" t="str">
        <x:v>Высокий</x:v>
      </x:c>
      <x:c r="I465" s="207" t="str">
        <x:v>Загрузка; производительность; фактическая cost</x:v>
      </x:c>
      <x:c r="J465" s="207" t="str">
        <x:v>Планирование AD5</x:v>
      </x:c>
      <x:c r="K465" s="207" t="str"/>
      <x:c r="L465" s="207" t="str"/>
      <x:c r="M465" s="207" t="str">
        <x:v>Не рассмотрено</x:v>
      </x:c>
      <x:c r="N465" s="207" t="str"/>
      <x:c r="O465" s="207" t="str">
        <x:v>17</x:v>
      </x:c>
      <x:c r="P465" s="207" t="n">
        <x:v>3</x:v>
      </x:c>
      <x:c r="Q465" s="208" t="str">
        <x:v>Wave 2 (31–60 дней)</x:v>
      </x:c>
    </x:row>
    <x:row r="466">
      <x:c r="A466" s="206" t="str">
        <x:v>DEC-00462</x:v>
      </x:c>
      <x:c r="B466" s="207" t="str">
        <x:v>Operation</x:v>
      </x:c>
      <x:c r="C466" s="207" t="str">
        <x:v>OP-DRAFT-00025</x:v>
      </x:c>
      <x:c r="D466" s="207" t="str">
        <x:v>production_order_id; operation_type_id; planned_hours; actual_hours; output_qty; defect_qty; completion_status</x:v>
      </x:c>
      <x:c r="E466" s="207" t="str">
        <x:v>Кулишова 0-3400 3 элемента</x:v>
      </x:c>
      <x:c r="F466" s="207" t="str">
        <x:v>Назначить production_order_id, operation_type, дату и факт часов</x:v>
      </x:c>
      <x:c r="G466" s="207" t="str">
        <x:v>Производство</x:v>
      </x:c>
      <x:c r="H466" s="207" t="str">
        <x:v>Высокий</x:v>
      </x:c>
      <x:c r="I466" s="207" t="str">
        <x:v>Загрузка; производительность; фактическая cost</x:v>
      </x:c>
      <x:c r="J466" s="207" t="str">
        <x:v>Планирование AE5</x:v>
      </x:c>
      <x:c r="K466" s="207" t="str"/>
      <x:c r="L466" s="207" t="str"/>
      <x:c r="M466" s="207" t="str">
        <x:v>Не рассмотрено</x:v>
      </x:c>
      <x:c r="N466" s="207" t="str"/>
      <x:c r="O466" s="207" t="str">
        <x:v>17</x:v>
      </x:c>
      <x:c r="P466" s="207" t="n">
        <x:v>3</x:v>
      </x:c>
      <x:c r="Q466" s="208" t="str">
        <x:v>Wave 2 (31–60 дней)</x:v>
      </x:c>
    </x:row>
    <x:row r="467">
      <x:c r="A467" s="206" t="str">
        <x:v>DEC-00463</x:v>
      </x:c>
      <x:c r="B467" s="207" t="str">
        <x:v>Operation</x:v>
      </x:c>
      <x:c r="C467" s="207" t="str">
        <x:v>OP-DRAFT-00026</x:v>
      </x:c>
      <x:c r="D467" s="207" t="str">
        <x:v>production_order_id; operation_type_id; planned_hours; actual_hours; output_qty; defect_qty; completion_status</x:v>
      </x:c>
      <x:c r="E467" s="207" t="str">
        <x:v>48-02 лиф</x:v>
      </x:c>
      <x:c r="F467" s="207" t="str">
        <x:v>Назначить production_order_id, operation_type, дату и факт часов</x:v>
      </x:c>
      <x:c r="G467" s="207" t="str">
        <x:v>Производство</x:v>
      </x:c>
      <x:c r="H467" s="207" t="str">
        <x:v>Высокий</x:v>
      </x:c>
      <x:c r="I467" s="207" t="str">
        <x:v>Загрузка; производительность; фактическая cost</x:v>
      </x:c>
      <x:c r="J467" s="207" t="str">
        <x:v>Планирование AG5</x:v>
      </x:c>
      <x:c r="K467" s="207" t="str"/>
      <x:c r="L467" s="207" t="str"/>
      <x:c r="M467" s="207" t="str">
        <x:v>Не рассмотрено</x:v>
      </x:c>
      <x:c r="N467" s="207" t="str"/>
      <x:c r="O467" s="207" t="str">
        <x:v>17</x:v>
      </x:c>
      <x:c r="P467" s="207" t="n">
        <x:v>3</x:v>
      </x:c>
      <x:c r="Q467" s="208" t="str">
        <x:v>Wave 2 (31–60 дней)</x:v>
      </x:c>
    </x:row>
    <x:row r="468">
      <x:c r="A468" s="206" t="str">
        <x:v>DEC-00464</x:v>
      </x:c>
      <x:c r="B468" s="207" t="str">
        <x:v>Operation</x:v>
      </x:c>
      <x:c r="C468" s="207" t="str">
        <x:v>OP-DRAFT-00027</x:v>
      </x:c>
      <x:c r="D468" s="207" t="str">
        <x:v>production_order_id; operation_type_id; planned_hours; actual_hours; output_qty; defect_qty; completion_status</x:v>
      </x:c>
      <x:c r="E468" s="207" t="str">
        <x:v>47-15 Казьмина 75д сд 29.05</x:v>
      </x:c>
      <x:c r="F468" s="207" t="str">
        <x:v>Назначить production_order_id, operation_type, дату и факт часов</x:v>
      </x:c>
      <x:c r="G468" s="207" t="str">
        <x:v>Производство</x:v>
      </x:c>
      <x:c r="H468" s="207" t="str">
        <x:v>Высокий</x:v>
      </x:c>
      <x:c r="I468" s="207" t="str">
        <x:v>Загрузка; производительность; фактическая cost</x:v>
      </x:c>
      <x:c r="J468" s="207" t="str">
        <x:v>Планирование I6</x:v>
      </x:c>
      <x:c r="K468" s="207" t="str"/>
      <x:c r="L468" s="207" t="str"/>
      <x:c r="M468" s="207" t="str">
        <x:v>Не рассмотрено</x:v>
      </x:c>
      <x:c r="N468" s="207" t="str"/>
      <x:c r="O468" s="207" t="str">
        <x:v>17</x:v>
      </x:c>
      <x:c r="P468" s="207" t="n">
        <x:v>3</x:v>
      </x:c>
      <x:c r="Q468" s="208" t="str">
        <x:v>Wave 2 (31–60 дней)</x:v>
      </x:c>
    </x:row>
    <x:row r="469">
      <x:c r="A469" s="206" t="str">
        <x:v>DEC-00465</x:v>
      </x:c>
      <x:c r="B469" s="207" t="str">
        <x:v>Operation</x:v>
      </x:c>
      <x:c r="C469" s="207" t="str">
        <x:v>OP-DRAFT-00028</x:v>
      </x:c>
      <x:c r="D469" s="207" t="str">
        <x:v>production_order_id; operation_type_id; planned_hours; actual_hours; output_qty; defect_qty; completion_status</x:v>
      </x:c>
      <x:c r="E469" s="207" t="str">
        <x:v>Элисо 0-3384 2д сд3.06 + 3 дет на Гонтову юбка 0-3354</x:v>
      </x:c>
      <x:c r="F469" s="207" t="str">
        <x:v>Назначить production_order_id, operation_type, дату и факт часов</x:v>
      </x:c>
      <x:c r="G469" s="207" t="str">
        <x:v>Производство</x:v>
      </x:c>
      <x:c r="H469" s="207" t="str">
        <x:v>Высокий</x:v>
      </x:c>
      <x:c r="I469" s="207" t="str">
        <x:v>Загрузка; производительность; фактическая cost</x:v>
      </x:c>
      <x:c r="J469" s="207" t="str">
        <x:v>Планирование J7</x:v>
      </x:c>
      <x:c r="K469" s="207" t="str"/>
      <x:c r="L469" s="207" t="str"/>
      <x:c r="M469" s="207" t="str">
        <x:v>Не рассмотрено</x:v>
      </x:c>
      <x:c r="N469" s="207" t="str"/>
      <x:c r="O469" s="207" t="str">
        <x:v>17</x:v>
      </x:c>
      <x:c r="P469" s="207" t="n">
        <x:v>3</x:v>
      </x:c>
      <x:c r="Q469" s="208" t="str">
        <x:v>Wave 2 (31–60 дней)</x:v>
      </x:c>
    </x:row>
    <x:row r="470">
      <x:c r="A470" s="206" t="str">
        <x:v>DEC-00466</x:v>
      </x:c>
      <x:c r="B470" s="207" t="str">
        <x:v>Operation</x:v>
      </x:c>
      <x:c r="C470" s="207" t="str">
        <x:v>OP-DRAFT-00029</x:v>
      </x:c>
      <x:c r="D470" s="207" t="str">
        <x:v>model_id/canonical_sku; production_order_id; operation_type_id; planned_hours; actual_hours; output_qty; defect_qty; completion_status</x:v>
      </x:c>
      <x:c r="E470" s="207" t="str">
        <x:v>48 букетики розочки мулине</x:v>
      </x:c>
      <x:c r="F470" s="207" t="str">
        <x:v>Назначить production_order_id, operation_type, дату и факт часов</x:v>
      </x:c>
      <x:c r="G470" s="207" t="str">
        <x:v>Производство</x:v>
      </x:c>
      <x:c r="H470" s="207" t="str">
        <x:v>Высокий</x:v>
      </x:c>
      <x:c r="I470" s="207" t="str">
        <x:v>Загрузка; производительность; фактическая cost</x:v>
      </x:c>
      <x:c r="J470" s="207" t="str">
        <x:v>Планирование K8</x:v>
      </x:c>
      <x:c r="K470" s="207" t="str"/>
      <x:c r="L470" s="207" t="str"/>
      <x:c r="M470" s="207" t="str">
        <x:v>Не рассмотрено</x:v>
      </x:c>
      <x:c r="N470" s="207" t="str"/>
      <x:c r="O470" s="207" t="str">
        <x:v>17</x:v>
      </x:c>
      <x:c r="P470" s="207" t="n">
        <x:v>3</x:v>
      </x:c>
      <x:c r="Q470" s="208" t="str">
        <x:v>Wave 2 (31–60 дней)</x:v>
      </x:c>
    </x:row>
    <x:row r="471">
      <x:c r="A471" s="206" t="str">
        <x:v>DEC-00467</x:v>
      </x:c>
      <x:c r="B471" s="207" t="str">
        <x:v>Operation</x:v>
      </x:c>
      <x:c r="C471" s="207" t="str">
        <x:v>OP-DRAFT-00031</x:v>
      </x:c>
      <x:c r="D471" s="207" t="str">
        <x:v>production_order_id; operation_type_id; planned_hours; actual_hours; output_qty; defect_qty; completion_status</x:v>
      </x:c>
      <x:c r="E471" s="207" t="str">
        <x:v>0-3400 Уланова и 44-28 Казьмна</x:v>
      </x:c>
      <x:c r="F471" s="207" t="str">
        <x:v>Назначить production_order_id, operation_type, дату и факт часов</x:v>
      </x:c>
      <x:c r="G471" s="207" t="str">
        <x:v>Производство</x:v>
      </x:c>
      <x:c r="H471" s="207" t="str">
        <x:v>Высокий</x:v>
      </x:c>
      <x:c r="I471" s="207" t="str">
        <x:v>Загрузка; производительность; фактическая cost</x:v>
      </x:c>
      <x:c r="J471" s="207" t="str">
        <x:v>Планирование F9</x:v>
      </x:c>
      <x:c r="K471" s="207" t="str"/>
      <x:c r="L471" s="207" t="str"/>
      <x:c r="M471" s="207" t="str">
        <x:v>Не рассмотрено</x:v>
      </x:c>
      <x:c r="N471" s="207" t="str"/>
      <x:c r="O471" s="207" t="str">
        <x:v>17</x:v>
      </x:c>
      <x:c r="P471" s="207" t="n">
        <x:v>3</x:v>
      </x:c>
      <x:c r="Q471" s="208" t="str">
        <x:v>Wave 2 (31–60 дней)</x:v>
      </x:c>
    </x:row>
    <x:row r="472">
      <x:c r="A472" s="206" t="str">
        <x:v>DEC-00468</x:v>
      </x:c>
      <x:c r="B472" s="207" t="str">
        <x:v>Operation</x:v>
      </x:c>
      <x:c r="C472" s="207" t="str">
        <x:v>OP-DRAFT-00032</x:v>
      </x:c>
      <x:c r="D472" s="207" t="str">
        <x:v>production_order_id; operation_type_id; planned_hours; actual_hours; output_qty; defect_qty; completion_status</x:v>
      </x:c>
      <x:c r="E472" s="207" t="str">
        <x:v>47-30 Уланова сд 1.06</x:v>
      </x:c>
      <x:c r="F472" s="207" t="str">
        <x:v>Назначить production_order_id, operation_type, дату и факт часов</x:v>
      </x:c>
      <x:c r="G472" s="207" t="str">
        <x:v>Производство</x:v>
      </x:c>
      <x:c r="H472" s="207" t="str">
        <x:v>Высокий</x:v>
      </x:c>
      <x:c r="I472" s="207" t="str">
        <x:v>Загрузка; производительность; фактическая cost</x:v>
      </x:c>
      <x:c r="J472" s="207" t="str">
        <x:v>Планирование H9</x:v>
      </x:c>
      <x:c r="K472" s="207" t="str"/>
      <x:c r="L472" s="207" t="str"/>
      <x:c r="M472" s="207" t="str">
        <x:v>Не рассмотрено</x:v>
      </x:c>
      <x:c r="N472" s="207" t="str"/>
      <x:c r="O472" s="207" t="str">
        <x:v>17</x:v>
      </x:c>
      <x:c r="P472" s="207" t="n">
        <x:v>3</x:v>
      </x:c>
      <x:c r="Q472" s="208" t="str">
        <x:v>Wave 2 (31–60 дней)</x:v>
      </x:c>
    </x:row>
    <x:row r="473">
      <x:c r="A473" s="206" t="str">
        <x:v>DEC-00469</x:v>
      </x:c>
      <x:c r="B473" s="207" t="str">
        <x:v>Operation</x:v>
      </x:c>
      <x:c r="C473" s="207" t="str">
        <x:v>OP-DRAFT-00034</x:v>
      </x:c>
      <x:c r="D473" s="207" t="str">
        <x:v>production_order_id; operation_type_id; planned_hours; actual_hours; output_qty; defect_qty; completion_status</x:v>
      </x:c>
      <x:c r="E473" s="207" t="str">
        <x:v>48-20 крылышки</x:v>
      </x:c>
      <x:c r="F473" s="207" t="str">
        <x:v>Назначить production_order_id, operation_type, дату и факт часов</x:v>
      </x:c>
      <x:c r="G473" s="207" t="str">
        <x:v>Производство</x:v>
      </x:c>
      <x:c r="H473" s="207" t="str">
        <x:v>Высокий</x:v>
      </x:c>
      <x:c r="I473" s="207" t="str">
        <x:v>Загрузка; производительность; фактическая cost</x:v>
      </x:c>
      <x:c r="J473" s="207" t="str">
        <x:v>Планирование L9</x:v>
      </x:c>
      <x:c r="K473" s="207" t="str"/>
      <x:c r="L473" s="207" t="str"/>
      <x:c r="M473" s="207" t="str">
        <x:v>Не рассмотрено</x:v>
      </x:c>
      <x:c r="N473" s="207" t="str"/>
      <x:c r="O473" s="207" t="str">
        <x:v>17</x:v>
      </x:c>
      <x:c r="P473" s="207" t="n">
        <x:v>3</x:v>
      </x:c>
      <x:c r="Q473" s="208" t="str">
        <x:v>Wave 2 (31–60 дней)</x:v>
      </x:c>
    </x:row>
    <x:row r="474">
      <x:c r="A474" s="206" t="str">
        <x:v>DEC-00470</x:v>
      </x:c>
      <x:c r="B474" s="207" t="str">
        <x:v>Operation</x:v>
      </x:c>
      <x:c r="C474" s="207" t="str">
        <x:v>OP-DRAFT-00035</x:v>
      </x:c>
      <x:c r="D474" s="207" t="str">
        <x:v>production_order_id; operation_type_id; planned_hours; actual_hours; output_qty; defect_qty; completion_status</x:v>
      </x:c>
      <x:c r="E474" s="207" t="str">
        <x:v>48-24 (Жукова)</x:v>
      </x:c>
      <x:c r="F474" s="207" t="str">
        <x:v>Назначить production_order_id, operation_type, дату и факт часов</x:v>
      </x:c>
      <x:c r="G474" s="207" t="str">
        <x:v>Производство</x:v>
      </x:c>
      <x:c r="H474" s="207" t="str">
        <x:v>Высокий</x:v>
      </x:c>
      <x:c r="I474" s="207" t="str">
        <x:v>Загрузка; производительность; фактическая cost</x:v>
      </x:c>
      <x:c r="J474" s="207" t="str">
        <x:v>Планирование P9</x:v>
      </x:c>
      <x:c r="K474" s="207" t="str"/>
      <x:c r="L474" s="207" t="str"/>
      <x:c r="M474" s="207" t="str">
        <x:v>Не рассмотрено</x:v>
      </x:c>
      <x:c r="N474" s="207" t="str"/>
      <x:c r="O474" s="207" t="str">
        <x:v>17</x:v>
      </x:c>
      <x:c r="P474" s="207" t="n">
        <x:v>3</x:v>
      </x:c>
      <x:c r="Q474" s="208" t="str">
        <x:v>Wave 2 (31–60 дней)</x:v>
      </x:c>
    </x:row>
    <x:row r="475">
      <x:c r="A475" s="206" t="str">
        <x:v>DEC-00471</x:v>
      </x:c>
      <x:c r="B475" s="207" t="str">
        <x:v>Operation</x:v>
      </x:c>
      <x:c r="C475" s="207" t="str">
        <x:v>OP-DRAFT-00036</x:v>
      </x:c>
      <x:c r="D475" s="207" t="str">
        <x:v>model_id/canonical_sku; production_order_id; operation_type_id; planned_hours; actual_hours; output_qty; defect_qty; completion_status</x:v>
      </x:c>
      <x:c r="E475" s="207" t="str">
        <x:v>ПЕРЕДАЛА</x:v>
      </x:c>
      <x:c r="F475" s="207" t="str">
        <x:v>Назначить production_order_id, operation_type, дату и факт часов</x:v>
      </x:c>
      <x:c r="G475" s="207" t="str">
        <x:v>Производство</x:v>
      </x:c>
      <x:c r="H475" s="207" t="str">
        <x:v>Высокий</x:v>
      </x:c>
      <x:c r="I475" s="207" t="str">
        <x:v>Загрузка; производительность; фактическая cost</x:v>
      </x:c>
      <x:c r="J475" s="207" t="str">
        <x:v>Планирование Q9</x:v>
      </x:c>
      <x:c r="K475" s="207" t="str"/>
      <x:c r="L475" s="207" t="str"/>
      <x:c r="M475" s="207" t="str">
        <x:v>Не рассмотрено</x:v>
      </x:c>
      <x:c r="N475" s="207" t="str"/>
      <x:c r="O475" s="207" t="str">
        <x:v>17</x:v>
      </x:c>
      <x:c r="P475" s="207" t="n">
        <x:v>3</x:v>
      </x:c>
      <x:c r="Q475" s="208" t="str">
        <x:v>Wave 2 (31–60 дней)</x:v>
      </x:c>
    </x:row>
    <x:row r="476">
      <x:c r="A476" s="206" t="str">
        <x:v>DEC-00472</x:v>
      </x:c>
      <x:c r="B476" s="207" t="str">
        <x:v>Operation</x:v>
      </x:c>
      <x:c r="C476" s="207" t="str">
        <x:v>OP-DRAFT-00037</x:v>
      </x:c>
      <x:c r="D476" s="207" t="str">
        <x:v>production_order_id; operation_type_id; planned_hours; actual_hours; output_qty; defect_qty; completion_status</x:v>
      </x:c>
      <x:c r="E476" s="207" t="str">
        <x:v>48-20</x:v>
      </x:c>
      <x:c r="F476" s="207" t="str">
        <x:v>Назначить production_order_id, operation_type, дату и факт часов</x:v>
      </x:c>
      <x:c r="G476" s="207" t="str">
        <x:v>Производство</x:v>
      </x:c>
      <x:c r="H476" s="207" t="str">
        <x:v>Высокий</x:v>
      </x:c>
      <x:c r="I476" s="207" t="str">
        <x:v>Загрузка; производительность; фактическая cost</x:v>
      </x:c>
      <x:c r="J476" s="207" t="str">
        <x:v>Планирование R9</x:v>
      </x:c>
      <x:c r="K476" s="207" t="str"/>
      <x:c r="L476" s="207" t="str"/>
      <x:c r="M476" s="207" t="str">
        <x:v>Не рассмотрено</x:v>
      </x:c>
      <x:c r="N476" s="207" t="str"/>
      <x:c r="O476" s="207" t="str">
        <x:v>17</x:v>
      </x:c>
      <x:c r="P476" s="207" t="n">
        <x:v>3</x:v>
      </x:c>
      <x:c r="Q476" s="208" t="str">
        <x:v>Wave 2 (31–60 дней)</x:v>
      </x:c>
    </x:row>
    <x:row r="477">
      <x:c r="A477" s="206" t="str">
        <x:v>DEC-00473</x:v>
      </x:c>
      <x:c r="B477" s="207" t="str">
        <x:v>Operation</x:v>
      </x:c>
      <x:c r="C477" s="207" t="str">
        <x:v>OP-DRAFT-00038</x:v>
      </x:c>
      <x:c r="D477" s="207" t="str">
        <x:v>production_order_id; operation_type_id; planned_hours; actual_hours; output_qty; defect_qty; completion_status</x:v>
      </x:c>
      <x:c r="E477" s="207" t="str">
        <x:v>48-17 желт кружево</x:v>
      </x:c>
      <x:c r="F477" s="207" t="str">
        <x:v>Назначить production_order_id, operation_type, дату и факт часов</x:v>
      </x:c>
      <x:c r="G477" s="207" t="str">
        <x:v>Производство</x:v>
      </x:c>
      <x:c r="H477" s="207" t="str">
        <x:v>Высокий</x:v>
      </x:c>
      <x:c r="I477" s="207" t="str">
        <x:v>Загрузка; производительность; фактическая cost</x:v>
      </x:c>
      <x:c r="J477" s="207" t="str">
        <x:v>Планирование V9</x:v>
      </x:c>
      <x:c r="K477" s="207" t="str"/>
      <x:c r="L477" s="207" t="str"/>
      <x:c r="M477" s="207" t="str">
        <x:v>Не рассмотрено</x:v>
      </x:c>
      <x:c r="N477" s="207" t="str"/>
      <x:c r="O477" s="207" t="str">
        <x:v>17</x:v>
      </x:c>
      <x:c r="P477" s="207" t="n">
        <x:v>3</x:v>
      </x:c>
      <x:c r="Q477" s="208" t="str">
        <x:v>Wave 2 (31–60 дней)</x:v>
      </x:c>
    </x:row>
    <x:row r="478">
      <x:c r="A478" s="206" t="str">
        <x:v>DEC-00474</x:v>
      </x:c>
      <x:c r="B478" s="207" t="str">
        <x:v>Operation</x:v>
      </x:c>
      <x:c r="C478" s="207" t="str">
        <x:v>OP-DRAFT-00039</x:v>
      </x:c>
      <x:c r="D478" s="207" t="str">
        <x:v>production_order_id; operation_type_id; planned_hours; actual_hours; output_qty; defect_qty; completion_status</x:v>
      </x:c>
      <x:c r="E478" s="207" t="str">
        <x:v>48-17 желт кружево</x:v>
      </x:c>
      <x:c r="F478" s="207" t="str">
        <x:v>Назначить production_order_id, operation_type, дату и факт часов</x:v>
      </x:c>
      <x:c r="G478" s="207" t="str">
        <x:v>Производство</x:v>
      </x:c>
      <x:c r="H478" s="207" t="str">
        <x:v>Высокий</x:v>
      </x:c>
      <x:c r="I478" s="207" t="str">
        <x:v>Загрузка; производительность; фактическая cost</x:v>
      </x:c>
      <x:c r="J478" s="207" t="str">
        <x:v>Планирование W9</x:v>
      </x:c>
      <x:c r="K478" s="207" t="str"/>
      <x:c r="L478" s="207" t="str"/>
      <x:c r="M478" s="207" t="str">
        <x:v>Не рассмотрено</x:v>
      </x:c>
      <x:c r="N478" s="207" t="str"/>
      <x:c r="O478" s="207" t="str">
        <x:v>17</x:v>
      </x:c>
      <x:c r="P478" s="207" t="n">
        <x:v>3</x:v>
      </x:c>
      <x:c r="Q478" s="208" t="str">
        <x:v>Wave 2 (31–60 дней)</x:v>
      </x:c>
    </x:row>
    <x:row r="479">
      <x:c r="A479" s="206" t="str">
        <x:v>DEC-00475</x:v>
      </x:c>
      <x:c r="B479" s="207" t="str">
        <x:v>Operation</x:v>
      </x:c>
      <x:c r="C479" s="207" t="str">
        <x:v>OP-DRAFT-00040</x:v>
      </x:c>
      <x:c r="D479" s="207" t="str">
        <x:v>production_order_id; operation_type_id; planned_hours; actual_hours; output_qty; defect_qty; completion_status</x:v>
      </x:c>
      <x:c r="E479" s="207" t="str">
        <x:v>48-17 желт кружево</x:v>
      </x:c>
      <x:c r="F479" s="207" t="str">
        <x:v>Назначить production_order_id, operation_type, дату и факт часов</x:v>
      </x:c>
      <x:c r="G479" s="207" t="str">
        <x:v>Производство</x:v>
      </x:c>
      <x:c r="H479" s="207" t="str">
        <x:v>Высокий</x:v>
      </x:c>
      <x:c r="I479" s="207" t="str">
        <x:v>Загрузка; производительность; фактическая cost</x:v>
      </x:c>
      <x:c r="J479" s="207" t="str">
        <x:v>Планирование X9</x:v>
      </x:c>
      <x:c r="K479" s="207" t="str"/>
      <x:c r="L479" s="207" t="str"/>
      <x:c r="M479" s="207" t="str">
        <x:v>Не рассмотрено</x:v>
      </x:c>
      <x:c r="N479" s="207" t="str"/>
      <x:c r="O479" s="207" t="str">
        <x:v>17</x:v>
      </x:c>
      <x:c r="P479" s="207" t="n">
        <x:v>3</x:v>
      </x:c>
      <x:c r="Q479" s="208" t="str">
        <x:v>Wave 2 (31–60 дней)</x:v>
      </x:c>
    </x:row>
    <x:row r="480">
      <x:c r="A480" s="206" t="str">
        <x:v>DEC-00476</x:v>
      </x:c>
      <x:c r="B480" s="207" t="str">
        <x:v>Operation</x:v>
      </x:c>
      <x:c r="C480" s="207" t="str">
        <x:v>OP-DRAFT-00041</x:v>
      </x:c>
      <x:c r="D480" s="207" t="str">
        <x:v>production_order_id; operation_type_id; planned_hours; actual_hours; output_qty; defect_qty; completion_status</x:v>
      </x:c>
      <x:c r="E480" s="207" t="str">
        <x:v>48-04 лиф комбинезона</x:v>
      </x:c>
      <x:c r="F480" s="207" t="str">
        <x:v>Назначить production_order_id, operation_type, дату и факт часов</x:v>
      </x:c>
      <x:c r="G480" s="207" t="str">
        <x:v>Производство</x:v>
      </x:c>
      <x:c r="H480" s="207" t="str">
        <x:v>Высокий</x:v>
      </x:c>
      <x:c r="I480" s="207" t="str">
        <x:v>Загрузка; производительность; фактическая cost</x:v>
      </x:c>
      <x:c r="J480" s="207" t="str">
        <x:v>Планирование Y9</x:v>
      </x:c>
      <x:c r="K480" s="207" t="str"/>
      <x:c r="L480" s="207" t="str"/>
      <x:c r="M480" s="207" t="str">
        <x:v>Не рассмотрено</x:v>
      </x:c>
      <x:c r="N480" s="207" t="str"/>
      <x:c r="O480" s="207" t="str">
        <x:v>17</x:v>
      </x:c>
      <x:c r="P480" s="207" t="n">
        <x:v>3</x:v>
      </x:c>
      <x:c r="Q480" s="208" t="str">
        <x:v>Wave 2 (31–60 дней)</x:v>
      </x:c>
    </x:row>
    <x:row r="481">
      <x:c r="A481" s="206" t="str">
        <x:v>DEC-00477</x:v>
      </x:c>
      <x:c r="B481" s="207" t="str">
        <x:v>Operation</x:v>
      </x:c>
      <x:c r="C481" s="207" t="str">
        <x:v>OP-DRAFT-00042</x:v>
      </x:c>
      <x:c r="D481" s="207" t="str">
        <x:v>production_order_id; operation_type_id; planned_hours; actual_hours; output_qty; defect_qty; completion_status</x:v>
      </x:c>
      <x:c r="E481" s="207" t="str">
        <x:v>48-26</x:v>
      </x:c>
      <x:c r="F481" s="207" t="str">
        <x:v>Назначить production_order_id, operation_type, дату и факт часов</x:v>
      </x:c>
      <x:c r="G481" s="207" t="str">
        <x:v>Производство</x:v>
      </x:c>
      <x:c r="H481" s="207" t="str">
        <x:v>Высокий</x:v>
      </x:c>
      <x:c r="I481" s="207" t="str">
        <x:v>Загрузка; производительность; фактическая cost</x:v>
      </x:c>
      <x:c r="J481" s="207" t="str">
        <x:v>Планирование Z9</x:v>
      </x:c>
      <x:c r="K481" s="207" t="str"/>
      <x:c r="L481" s="207" t="str"/>
      <x:c r="M481" s="207" t="str">
        <x:v>Не рассмотрено</x:v>
      </x:c>
      <x:c r="N481" s="207" t="str"/>
      <x:c r="O481" s="207" t="str">
        <x:v>17</x:v>
      </x:c>
      <x:c r="P481" s="207" t="n">
        <x:v>3</x:v>
      </x:c>
      <x:c r="Q481" s="208" t="str">
        <x:v>Wave 2 (31–60 дней)</x:v>
      </x:c>
    </x:row>
    <x:row r="482">
      <x:c r="A482" s="206" t="str">
        <x:v>DEC-00478</x:v>
      </x:c>
      <x:c r="B482" s="207" t="str">
        <x:v>Operation</x:v>
      </x:c>
      <x:c r="C482" s="207" t="str">
        <x:v>OP-DRAFT-00043</x:v>
      </x:c>
      <x:c r="D482" s="207" t="str">
        <x:v>production_order_id; operation_type_id; planned_hours; actual_hours; output_qty; defect_qty; completion_status</x:v>
      </x:c>
      <x:c r="E482" s="207" t="str">
        <x:v>48-26</x:v>
      </x:c>
      <x:c r="F482" s="207" t="str">
        <x:v>Назначить production_order_id, operation_type, дату и факт часов</x:v>
      </x:c>
      <x:c r="G482" s="207" t="str">
        <x:v>Производство</x:v>
      </x:c>
      <x:c r="H482" s="207" t="str">
        <x:v>Высокий</x:v>
      </x:c>
      <x:c r="I482" s="207" t="str">
        <x:v>Загрузка; производительность; фактическая cost</x:v>
      </x:c>
      <x:c r="J482" s="207" t="str">
        <x:v>Планирование AA9</x:v>
      </x:c>
      <x:c r="K482" s="207" t="str"/>
      <x:c r="L482" s="207" t="str"/>
      <x:c r="M482" s="207" t="str">
        <x:v>Не рассмотрено</x:v>
      </x:c>
      <x:c r="N482" s="207" t="str"/>
      <x:c r="O482" s="207" t="str">
        <x:v>17</x:v>
      </x:c>
      <x:c r="P482" s="207" t="n">
        <x:v>3</x:v>
      </x:c>
      <x:c r="Q482" s="208" t="str">
        <x:v>Wave 2 (31–60 дней)</x:v>
      </x:c>
    </x:row>
    <x:row r="483">
      <x:c r="A483" s="206" t="str">
        <x:v>DEC-00479</x:v>
      </x:c>
      <x:c r="B483" s="207" t="str">
        <x:v>Operation</x:v>
      </x:c>
      <x:c r="C483" s="207" t="str">
        <x:v>OP-DRAFT-00044</x:v>
      </x:c>
      <x:c r="D483" s="207" t="str">
        <x:v>production_order_id; operation_type_id; planned_hours; actual_hours; output_qty; defect_qty; completion_status</x:v>
      </x:c>
      <x:c r="E483" s="207" t="str">
        <x:v>48-26 кружево на юбку</x:v>
      </x:c>
      <x:c r="F483" s="207" t="str">
        <x:v>Назначить production_order_id, operation_type, дату и факт часов</x:v>
      </x:c>
      <x:c r="G483" s="207" t="str">
        <x:v>Производство</x:v>
      </x:c>
      <x:c r="H483" s="207" t="str">
        <x:v>Высокий</x:v>
      </x:c>
      <x:c r="I483" s="207" t="str">
        <x:v>Загрузка; производительность; фактическая cost</x:v>
      </x:c>
      <x:c r="J483" s="207" t="str">
        <x:v>Планирование AC9</x:v>
      </x:c>
      <x:c r="K483" s="207" t="str"/>
      <x:c r="L483" s="207" t="str"/>
      <x:c r="M483" s="207" t="str">
        <x:v>Не рассмотрено</x:v>
      </x:c>
      <x:c r="N483" s="207" t="str"/>
      <x:c r="O483" s="207" t="str">
        <x:v>17</x:v>
      </x:c>
      <x:c r="P483" s="207" t="n">
        <x:v>3</x:v>
      </x:c>
      <x:c r="Q483" s="208" t="str">
        <x:v>Wave 2 (31–60 дней)</x:v>
      </x:c>
    </x:row>
    <x:row r="484">
      <x:c r="A484" s="206" t="str">
        <x:v>DEC-00480</x:v>
      </x:c>
      <x:c r="B484" s="207" t="str">
        <x:v>Operation</x:v>
      </x:c>
      <x:c r="C484" s="207" t="str">
        <x:v>OP-DRAFT-00045</x:v>
      </x:c>
      <x:c r="D484" s="207" t="str">
        <x:v>production_order_id; operation_type_id; planned_hours; actual_hours; output_qty; defect_qty; completion_status</x:v>
      </x:c>
      <x:c r="E484" s="207" t="str">
        <x:v>48-26 кружево на юбку</x:v>
      </x:c>
      <x:c r="F484" s="207" t="str">
        <x:v>Назначить production_order_id, operation_type, дату и факт часов</x:v>
      </x:c>
      <x:c r="G484" s="207" t="str">
        <x:v>Производство</x:v>
      </x:c>
      <x:c r="H484" s="207" t="str">
        <x:v>Высокий</x:v>
      </x:c>
      <x:c r="I484" s="207" t="str">
        <x:v>Загрузка; производительность; фактическая cost</x:v>
      </x:c>
      <x:c r="J484" s="207" t="str">
        <x:v>Планирование AD9</x:v>
      </x:c>
      <x:c r="K484" s="207" t="str"/>
      <x:c r="L484" s="207" t="str"/>
      <x:c r="M484" s="207" t="str">
        <x:v>Не рассмотрено</x:v>
      </x:c>
      <x:c r="N484" s="207" t="str"/>
      <x:c r="O484" s="207" t="str">
        <x:v>17</x:v>
      </x:c>
      <x:c r="P484" s="207" t="n">
        <x:v>3</x:v>
      </x:c>
      <x:c r="Q484" s="208" t="str">
        <x:v>Wave 2 (31–60 дней)</x:v>
      </x:c>
    </x:row>
    <x:row r="485">
      <x:c r="A485" s="206" t="str">
        <x:v>DEC-00481</x:v>
      </x:c>
      <x:c r="B485" s="207" t="str">
        <x:v>Operation</x:v>
      </x:c>
      <x:c r="C485" s="207" t="str">
        <x:v>OP-DRAFT-00046</x:v>
      </x:c>
      <x:c r="D485" s="207" t="str">
        <x:v>production_order_id; operation_type_id; planned_hours; actual_hours; output_qty; defect_qty; completion_status</x:v>
      </x:c>
      <x:c r="E485" s="207" t="str">
        <x:v>48-26 кружево на юбку</x:v>
      </x:c>
      <x:c r="F485" s="207" t="str">
        <x:v>Назначить production_order_id, operation_type, дату и факт часов</x:v>
      </x:c>
      <x:c r="G485" s="207" t="str">
        <x:v>Производство</x:v>
      </x:c>
      <x:c r="H485" s="207" t="str">
        <x:v>Высокий</x:v>
      </x:c>
      <x:c r="I485" s="207" t="str">
        <x:v>Загрузка; производительность; фактическая cost</x:v>
      </x:c>
      <x:c r="J485" s="207" t="str">
        <x:v>Планирование AE9</x:v>
      </x:c>
      <x:c r="K485" s="207" t="str"/>
      <x:c r="L485" s="207" t="str"/>
      <x:c r="M485" s="207" t="str">
        <x:v>Не рассмотрено</x:v>
      </x:c>
      <x:c r="N485" s="207" t="str"/>
      <x:c r="O485" s="207" t="str">
        <x:v>17</x:v>
      </x:c>
      <x:c r="P485" s="207" t="n">
        <x:v>3</x:v>
      </x:c>
      <x:c r="Q485" s="208" t="str">
        <x:v>Wave 2 (31–60 дней)</x:v>
      </x:c>
    </x:row>
    <x:row r="486">
      <x:c r="A486" s="206" t="str">
        <x:v>DEC-00482</x:v>
      </x:c>
      <x:c r="B486" s="207" t="str">
        <x:v>Operation</x:v>
      </x:c>
      <x:c r="C486" s="207" t="str">
        <x:v>OP-DRAFT-00047</x:v>
      </x:c>
      <x:c r="D486" s="207" t="str">
        <x:v>production_order_id; operation_type_id; planned_hours; actual_hours; output_qty; defect_qty; completion_status</x:v>
      </x:c>
      <x:c r="E486" s="207" t="str">
        <x:v>48-26 кружево на юбку</x:v>
      </x:c>
      <x:c r="F486" s="207" t="str">
        <x:v>Назначить production_order_id, operation_type, дату и факт часов</x:v>
      </x:c>
      <x:c r="G486" s="207" t="str">
        <x:v>Производство</x:v>
      </x:c>
      <x:c r="H486" s="207" t="str">
        <x:v>Высокий</x:v>
      </x:c>
      <x:c r="I486" s="207" t="str">
        <x:v>Загрузка; производительность; фактическая cost</x:v>
      </x:c>
      <x:c r="J486" s="207" t="str">
        <x:v>Планирование AF9</x:v>
      </x:c>
      <x:c r="K486" s="207" t="str"/>
      <x:c r="L486" s="207" t="str"/>
      <x:c r="M486" s="207" t="str">
        <x:v>Не рассмотрено</x:v>
      </x:c>
      <x:c r="N486" s="207" t="str"/>
      <x:c r="O486" s="207" t="str">
        <x:v>17</x:v>
      </x:c>
      <x:c r="P486" s="207" t="n">
        <x:v>3</x:v>
      </x:c>
      <x:c r="Q486" s="208" t="str">
        <x:v>Wave 2 (31–60 дней)</x:v>
      </x:c>
    </x:row>
    <x:row r="487">
      <x:c r="A487" s="206" t="str">
        <x:v>DEC-00483</x:v>
      </x:c>
      <x:c r="B487" s="207" t="str">
        <x:v>Operation</x:v>
      </x:c>
      <x:c r="C487" s="207" t="str">
        <x:v>OP-DRAFT-00048</x:v>
      </x:c>
      <x:c r="D487" s="207" t="str">
        <x:v>production_order_id; operation_type_id; planned_hours; actual_hours; output_qty; defect_qty; completion_status</x:v>
      </x:c>
      <x:c r="E487" s="207" t="str">
        <x:v>48-26 кружево на юбку</x:v>
      </x:c>
      <x:c r="F487" s="207" t="str">
        <x:v>Назначить production_order_id, operation_type, дату и факт часов</x:v>
      </x:c>
      <x:c r="G487" s="207" t="str">
        <x:v>Производство</x:v>
      </x:c>
      <x:c r="H487" s="207" t="str">
        <x:v>Высокий</x:v>
      </x:c>
      <x:c r="I487" s="207" t="str">
        <x:v>Загрузка; производительность; фактическая cost</x:v>
      </x:c>
      <x:c r="J487" s="207" t="str">
        <x:v>Планирование AG9</x:v>
      </x:c>
      <x:c r="K487" s="207" t="str"/>
      <x:c r="L487" s="207" t="str"/>
      <x:c r="M487" s="207" t="str">
        <x:v>Не рассмотрено</x:v>
      </x:c>
      <x:c r="N487" s="207" t="str"/>
      <x:c r="O487" s="207" t="str">
        <x:v>17</x:v>
      </x:c>
      <x:c r="P487" s="207" t="n">
        <x:v>3</x:v>
      </x:c>
      <x:c r="Q487" s="208" t="str">
        <x:v>Wave 2 (31–60 дней)</x:v>
      </x:c>
    </x:row>
    <x:row r="488">
      <x:c r="A488" s="206" t="str">
        <x:v>DEC-00484</x:v>
      </x:c>
      <x:c r="B488" s="207" t="str">
        <x:v>Operation</x:v>
      </x:c>
      <x:c r="C488" s="207" t="str">
        <x:v>OP-DRAFT-00049</x:v>
      </x:c>
      <x:c r="D488" s="207" t="str">
        <x:v>production_order_id; operation_type_id; planned_hours; actual_hours; output_qty; defect_qty; completion_status</x:v>
      </x:c>
      <x:c r="E488" s="207" t="str">
        <x:v>47-30 Марианна</x:v>
      </x:c>
      <x:c r="F488" s="207" t="str">
        <x:v>Назначить production_order_id, operation_type, дату и факт часов</x:v>
      </x:c>
      <x:c r="G488" s="207" t="str">
        <x:v>Производство</x:v>
      </x:c>
      <x:c r="H488" s="207" t="str">
        <x:v>Высокий</x:v>
      </x:c>
      <x:c r="I488" s="207" t="str">
        <x:v>Загрузка; производительность; фактическая cost</x:v>
      </x:c>
      <x:c r="J488" s="207" t="str">
        <x:v>Планирование CG9</x:v>
      </x:c>
      <x:c r="K488" s="207" t="str"/>
      <x:c r="L488" s="207" t="str"/>
      <x:c r="M488" s="207" t="str">
        <x:v>Не рассмотрено</x:v>
      </x:c>
      <x:c r="N488" s="207" t="str"/>
      <x:c r="O488" s="207" t="str">
        <x:v>17</x:v>
      </x:c>
      <x:c r="P488" s="207" t="n">
        <x:v>3</x:v>
      </x:c>
      <x:c r="Q488" s="208" t="str">
        <x:v>Wave 2 (31–60 дней)</x:v>
      </x:c>
    </x:row>
    <x:row r="489">
      <x:c r="A489" s="206" t="str">
        <x:v>DEC-00485</x:v>
      </x:c>
      <x:c r="B489" s="207" t="str">
        <x:v>Operation</x:v>
      </x:c>
      <x:c r="C489" s="207" t="str">
        <x:v>OP-DRAFT-00050</x:v>
      </x:c>
      <x:c r="D489" s="207" t="str">
        <x:v>production_order_id; operation_type_id; planned_hours; actual_hours; output_qty; defect_qty; completion_status</x:v>
      </x:c>
      <x:c r="E489" s="207" t="str">
        <x:v>47-30 Марианна</x:v>
      </x:c>
      <x:c r="F489" s="207" t="str">
        <x:v>Назначить production_order_id, operation_type, дату и факт часов</x:v>
      </x:c>
      <x:c r="G489" s="207" t="str">
        <x:v>Производство</x:v>
      </x:c>
      <x:c r="H489" s="207" t="str">
        <x:v>Высокий</x:v>
      </x:c>
      <x:c r="I489" s="207" t="str">
        <x:v>Загрузка; производительность; фактическая cost</x:v>
      </x:c>
      <x:c r="J489" s="207" t="str">
        <x:v>Планирование CH9</x:v>
      </x:c>
      <x:c r="K489" s="207" t="str"/>
      <x:c r="L489" s="207" t="str"/>
      <x:c r="M489" s="207" t="str">
        <x:v>Не рассмотрено</x:v>
      </x:c>
      <x:c r="N489" s="207" t="str"/>
      <x:c r="O489" s="207" t="str">
        <x:v>17</x:v>
      </x:c>
      <x:c r="P489" s="207" t="n">
        <x:v>3</x:v>
      </x:c>
      <x:c r="Q489" s="208" t="str">
        <x:v>Wave 2 (31–60 дней)</x:v>
      </x:c>
    </x:row>
    <x:row r="490">
      <x:c r="A490" s="206" t="str">
        <x:v>DEC-00486</x:v>
      </x:c>
      <x:c r="B490" s="207" t="str">
        <x:v>Operation</x:v>
      </x:c>
      <x:c r="C490" s="207" t="str">
        <x:v>OP-DRAFT-00051</x:v>
      </x:c>
      <x:c r="D490" s="207" t="str">
        <x:v>production_order_id; operation_type_id; planned_hours; actual_hours; output_qty; defect_qty; completion_status</x:v>
      </x:c>
      <x:c r="E490" s="207" t="str">
        <x:v>47-30 Марианна</x:v>
      </x:c>
      <x:c r="F490" s="207" t="str">
        <x:v>Назначить production_order_id, operation_type, дату и факт часов</x:v>
      </x:c>
      <x:c r="G490" s="207" t="str">
        <x:v>Производство</x:v>
      </x:c>
      <x:c r="H490" s="207" t="str">
        <x:v>Высокий</x:v>
      </x:c>
      <x:c r="I490" s="207" t="str">
        <x:v>Загрузка; производительность; фактическая cost</x:v>
      </x:c>
      <x:c r="J490" s="207" t="str">
        <x:v>Планирование CI9</x:v>
      </x:c>
      <x:c r="K490" s="207" t="str"/>
      <x:c r="L490" s="207" t="str"/>
      <x:c r="M490" s="207" t="str">
        <x:v>Не рассмотрено</x:v>
      </x:c>
      <x:c r="N490" s="207" t="str"/>
      <x:c r="O490" s="207" t="str">
        <x:v>17</x:v>
      </x:c>
      <x:c r="P490" s="207" t="n">
        <x:v>3</x:v>
      </x:c>
      <x:c r="Q490" s="208" t="str">
        <x:v>Wave 2 (31–60 дней)</x:v>
      </x:c>
    </x:row>
    <x:row r="491">
      <x:c r="A491" s="206" t="str">
        <x:v>DEC-00487</x:v>
      </x:c>
      <x:c r="B491" s="207" t="str">
        <x:v>Operation</x:v>
      </x:c>
      <x:c r="C491" s="207" t="str">
        <x:v>OP-DRAFT-00052</x:v>
      </x:c>
      <x:c r="D491" s="207" t="str">
        <x:v>production_order_id; operation_type_id; planned_hours; actual_hours; output_qty; defect_qty; completion_status</x:v>
      </x:c>
      <x:c r="E491" s="207" t="str">
        <x:v>47-30 Марианна</x:v>
      </x:c>
      <x:c r="F491" s="207" t="str">
        <x:v>Назначить production_order_id, operation_type, дату и факт часов</x:v>
      </x:c>
      <x:c r="G491" s="207" t="str">
        <x:v>Производство</x:v>
      </x:c>
      <x:c r="H491" s="207" t="str">
        <x:v>Высокий</x:v>
      </x:c>
      <x:c r="I491" s="207" t="str">
        <x:v>Загрузка; производительность; фактическая cost</x:v>
      </x:c>
      <x:c r="J491" s="207" t="str">
        <x:v>Планирование CJ9</x:v>
      </x:c>
      <x:c r="K491" s="207" t="str"/>
      <x:c r="L491" s="207" t="str"/>
      <x:c r="M491" s="207" t="str">
        <x:v>Не рассмотрено</x:v>
      </x:c>
      <x:c r="N491" s="207" t="str"/>
      <x:c r="O491" s="207" t="str">
        <x:v>17</x:v>
      </x:c>
      <x:c r="P491" s="207" t="n">
        <x:v>3</x:v>
      </x:c>
      <x:c r="Q491" s="208" t="str">
        <x:v>Wave 2 (31–60 дней)</x:v>
      </x:c>
    </x:row>
    <x:row r="492">
      <x:c r="A492" s="206" t="str">
        <x:v>DEC-00488</x:v>
      </x:c>
      <x:c r="B492" s="207" t="str">
        <x:v>Operation</x:v>
      </x:c>
      <x:c r="C492" s="207" t="str">
        <x:v>OP-DRAFT-00053</x:v>
      </x:c>
      <x:c r="D492" s="207" t="str">
        <x:v>production_order_id; operation_type_id; planned_hours; actual_hours; output_qty; defect_qty; completion_status</x:v>
      </x:c>
      <x:c r="E492" s="207" t="str">
        <x:v>47-30 Марианна</x:v>
      </x:c>
      <x:c r="F492" s="207" t="str">
        <x:v>Назначить production_order_id, operation_type, дату и факт часов</x:v>
      </x:c>
      <x:c r="G492" s="207" t="str">
        <x:v>Производство</x:v>
      </x:c>
      <x:c r="H492" s="207" t="str">
        <x:v>Высокий</x:v>
      </x:c>
      <x:c r="I492" s="207" t="str">
        <x:v>Загрузка; производительность; фактическая cost</x:v>
      </x:c>
      <x:c r="J492" s="207" t="str">
        <x:v>Планирование CK9</x:v>
      </x:c>
      <x:c r="K492" s="207" t="str"/>
      <x:c r="L492" s="207" t="str"/>
      <x:c r="M492" s="207" t="str">
        <x:v>Не рассмотрено</x:v>
      </x:c>
      <x:c r="N492" s="207" t="str"/>
      <x:c r="O492" s="207" t="str">
        <x:v>17</x:v>
      </x:c>
      <x:c r="P492" s="207" t="n">
        <x:v>3</x:v>
      </x:c>
      <x:c r="Q492" s="208" t="str">
        <x:v>Wave 2 (31–60 дней)</x:v>
      </x:c>
    </x:row>
    <x:row r="493">
      <x:c r="A493" s="206" t="str">
        <x:v>DEC-00489</x:v>
      </x:c>
      <x:c r="B493" s="207" t="str">
        <x:v>Operation</x:v>
      </x:c>
      <x:c r="C493" s="207" t="str">
        <x:v>OP-DRAFT-00054</x:v>
      </x:c>
      <x:c r="D493" s="207" t="str">
        <x:v>production_order_id; operation_type_id; planned_hours; actual_hours; output_qty; defect_qty; completion_status</x:v>
      </x:c>
      <x:c r="E493" s="207" t="str">
        <x:v>47-30 Марианна</x:v>
      </x:c>
      <x:c r="F493" s="207" t="str">
        <x:v>Назначить production_order_id, operation_type, дату и факт часов</x:v>
      </x:c>
      <x:c r="G493" s="207" t="str">
        <x:v>Производство</x:v>
      </x:c>
      <x:c r="H493" s="207" t="str">
        <x:v>Высокий</x:v>
      </x:c>
      <x:c r="I493" s="207" t="str">
        <x:v>Загрузка; производительность; фактическая cost</x:v>
      </x:c>
      <x:c r="J493" s="207" t="str">
        <x:v>Планирование CN9</x:v>
      </x:c>
      <x:c r="K493" s="207" t="str"/>
      <x:c r="L493" s="207" t="str"/>
      <x:c r="M493" s="207" t="str">
        <x:v>Не рассмотрено</x:v>
      </x:c>
      <x:c r="N493" s="207" t="str"/>
      <x:c r="O493" s="207" t="str">
        <x:v>17</x:v>
      </x:c>
      <x:c r="P493" s="207" t="n">
        <x:v>3</x:v>
      </x:c>
      <x:c r="Q493" s="208" t="str">
        <x:v>Wave 2 (31–60 дней)</x:v>
      </x:c>
    </x:row>
    <x:row r="494">
      <x:c r="A494" s="206" t="str">
        <x:v>DEC-00490</x:v>
      </x:c>
      <x:c r="B494" s="207" t="str">
        <x:v>Operation</x:v>
      </x:c>
      <x:c r="C494" s="207" t="str">
        <x:v>OP-DRAFT-00055</x:v>
      </x:c>
      <x:c r="D494" s="207" t="str">
        <x:v>production_order_id; operation_type_id; planned_hours; actual_hours; output_qty; defect_qty; completion_status</x:v>
      </x:c>
      <x:c r="E494" s="207" t="str">
        <x:v>47-30 Марианна</x:v>
      </x:c>
      <x:c r="F494" s="207" t="str">
        <x:v>Назначить production_order_id, operation_type, дату и факт часов</x:v>
      </x:c>
      <x:c r="G494" s="207" t="str">
        <x:v>Производство</x:v>
      </x:c>
      <x:c r="H494" s="207" t="str">
        <x:v>Высокий</x:v>
      </x:c>
      <x:c r="I494" s="207" t="str">
        <x:v>Загрузка; производительность; фактическая cost</x:v>
      </x:c>
      <x:c r="J494" s="207" t="str">
        <x:v>Планирование CO9</x:v>
      </x:c>
      <x:c r="K494" s="207" t="str"/>
      <x:c r="L494" s="207" t="str"/>
      <x:c r="M494" s="207" t="str">
        <x:v>Не рассмотрено</x:v>
      </x:c>
      <x:c r="N494" s="207" t="str"/>
      <x:c r="O494" s="207" t="str">
        <x:v>17</x:v>
      </x:c>
      <x:c r="P494" s="207" t="n">
        <x:v>3</x:v>
      </x:c>
      <x:c r="Q494" s="208" t="str">
        <x:v>Wave 2 (31–60 дней)</x:v>
      </x:c>
    </x:row>
    <x:row r="495">
      <x:c r="A495" s="206" t="str">
        <x:v>DEC-00491</x:v>
      </x:c>
      <x:c r="B495" s="207" t="str">
        <x:v>Operation</x:v>
      </x:c>
      <x:c r="C495" s="207" t="str">
        <x:v>OP-DRAFT-00056</x:v>
      </x:c>
      <x:c r="D495" s="207" t="str">
        <x:v>production_order_id; operation_type_id; planned_hours; actual_hours; output_qty; defect_qty; completion_status</x:v>
      </x:c>
      <x:c r="E495" s="207" t="str">
        <x:v>48-19</x:v>
      </x:c>
      <x:c r="F495" s="207" t="str">
        <x:v>Назначить production_order_id, operation_type, дату и факт часов</x:v>
      </x:c>
      <x:c r="G495" s="207" t="str">
        <x:v>Производство</x:v>
      </x:c>
      <x:c r="H495" s="207" t="str">
        <x:v>Высокий</x:v>
      </x:c>
      <x:c r="I495" s="207" t="str">
        <x:v>Загрузка; производительность; фактическая cost</x:v>
      </x:c>
      <x:c r="J495" s="207" t="str">
        <x:v>Планирование O10</x:v>
      </x:c>
      <x:c r="K495" s="207" t="str"/>
      <x:c r="L495" s="207" t="str"/>
      <x:c r="M495" s="207" t="str">
        <x:v>Не рассмотрено</x:v>
      </x:c>
      <x:c r="N495" s="207" t="str"/>
      <x:c r="O495" s="207" t="str">
        <x:v>17</x:v>
      </x:c>
      <x:c r="P495" s="207" t="n">
        <x:v>3</x:v>
      </x:c>
      <x:c r="Q495" s="208" t="str">
        <x:v>Wave 2 (31–60 дней)</x:v>
      </x:c>
    </x:row>
    <x:row r="496">
      <x:c r="A496" s="206" t="str">
        <x:v>DEC-00492</x:v>
      </x:c>
      <x:c r="B496" s="207" t="str">
        <x:v>Operation</x:v>
      </x:c>
      <x:c r="C496" s="207" t="str">
        <x:v>OP-DRAFT-00057</x:v>
      </x:c>
      <x:c r="D496" s="207" t="str">
        <x:v>production_order_id; operation_type_id; planned_hours; actual_hours; output_qty; defect_qty; completion_status</x:v>
      </x:c>
      <x:c r="E496" s="207" t="str">
        <x:v>48-26, 27, 28, 29, 31, 32</x:v>
      </x:c>
      <x:c r="F496" s="207" t="str">
        <x:v>Назначить production_order_id, operation_type, дату и факт часов</x:v>
      </x:c>
      <x:c r="G496" s="207" t="str">
        <x:v>Производство</x:v>
      </x:c>
      <x:c r="H496" s="207" t="str">
        <x:v>Высокий</x:v>
      </x:c>
      <x:c r="I496" s="207" t="str">
        <x:v>Загрузка; производительность; фактическая cost</x:v>
      </x:c>
      <x:c r="J496" s="207" t="str">
        <x:v>Планирование P11</x:v>
      </x:c>
      <x:c r="K496" s="207" t="str"/>
      <x:c r="L496" s="207" t="str"/>
      <x:c r="M496" s="207" t="str">
        <x:v>Не рассмотрено</x:v>
      </x:c>
      <x:c r="N496" s="207" t="str"/>
      <x:c r="O496" s="207" t="str">
        <x:v>17</x:v>
      </x:c>
      <x:c r="P496" s="207" t="n">
        <x:v>3</x:v>
      </x:c>
      <x:c r="Q496" s="208" t="str">
        <x:v>Wave 2 (31–60 дней)</x:v>
      </x:c>
    </x:row>
    <x:row r="497">
      <x:c r="A497" s="206" t="str">
        <x:v>DEC-00493</x:v>
      </x:c>
      <x:c r="B497" s="207" t="str">
        <x:v>Operation</x:v>
      </x:c>
      <x:c r="C497" s="207" t="str">
        <x:v>OP-DRAFT-00058</x:v>
      </x:c>
      <x:c r="D497" s="207" t="str">
        <x:v>production_order_id; operation_type_id; planned_hours; actual_hours; output_qty; defect_qty; completion_status</x:v>
      </x:c>
      <x:c r="E497" s="207" t="str">
        <x:v>47-19 Магдалина 9д сд 28, ИЗМЕНИЛИ КОНСТРУКЦИЮ, +1д</x:v>
      </x:c>
      <x:c r="F497" s="207" t="str">
        <x:v>Назначить production_order_id, operation_type, дату и факт часов</x:v>
      </x:c>
      <x:c r="G497" s="207" t="str">
        <x:v>Производство</x:v>
      </x:c>
      <x:c r="H497" s="207" t="str">
        <x:v>Высокий</x:v>
      </x:c>
      <x:c r="I497" s="207" t="str">
        <x:v>Загрузка; производительность; фактическая cost</x:v>
      </x:c>
      <x:c r="J497" s="207" t="str">
        <x:v>Планирование F13</x:v>
      </x:c>
      <x:c r="K497" s="207" t="str"/>
      <x:c r="L497" s="207" t="str"/>
      <x:c r="M497" s="207" t="str">
        <x:v>Не рассмотрено</x:v>
      </x:c>
      <x:c r="N497" s="207" t="str"/>
      <x:c r="O497" s="207" t="str">
        <x:v>17</x:v>
      </x:c>
      <x:c r="P497" s="207" t="n">
        <x:v>3</x:v>
      </x:c>
      <x:c r="Q497" s="208" t="str">
        <x:v>Wave 2 (31–60 дней)</x:v>
      </x:c>
    </x:row>
    <x:row r="498">
      <x:c r="A498" s="206" t="str">
        <x:v>DEC-00494</x:v>
      </x:c>
      <x:c r="B498" s="207" t="str">
        <x:v>Operation</x:v>
      </x:c>
      <x:c r="C498" s="207" t="str">
        <x:v>OP-DRAFT-00059</x:v>
      </x:c>
      <x:c r="D498" s="207" t="str">
        <x:v>production_order_id; operation_type_id; planned_hours; actual_hours; output_qty; defect_qty; completion_status</x:v>
      </x:c>
      <x:c r="E498" s="207" t="str">
        <x:v>48-13 листья, веточки, колокольчки, листья ландышей</x:v>
      </x:c>
      <x:c r="F498" s="207" t="str">
        <x:v>Назначить production_order_id, operation_type, дату и факт часов</x:v>
      </x:c>
      <x:c r="G498" s="207" t="str">
        <x:v>Производство</x:v>
      </x:c>
      <x:c r="H498" s="207" t="str">
        <x:v>Высокий</x:v>
      </x:c>
      <x:c r="I498" s="207" t="str">
        <x:v>Загрузка; производительность; фактическая cost</x:v>
      </x:c>
      <x:c r="J498" s="207" t="str">
        <x:v>Планирование O13</x:v>
      </x:c>
      <x:c r="K498" s="207" t="str"/>
      <x:c r="L498" s="207" t="str"/>
      <x:c r="M498" s="207" t="str">
        <x:v>Не рассмотрено</x:v>
      </x:c>
      <x:c r="N498" s="207" t="str"/>
      <x:c r="O498" s="207" t="str">
        <x:v>17</x:v>
      </x:c>
      <x:c r="P498" s="207" t="n">
        <x:v>3</x:v>
      </x:c>
      <x:c r="Q498" s="208" t="str">
        <x:v>Wave 2 (31–60 дней)</x:v>
      </x:c>
    </x:row>
    <x:row r="499">
      <x:c r="A499" s="206" t="str">
        <x:v>DEC-00495</x:v>
      </x:c>
      <x:c r="B499" s="207" t="str">
        <x:v>Operation</x:v>
      </x:c>
      <x:c r="C499" s="207" t="str">
        <x:v>OP-DRAFT-00061</x:v>
      </x:c>
      <x:c r="D499" s="207" t="str">
        <x:v>model_id/canonical_sku; production_order_id; operation_type_id; planned_hours; actual_hours; output_qty; defect_qty; completion_status</x:v>
      </x:c>
      <x:c r="E499" s="207" t="str">
        <x:v>Рукава Кулишовой, Веточки?</x:v>
      </x:c>
      <x:c r="F499" s="207" t="str">
        <x:v>Назначить production_order_id, operation_type, дату и факт часов</x:v>
      </x:c>
      <x:c r="G499" s="207" t="str">
        <x:v>Производство</x:v>
      </x:c>
      <x:c r="H499" s="207" t="str">
        <x:v>Высокий</x:v>
      </x:c>
      <x:c r="I499" s="207" t="str">
        <x:v>Загрузка; производительность; фактическая cost</x:v>
      </x:c>
      <x:c r="J499" s="207" t="str">
        <x:v>Планирование X13</x:v>
      </x:c>
      <x:c r="K499" s="207" t="str"/>
      <x:c r="L499" s="207" t="str"/>
      <x:c r="M499" s="207" t="str">
        <x:v>Не рассмотрено</x:v>
      </x:c>
      <x:c r="N499" s="207" t="str"/>
      <x:c r="O499" s="207" t="str">
        <x:v>17</x:v>
      </x:c>
      <x:c r="P499" s="207" t="n">
        <x:v>3</x:v>
      </x:c>
      <x:c r="Q499" s="208" t="str">
        <x:v>Wave 2 (31–60 дней)</x:v>
      </x:c>
    </x:row>
    <x:row r="500">
      <x:c r="A500" s="206" t="str">
        <x:v>DEC-00496</x:v>
      </x:c>
      <x:c r="B500" s="207" t="str">
        <x:v>Operation</x:v>
      </x:c>
      <x:c r="C500" s="207" t="str">
        <x:v>OP-DRAFT-00062</x:v>
      </x:c>
      <x:c r="D500" s="207" t="str">
        <x:v>production_order_id; operation_type_id; planned_hours; actual_hours; output_qty; defect_qty; completion_status</x:v>
      </x:c>
      <x:c r="E500" s="207" t="str">
        <x:v>Листья ландышей, цветы на 48-09, 48-18 васильки</x:v>
      </x:c>
      <x:c r="F500" s="207" t="str">
        <x:v>Назначить production_order_id, operation_type, дату и факт часов</x:v>
      </x:c>
      <x:c r="G500" s="207" t="str">
        <x:v>Производство</x:v>
      </x:c>
      <x:c r="H500" s="207" t="str">
        <x:v>Высокий</x:v>
      </x:c>
      <x:c r="I500" s="207" t="str">
        <x:v>Загрузка; производительность; фактическая cost</x:v>
      </x:c>
      <x:c r="J500" s="207" t="str">
        <x:v>Планирование AC13</x:v>
      </x:c>
      <x:c r="K500" s="207" t="str"/>
      <x:c r="L500" s="207" t="str"/>
      <x:c r="M500" s="207" t="str">
        <x:v>Не рассмотрено</x:v>
      </x:c>
      <x:c r="N500" s="207" t="str"/>
      <x:c r="O500" s="207" t="str">
        <x:v>17</x:v>
      </x:c>
      <x:c r="P500" s="207" t="n">
        <x:v>3</x:v>
      </x:c>
      <x:c r="Q500" s="208" t="str">
        <x:v>Wave 2 (31–60 дней)</x:v>
      </x:c>
    </x:row>
    <x:row r="501">
      <x:c r="A501" s="206" t="str">
        <x:v>DEC-00497</x:v>
      </x:c>
      <x:c r="B501" s="207" t="str">
        <x:v>Operation</x:v>
      </x:c>
      <x:c r="C501" s="207" t="str">
        <x:v>OP-DRAFT-00063</x:v>
      </x:c>
      <x:c r="D501" s="207" t="str">
        <x:v>production_order_id; operation_type_id; planned_hours; actual_hours; output_qty; defect_qty; completion_status</x:v>
      </x:c>
      <x:c r="E501" s="207" t="str">
        <x:v>0-3400 Шелудченко</x:v>
      </x:c>
      <x:c r="F501" s="207" t="str">
        <x:v>Назначить production_order_id, operation_type, дату и факт часов</x:v>
      </x:c>
      <x:c r="G501" s="207" t="str">
        <x:v>Производство</x:v>
      </x:c>
      <x:c r="H501" s="207" t="str">
        <x:v>Высокий</x:v>
      </x:c>
      <x:c r="I501" s="207" t="str">
        <x:v>Загрузка; производительность; фактическая cost</x:v>
      </x:c>
      <x:c r="J501" s="207" t="str">
        <x:v>Планирование AD13</x:v>
      </x:c>
      <x:c r="K501" s="207" t="str"/>
      <x:c r="L501" s="207" t="str"/>
      <x:c r="M501" s="207" t="str">
        <x:v>Не рассмотрено</x:v>
      </x:c>
      <x:c r="N501" s="207" t="str"/>
      <x:c r="O501" s="207" t="str">
        <x:v>17</x:v>
      </x:c>
      <x:c r="P501" s="207" t="n">
        <x:v>3</x:v>
      </x:c>
      <x:c r="Q501" s="208" t="str">
        <x:v>Wave 2 (31–60 дней)</x:v>
      </x:c>
    </x:row>
    <x:row r="502">
      <x:c r="A502" s="206" t="str">
        <x:v>DEC-00498</x:v>
      </x:c>
      <x:c r="B502" s="207" t="str">
        <x:v>Operation</x:v>
      </x:c>
      <x:c r="C502" s="207" t="str">
        <x:v>OP-DRAFT-00064</x:v>
      </x:c>
      <x:c r="D502" s="207" t="str">
        <x:v>production_order_id; operation_type_id; planned_hours; actual_hours; output_qty; defect_qty; completion_status</x:v>
      </x:c>
      <x:c r="E502" s="207" t="str">
        <x:v>зубчики 48-24</x:v>
      </x:c>
      <x:c r="F502" s="207" t="str">
        <x:v>Назначить production_order_id, operation_type, дату и факт часов</x:v>
      </x:c>
      <x:c r="G502" s="207" t="str">
        <x:v>Производство</x:v>
      </x:c>
      <x:c r="H502" s="207" t="str">
        <x:v>Высокий</x:v>
      </x:c>
      <x:c r="I502" s="207" t="str">
        <x:v>Загрузка; производительность; фактическая cost</x:v>
      </x:c>
      <x:c r="J502" s="207" t="str">
        <x:v>Планирование AE13</x:v>
      </x:c>
      <x:c r="K502" s="207" t="str"/>
      <x:c r="L502" s="207" t="str"/>
      <x:c r="M502" s="207" t="str">
        <x:v>Не рассмотрено</x:v>
      </x:c>
      <x:c r="N502" s="207" t="str"/>
      <x:c r="O502" s="207" t="str">
        <x:v>17</x:v>
      </x:c>
      <x:c r="P502" s="207" t="n">
        <x:v>3</x:v>
      </x:c>
      <x:c r="Q502" s="208" t="str">
        <x:v>Wave 2 (31–60 дней)</x:v>
      </x:c>
    </x:row>
    <x:row r="503">
      <x:c r="A503" s="206" t="str">
        <x:v>DEC-00499</x:v>
      </x:c>
      <x:c r="B503" s="207" t="str">
        <x:v>Operation</x:v>
      </x:c>
      <x:c r="C503" s="207" t="str">
        <x:v>OP-DRAFT-00065</x:v>
      </x:c>
      <x:c r="D503" s="207" t="str">
        <x:v>production_order_id; operation_type_id; planned_hours; actual_hours; output_qty; defect_qty; completion_status</x:v>
      </x:c>
      <x:c r="E503" s="207" t="str">
        <x:v>цветы 48-09</x:v>
      </x:c>
      <x:c r="F503" s="207" t="str">
        <x:v>Назначить production_order_id, operation_type, дату и факт часов</x:v>
      </x:c>
      <x:c r="G503" s="207" t="str">
        <x:v>Производство</x:v>
      </x:c>
      <x:c r="H503" s="207" t="str">
        <x:v>Высокий</x:v>
      </x:c>
      <x:c r="I503" s="207" t="str">
        <x:v>Загрузка; производительность; фактическая cost</x:v>
      </x:c>
      <x:c r="J503" s="207" t="str">
        <x:v>Планирование AF13</x:v>
      </x:c>
      <x:c r="K503" s="207" t="str"/>
      <x:c r="L503" s="207" t="str"/>
      <x:c r="M503" s="207" t="str">
        <x:v>Не рассмотрено</x:v>
      </x:c>
      <x:c r="N503" s="207" t="str"/>
      <x:c r="O503" s="207" t="str">
        <x:v>17</x:v>
      </x:c>
      <x:c r="P503" s="207" t="n">
        <x:v>3</x:v>
      </x:c>
      <x:c r="Q503" s="208" t="str">
        <x:v>Wave 2 (31–60 дней)</x:v>
      </x:c>
    </x:row>
    <x:row r="504">
      <x:c r="A504" s="206" t="str">
        <x:v>DEC-00500</x:v>
      </x:c>
      <x:c r="B504" s="207" t="str">
        <x:v>Operation</x:v>
      </x:c>
      <x:c r="C504" s="207" t="str">
        <x:v>OP-DRAFT-00066</x:v>
      </x:c>
      <x:c r="D504" s="207" t="str">
        <x:v>production_order_id; operation_type_id; planned_hours; actual_hours; output_qty; defect_qty; completion_status</x:v>
      </x:c>
      <x:c r="E504" s="207" t="str">
        <x:v>47-30 Уланова 32д сд 25.05</x:v>
      </x:c>
      <x:c r="F504" s="207" t="str">
        <x:v>Назначить production_order_id, operation_type, дату и факт часов</x:v>
      </x:c>
      <x:c r="G504" s="207" t="str">
        <x:v>Производство</x:v>
      </x:c>
      <x:c r="H504" s="207" t="str">
        <x:v>Высокий</x:v>
      </x:c>
      <x:c r="I504" s="207" t="str">
        <x:v>Загрузка; производительность; фактическая cost</x:v>
      </x:c>
      <x:c r="J504" s="207" t="str">
        <x:v>Планирование C14</x:v>
      </x:c>
      <x:c r="K504" s="207" t="str"/>
      <x:c r="L504" s="207" t="str"/>
      <x:c r="M504" s="207" t="str">
        <x:v>Не рассмотрено</x:v>
      </x:c>
      <x:c r="N504" s="207" t="str"/>
      <x:c r="O504" s="207" t="str">
        <x:v>17</x:v>
      </x:c>
      <x:c r="P504" s="207" t="n">
        <x:v>3</x:v>
      </x:c>
      <x:c r="Q504" s="208" t="str">
        <x:v>Wave 2 (31–60 дней)</x:v>
      </x:c>
    </x:row>
    <x:row r="505">
      <x:c r="A505" s="206" t="str">
        <x:v>DEC-00501</x:v>
      </x:c>
      <x:c r="B505" s="207" t="str">
        <x:v>Operation</x:v>
      </x:c>
      <x:c r="C505" s="207" t="str">
        <x:v>OP-DRAFT-00067</x:v>
      </x:c>
      <x:c r="D505" s="207" t="str">
        <x:v>production_order_id; operation_type_id; planned_hours; actual_hours; output_qty; defect_qty; completion_status</x:v>
      </x:c>
      <x:c r="E505" s="207" t="str">
        <x:v>47-27 Кислова 22д, сд 8.06</x:v>
      </x:c>
      <x:c r="F505" s="207" t="str">
        <x:v>Назначить production_order_id, operation_type, дату и факт часов</x:v>
      </x:c>
      <x:c r="G505" s="207" t="str">
        <x:v>Производство</x:v>
      </x:c>
      <x:c r="H505" s="207" t="str">
        <x:v>Высокий</x:v>
      </x:c>
      <x:c r="I505" s="207" t="str">
        <x:v>Загрузка; производительность; фактическая cost</x:v>
      </x:c>
      <x:c r="J505" s="207" t="str">
        <x:v>Планирование E14</x:v>
      </x:c>
      <x:c r="K505" s="207" t="str"/>
      <x:c r="L505" s="207" t="str"/>
      <x:c r="M505" s="207" t="str">
        <x:v>Не рассмотрено</x:v>
      </x:c>
      <x:c r="N505" s="207" t="str"/>
      <x:c r="O505" s="207" t="str">
        <x:v>17</x:v>
      </x:c>
      <x:c r="P505" s="207" t="n">
        <x:v>3</x:v>
      </x:c>
      <x:c r="Q505" s="208" t="str">
        <x:v>Wave 2 (31–60 дней)</x:v>
      </x:c>
    </x:row>
    <x:row r="506">
      <x:c r="A506" s="206" t="str">
        <x:v>DEC-00502</x:v>
      </x:c>
      <x:c r="B506" s="207" t="str">
        <x:v>Operation</x:v>
      </x:c>
      <x:c r="C506" s="207" t="str">
        <x:v>OP-DRAFT-00068</x:v>
      </x:c>
      <x:c r="D506" s="207" t="str">
        <x:v>model_id/canonical_sku; production_order_id; operation_type_id; planned_hours; actual_hours; output_qty; defect_qty; completion_status</x:v>
      </x:c>
      <x:c r="E506" s="207" t="str">
        <x:v>ПРИОСТАНОВЛЕНО</x:v>
      </x:c>
      <x:c r="F506" s="207" t="str">
        <x:v>Назначить production_order_id, operation_type, дату и факт часов</x:v>
      </x:c>
      <x:c r="G506" s="207" t="str">
        <x:v>Производство</x:v>
      </x:c>
      <x:c r="H506" s="207" t="str">
        <x:v>Высокий</x:v>
      </x:c>
      <x:c r="I506" s="207" t="str">
        <x:v>Загрузка; производительность; фактическая cost</x:v>
      </x:c>
      <x:c r="J506" s="207" t="str">
        <x:v>Планирование I14</x:v>
      </x:c>
      <x:c r="K506" s="207" t="str"/>
      <x:c r="L506" s="207" t="str"/>
      <x:c r="M506" s="207" t="str">
        <x:v>Не рассмотрено</x:v>
      </x:c>
      <x:c r="N506" s="207" t="str"/>
      <x:c r="O506" s="207" t="str">
        <x:v>17</x:v>
      </x:c>
      <x:c r="P506" s="207" t="n">
        <x:v>3</x:v>
      </x:c>
      <x:c r="Q506" s="208" t="str">
        <x:v>Wave 2 (31–60 дней)</x:v>
      </x:c>
    </x:row>
    <x:row r="507">
      <x:c r="A507" s="206" t="str">
        <x:v>DEC-00503</x:v>
      </x:c>
      <x:c r="B507" s="207" t="str">
        <x:v>Operation</x:v>
      </x:c>
      <x:c r="C507" s="207" t="str">
        <x:v>OP-DRAFT-00069</x:v>
      </x:c>
      <x:c r="D507" s="207" t="str">
        <x:v>production_order_id; operation_type_id; planned_hours; actual_hours; output_qty; defect_qty; completion_status</x:v>
      </x:c>
      <x:c r="E507" s="207" t="str">
        <x:v>Кислова 47-27 сд 8.06</x:v>
      </x:c>
      <x:c r="F507" s="207" t="str">
        <x:v>Назначить production_order_id, operation_type, дату и факт часов</x:v>
      </x:c>
      <x:c r="G507" s="207" t="str">
        <x:v>Производство</x:v>
      </x:c>
      <x:c r="H507" s="207" t="str">
        <x:v>Высокий</x:v>
      </x:c>
      <x:c r="I507" s="207" t="str">
        <x:v>Загрузка; производительность; фактическая cost</x:v>
      </x:c>
      <x:c r="J507" s="207" t="str">
        <x:v>Планирование O14</x:v>
      </x:c>
      <x:c r="K507" s="207" t="str"/>
      <x:c r="L507" s="207" t="str"/>
      <x:c r="M507" s="207" t="str">
        <x:v>Не рассмотрено</x:v>
      </x:c>
      <x:c r="N507" s="207" t="str"/>
      <x:c r="O507" s="207" t="str">
        <x:v>17</x:v>
      </x:c>
      <x:c r="P507" s="207" t="n">
        <x:v>3</x:v>
      </x:c>
      <x:c r="Q507" s="208" t="str">
        <x:v>Wave 2 (31–60 дней)</x:v>
      </x:c>
    </x:row>
    <x:row r="508">
      <x:c r="A508" s="206" t="str">
        <x:v>DEC-00504</x:v>
      </x:c>
      <x:c r="B508" s="207" t="str">
        <x:v>Operation</x:v>
      </x:c>
      <x:c r="C508" s="207" t="str">
        <x:v>OP-DRAFT-00070</x:v>
      </x:c>
      <x:c r="D508" s="207" t="str">
        <x:v>production_order_id; operation_type_id; planned_hours; actual_hours; output_qty; defect_qty; completion_status</x:v>
      </x:c>
      <x:c r="E508" s="207" t="str">
        <x:v>47-14 Владимирова</x:v>
      </x:c>
      <x:c r="F508" s="207" t="str">
        <x:v>Назначить production_order_id, operation_type, дату и факт часов</x:v>
      </x:c>
      <x:c r="G508" s="207" t="str">
        <x:v>Производство</x:v>
      </x:c>
      <x:c r="H508" s="207" t="str">
        <x:v>Высокий</x:v>
      </x:c>
      <x:c r="I508" s="207" t="str">
        <x:v>Загрузка; производительность; фактическая cost</x:v>
      </x:c>
      <x:c r="J508" s="207" t="str">
        <x:v>Планирование V14</x:v>
      </x:c>
      <x:c r="K508" s="207" t="str"/>
      <x:c r="L508" s="207" t="str"/>
      <x:c r="M508" s="207" t="str">
        <x:v>Не рассмотрено</x:v>
      </x:c>
      <x:c r="N508" s="207" t="str"/>
      <x:c r="O508" s="207" t="str">
        <x:v>17</x:v>
      </x:c>
      <x:c r="P508" s="207" t="n">
        <x:v>3</x:v>
      </x:c>
      <x:c r="Q508" s="208" t="str">
        <x:v>Wave 2 (31–60 дней)</x:v>
      </x:c>
    </x:row>
    <x:row r="509">
      <x:c r="A509" s="206" t="str">
        <x:v>DEC-00505</x:v>
      </x:c>
      <x:c r="B509" s="207" t="str">
        <x:v>Operation</x:v>
      </x:c>
      <x:c r="C509" s="207" t="str">
        <x:v>OP-DRAFT-00071</x:v>
      </x:c>
      <x:c r="D509" s="207" t="str">
        <x:v>production_order_id; operation_type_id; planned_hours; actual_hours; output_qty; defect_qty; completion_status</x:v>
      </x:c>
      <x:c r="E509" s="207" t="str">
        <x:v>47-27 Кислова</x:v>
      </x:c>
      <x:c r="F509" s="207" t="str">
        <x:v>Назначить production_order_id, operation_type, дату и факт часов</x:v>
      </x:c>
      <x:c r="G509" s="207" t="str">
        <x:v>Производство</x:v>
      </x:c>
      <x:c r="H509" s="207" t="str">
        <x:v>Высокий</x:v>
      </x:c>
      <x:c r="I509" s="207" t="str">
        <x:v>Загрузка; производительность; фактическая cost</x:v>
      </x:c>
      <x:c r="J509" s="207" t="str">
        <x:v>Планирование W14</x:v>
      </x:c>
      <x:c r="K509" s="207" t="str"/>
      <x:c r="L509" s="207" t="str"/>
      <x:c r="M509" s="207" t="str">
        <x:v>Не рассмотрено</x:v>
      </x:c>
      <x:c r="N509" s="207" t="str"/>
      <x:c r="O509" s="207" t="str">
        <x:v>17</x:v>
      </x:c>
      <x:c r="P509" s="207" t="n">
        <x:v>3</x:v>
      </x:c>
      <x:c r="Q509" s="208" t="str">
        <x:v>Wave 2 (31–60 дней)</x:v>
      </x:c>
    </x:row>
    <x:row r="510">
      <x:c r="A510" s="206" t="str">
        <x:v>DEC-00506</x:v>
      </x:c>
      <x:c r="B510" s="207" t="str">
        <x:v>Operation</x:v>
      </x:c>
      <x:c r="C510" s="207" t="str">
        <x:v>OP-DRAFT-00073</x:v>
      </x:c>
      <x:c r="D510" s="207" t="str">
        <x:v>production_order_id; operation_type_id; planned_hours; actual_hours; output_qty; defect_qty; completion_status</x:v>
      </x:c>
      <x:c r="E510" s="207" t="str">
        <x:v>48-08 веточки</x:v>
      </x:c>
      <x:c r="F510" s="207" t="str">
        <x:v>Назначить production_order_id, operation_type, дату и факт часов</x:v>
      </x:c>
      <x:c r="G510" s="207" t="str">
        <x:v>Производство</x:v>
      </x:c>
      <x:c r="H510" s="207" t="str">
        <x:v>Высокий</x:v>
      </x:c>
      <x:c r="I510" s="207" t="str">
        <x:v>Загрузка; производительность; фактическая cost</x:v>
      </x:c>
      <x:c r="J510" s="207" t="str">
        <x:v>Планирование Y14</x:v>
      </x:c>
      <x:c r="K510" s="207" t="str"/>
      <x:c r="L510" s="207" t="str"/>
      <x:c r="M510" s="207" t="str">
        <x:v>Не рассмотрено</x:v>
      </x:c>
      <x:c r="N510" s="207" t="str"/>
      <x:c r="O510" s="207" t="str">
        <x:v>17</x:v>
      </x:c>
      <x:c r="P510" s="207" t="n">
        <x:v>3</x:v>
      </x:c>
      <x:c r="Q510" s="208" t="str">
        <x:v>Wave 2 (31–60 дней)</x:v>
      </x:c>
    </x:row>
    <x:row r="511">
      <x:c r="A511" s="206" t="str">
        <x:v>DEC-00507</x:v>
      </x:c>
      <x:c r="B511" s="207" t="str">
        <x:v>Operation</x:v>
      </x:c>
      <x:c r="C511" s="207" t="str">
        <x:v>OP-DRAFT-00074</x:v>
      </x:c>
      <x:c r="D511" s="207" t="str">
        <x:v>production_order_id; operation_type_id; planned_hours; actual_hours; output_qty; defect_qty; completion_status</x:v>
      </x:c>
      <x:c r="E511" s="207" t="str">
        <x:v>48-08 веточки</x:v>
      </x:c>
      <x:c r="F511" s="207" t="str">
        <x:v>Назначить production_order_id, operation_type, дату и факт часов</x:v>
      </x:c>
      <x:c r="G511" s="207" t="str">
        <x:v>Производство</x:v>
      </x:c>
      <x:c r="H511" s="207" t="str">
        <x:v>Высокий</x:v>
      </x:c>
      <x:c r="I511" s="207" t="str">
        <x:v>Загрузка; производительность; фактическая cost</x:v>
      </x:c>
      <x:c r="J511" s="207" t="str">
        <x:v>Планирование AC14</x:v>
      </x:c>
      <x:c r="K511" s="207" t="str"/>
      <x:c r="L511" s="207" t="str"/>
      <x:c r="M511" s="207" t="str">
        <x:v>Не рассмотрено</x:v>
      </x:c>
      <x:c r="N511" s="207" t="str"/>
      <x:c r="O511" s="207" t="str">
        <x:v>17</x:v>
      </x:c>
      <x:c r="P511" s="207" t="n">
        <x:v>3</x:v>
      </x:c>
      <x:c r="Q511" s="208" t="str">
        <x:v>Wave 2 (31–60 дней)</x:v>
      </x:c>
    </x:row>
    <x:row r="512">
      <x:c r="A512" s="206" t="str">
        <x:v>DEC-00508</x:v>
      </x:c>
      <x:c r="B512" s="207" t="str">
        <x:v>Operation</x:v>
      </x:c>
      <x:c r="C512" s="207" t="str">
        <x:v>OP-DRAFT-00075</x:v>
      </x:c>
      <x:c r="D512" s="207" t="str">
        <x:v>production_order_id; operation_type_id; planned_hours; actual_hours; output_qty; defect_qty; completion_status</x:v>
      </x:c>
      <x:c r="E512" s="207" t="str">
        <x:v>48-08 веточки</x:v>
      </x:c>
      <x:c r="F512" s="207" t="str">
        <x:v>Назначить production_order_id, operation_type, дату и факт часов</x:v>
      </x:c>
      <x:c r="G512" s="207" t="str">
        <x:v>Производство</x:v>
      </x:c>
      <x:c r="H512" s="207" t="str">
        <x:v>Высокий</x:v>
      </x:c>
      <x:c r="I512" s="207" t="str">
        <x:v>Загрузка; производительность; фактическая cost</x:v>
      </x:c>
      <x:c r="J512" s="207" t="str">
        <x:v>Планирование AD14</x:v>
      </x:c>
      <x:c r="K512" s="207" t="str"/>
      <x:c r="L512" s="207" t="str"/>
      <x:c r="M512" s="207" t="str">
        <x:v>Не рассмотрено</x:v>
      </x:c>
      <x:c r="N512" s="207" t="str"/>
      <x:c r="O512" s="207" t="str">
        <x:v>17</x:v>
      </x:c>
      <x:c r="P512" s="207" t="n">
        <x:v>3</x:v>
      </x:c>
      <x:c r="Q512" s="208" t="str">
        <x:v>Wave 2 (31–60 дней)</x:v>
      </x:c>
    </x:row>
    <x:row r="513">
      <x:c r="A513" s="206" t="str">
        <x:v>DEC-00509</x:v>
      </x:c>
      <x:c r="B513" s="207" t="str">
        <x:v>Operation</x:v>
      </x:c>
      <x:c r="C513" s="207" t="str">
        <x:v>OP-DRAFT-00076</x:v>
      </x:c>
      <x:c r="D513" s="207" t="str">
        <x:v>production_order_id; operation_type_id; planned_hours; actual_hours; output_qty; defect_qty; completion_status</x:v>
      </x:c>
      <x:c r="E513" s="207" t="str">
        <x:v>48-08 веточки</x:v>
      </x:c>
      <x:c r="F513" s="207" t="str">
        <x:v>Назначить production_order_id, operation_type, дату и факт часов</x:v>
      </x:c>
      <x:c r="G513" s="207" t="str">
        <x:v>Производство</x:v>
      </x:c>
      <x:c r="H513" s="207" t="str">
        <x:v>Высокий</x:v>
      </x:c>
      <x:c r="I513" s="207" t="str">
        <x:v>Загрузка; производительность; фактическая cost</x:v>
      </x:c>
      <x:c r="J513" s="207" t="str">
        <x:v>Планирование AE14</x:v>
      </x:c>
      <x:c r="K513" s="207" t="str"/>
      <x:c r="L513" s="207" t="str"/>
      <x:c r="M513" s="207" t="str">
        <x:v>Не рассмотрено</x:v>
      </x:c>
      <x:c r="N513" s="207" t="str"/>
      <x:c r="O513" s="207" t="str">
        <x:v>17</x:v>
      </x:c>
      <x:c r="P513" s="207" t="n">
        <x:v>3</x:v>
      </x:c>
      <x:c r="Q513" s="208" t="str">
        <x:v>Wave 2 (31–60 дней)</x:v>
      </x:c>
    </x:row>
    <x:row r="514">
      <x:c r="A514" s="206" t="str">
        <x:v>DEC-00510</x:v>
      </x:c>
      <x:c r="B514" s="207" t="str">
        <x:v>Operation</x:v>
      </x:c>
      <x:c r="C514" s="207" t="str">
        <x:v>OP-DRAFT-00077</x:v>
      </x:c>
      <x:c r="D514" s="207" t="str">
        <x:v>production_order_id; operation_type_id; planned_hours; actual_hours; output_qty; defect_qty; completion_status</x:v>
      </x:c>
      <x:c r="E514" s="207" t="str">
        <x:v>48-08 веточки</x:v>
      </x:c>
      <x:c r="F514" s="207" t="str">
        <x:v>Назначить production_order_id, operation_type, дату и факт часов</x:v>
      </x:c>
      <x:c r="G514" s="207" t="str">
        <x:v>Производство</x:v>
      </x:c>
      <x:c r="H514" s="207" t="str">
        <x:v>Высокий</x:v>
      </x:c>
      <x:c r="I514" s="207" t="str">
        <x:v>Загрузка; производительность; фактическая cost</x:v>
      </x:c>
      <x:c r="J514" s="207" t="str">
        <x:v>Планирование AF14</x:v>
      </x:c>
      <x:c r="K514" s="207" t="str"/>
      <x:c r="L514" s="207" t="str"/>
      <x:c r="M514" s="207" t="str">
        <x:v>Не рассмотрено</x:v>
      </x:c>
      <x:c r="N514" s="207" t="str"/>
      <x:c r="O514" s="207" t="str">
        <x:v>17</x:v>
      </x:c>
      <x:c r="P514" s="207" t="n">
        <x:v>3</x:v>
      </x:c>
      <x:c r="Q514" s="208" t="str">
        <x:v>Wave 2 (31–60 дней)</x:v>
      </x:c>
    </x:row>
    <x:row r="515">
      <x:c r="A515" s="206" t="str">
        <x:v>DEC-00511</x:v>
      </x:c>
      <x:c r="B515" s="207" t="str">
        <x:v>Operation</x:v>
      </x:c>
      <x:c r="C515" s="207" t="str">
        <x:v>OP-DRAFT-00078</x:v>
      </x:c>
      <x:c r="D515" s="207" t="str">
        <x:v>production_order_id; operation_type_id; planned_hours; actual_hours; output_qty; defect_qty; completion_status</x:v>
      </x:c>
      <x:c r="E515" s="207" t="str">
        <x:v>48-27 юбка пришив</x:v>
      </x:c>
      <x:c r="F515" s="207" t="str">
        <x:v>Назначить production_order_id, operation_type, дату и факт часов</x:v>
      </x:c>
      <x:c r="G515" s="207" t="str">
        <x:v>Производство</x:v>
      </x:c>
      <x:c r="H515" s="207" t="str">
        <x:v>Высокий</x:v>
      </x:c>
      <x:c r="I515" s="207" t="str">
        <x:v>Загрузка; производительность; фактическая cost</x:v>
      </x:c>
      <x:c r="J515" s="207" t="str">
        <x:v>Планирование AG14</x:v>
      </x:c>
      <x:c r="K515" s="207" t="str"/>
      <x:c r="L515" s="207" t="str"/>
      <x:c r="M515" s="207" t="str">
        <x:v>Не рассмотрено</x:v>
      </x:c>
      <x:c r="N515" s="207" t="str"/>
      <x:c r="O515" s="207" t="str">
        <x:v>17</x:v>
      </x:c>
      <x:c r="P515" s="207" t="n">
        <x:v>3</x:v>
      </x:c>
      <x:c r="Q515" s="208" t="str">
        <x:v>Wave 2 (31–60 дней)</x:v>
      </x:c>
    </x:row>
    <x:row r="516">
      <x:c r="A516" s="206" t="str">
        <x:v>DEC-00512</x:v>
      </x:c>
      <x:c r="B516" s="207" t="str">
        <x:v>Operation</x:v>
      </x:c>
      <x:c r="C516" s="207" t="str">
        <x:v>OP-DRAFT-00079</x:v>
      </x:c>
      <x:c r="D516" s="207" t="str">
        <x:v>production_order_id; operation_type_id; planned_hours; actual_hours; output_qty; defect_qty; completion_status</x:v>
      </x:c>
      <x:c r="E516" s="207" t="str">
        <x:v>47-15 Казьмина 75д сд 29.05</x:v>
      </x:c>
      <x:c r="F516" s="207" t="str">
        <x:v>Назначить production_order_id, operation_type, дату и факт часов</x:v>
      </x:c>
      <x:c r="G516" s="207" t="str">
        <x:v>Производство</x:v>
      </x:c>
      <x:c r="H516" s="207" t="str">
        <x:v>Высокий</x:v>
      </x:c>
      <x:c r="I516" s="207" t="str">
        <x:v>Загрузка; производительность; фактическая cost</x:v>
      </x:c>
      <x:c r="J516" s="207" t="str">
        <x:v>Планирование I15</x:v>
      </x:c>
      <x:c r="K516" s="207" t="str"/>
      <x:c r="L516" s="207" t="str"/>
      <x:c r="M516" s="207" t="str">
        <x:v>Не рассмотрено</x:v>
      </x:c>
      <x:c r="N516" s="207" t="str"/>
      <x:c r="O516" s="207" t="str">
        <x:v>17</x:v>
      </x:c>
      <x:c r="P516" s="207" t="n">
        <x:v>3</x:v>
      </x:c>
      <x:c r="Q516" s="208" t="str">
        <x:v>Wave 2 (31–60 дней)</x:v>
      </x:c>
    </x:row>
    <x:row r="517">
      <x:c r="A517" s="206" t="str">
        <x:v>DEC-00513</x:v>
      </x:c>
      <x:c r="B517" s="207" t="str">
        <x:v>Operation</x:v>
      </x:c>
      <x:c r="C517" s="207" t="str">
        <x:v>OP-DRAFT-00081</x:v>
      </x:c>
      <x:c r="D517" s="207" t="str">
        <x:v>model_id/canonical_sku; production_order_id; operation_type_id; planned_hours; actual_hours; output_qty; defect_qty; completion_status</x:v>
      </x:c>
      <x:c r="E517" s="207" t="str">
        <x:v>Приедет</x:v>
      </x:c>
      <x:c r="F517" s="207" t="str">
        <x:v>Назначить production_order_id, operation_type, дату и факт часов</x:v>
      </x:c>
      <x:c r="G517" s="207" t="str">
        <x:v>Производство</x:v>
      </x:c>
      <x:c r="H517" s="207" t="str">
        <x:v>Высокий</x:v>
      </x:c>
      <x:c r="I517" s="207" t="str">
        <x:v>Загрузка; производительность; фактическая cost</x:v>
      </x:c>
      <x:c r="J517" s="207" t="str">
        <x:v>Планирование E16</x:v>
      </x:c>
      <x:c r="K517" s="207" t="str"/>
      <x:c r="L517" s="207" t="str"/>
      <x:c r="M517" s="207" t="str">
        <x:v>Не рассмотрено</x:v>
      </x:c>
      <x:c r="N517" s="207" t="str"/>
      <x:c r="O517" s="207" t="str">
        <x:v>17</x:v>
      </x:c>
      <x:c r="P517" s="207" t="n">
        <x:v>3</x:v>
      </x:c>
      <x:c r="Q517" s="208" t="str">
        <x:v>Wave 2 (31–60 дней)</x:v>
      </x:c>
    </x:row>
    <x:row r="518">
      <x:c r="A518" s="206" t="str">
        <x:v>DEC-00514</x:v>
      </x:c>
      <x:c r="B518" s="207" t="str">
        <x:v>Operation</x:v>
      </x:c>
      <x:c r="C518" s="207" t="str">
        <x:v>OP-DRAFT-00082</x:v>
      </x:c>
      <x:c r="D518" s="207" t="str">
        <x:v>production_order_id; operation_type_id; planned_hours; actual_hours; output_qty; defect_qty; completion_status</x:v>
      </x:c>
      <x:c r="E518" s="207" t="str">
        <x:v>47-12 Владимирова брюки</x:v>
      </x:c>
      <x:c r="F518" s="207" t="str">
        <x:v>Назначить production_order_id, operation_type, дату и факт часов</x:v>
      </x:c>
      <x:c r="G518" s="207" t="str">
        <x:v>Производство</x:v>
      </x:c>
      <x:c r="H518" s="207" t="str">
        <x:v>Высокий</x:v>
      </x:c>
      <x:c r="I518" s="207" t="str">
        <x:v>Загрузка; производительность; фактическая cost</x:v>
      </x:c>
      <x:c r="J518" s="207" t="str">
        <x:v>Планирование L16</x:v>
      </x:c>
      <x:c r="K518" s="207" t="str"/>
      <x:c r="L518" s="207" t="str"/>
      <x:c r="M518" s="207" t="str">
        <x:v>Не рассмотрено</x:v>
      </x:c>
      <x:c r="N518" s="207" t="str"/>
      <x:c r="O518" s="207" t="str">
        <x:v>17</x:v>
      </x:c>
      <x:c r="P518" s="207" t="n">
        <x:v>3</x:v>
      </x:c>
      <x:c r="Q518" s="208" t="str">
        <x:v>Wave 2 (31–60 дней)</x:v>
      </x:c>
    </x:row>
    <x:row r="519">
      <x:c r="A519" s="206" t="str">
        <x:v>DEC-00515</x:v>
      </x:c>
      <x:c r="B519" s="207" t="str">
        <x:v>Operation</x:v>
      </x:c>
      <x:c r="C519" s="207" t="str">
        <x:v>OP-DRAFT-00083</x:v>
      </x:c>
      <x:c r="D519" s="207" t="str">
        <x:v>production_order_id; operation_type_id; planned_hours; actual_hours; output_qty; defect_qty; completion_status</x:v>
      </x:c>
      <x:c r="E519" s="207" t="str">
        <x:v>48-09 цветочки</x:v>
      </x:c>
      <x:c r="F519" s="207" t="str">
        <x:v>Назначить production_order_id, operation_type, дату и факт часов</x:v>
      </x:c>
      <x:c r="G519" s="207" t="str">
        <x:v>Производство</x:v>
      </x:c>
      <x:c r="H519" s="207" t="str">
        <x:v>Высокий</x:v>
      </x:c>
      <x:c r="I519" s="207" t="str">
        <x:v>Загрузка; производительность; фактическая cost</x:v>
      </x:c>
      <x:c r="J519" s="207" t="str">
        <x:v>Планирование O16</x:v>
      </x:c>
      <x:c r="K519" s="207" t="str"/>
      <x:c r="L519" s="207" t="str"/>
      <x:c r="M519" s="207" t="str">
        <x:v>Не рассмотрено</x:v>
      </x:c>
      <x:c r="N519" s="207" t="str"/>
      <x:c r="O519" s="207" t="str">
        <x:v>17</x:v>
      </x:c>
      <x:c r="P519" s="207" t="n">
        <x:v>3</x:v>
      </x:c>
      <x:c r="Q519" s="208" t="str">
        <x:v>Wave 2 (31–60 дней)</x:v>
      </x:c>
    </x:row>
    <x:row r="520">
      <x:c r="A520" s="206" t="str">
        <x:v>DEC-00516</x:v>
      </x:c>
      <x:c r="B520" s="207" t="str">
        <x:v>Operation</x:v>
      </x:c>
      <x:c r="C520" s="207" t="str">
        <x:v>OP-DRAFT-00084</x:v>
      </x:c>
      <x:c r="D520" s="207" t="str">
        <x:v>model_id/canonical_sku; production_order_id; operation_type_id; planned_hours; actual_hours; output_qty; defect_qty; completion_status</x:v>
      </x:c>
      <x:c r="E520" s="207" t="str">
        <x:v>Элисо каф</x:v>
      </x:c>
      <x:c r="F520" s="207" t="str">
        <x:v>Назначить production_order_id, operation_type, дату и факт часов</x:v>
      </x:c>
      <x:c r="G520" s="207" t="str">
        <x:v>Производство</x:v>
      </x:c>
      <x:c r="H520" s="207" t="str">
        <x:v>Высокий</x:v>
      </x:c>
      <x:c r="I520" s="207" t="str">
        <x:v>Загрузка; производительность; фактическая cost</x:v>
      </x:c>
      <x:c r="J520" s="207" t="str">
        <x:v>Планирование P16</x:v>
      </x:c>
      <x:c r="K520" s="207" t="str"/>
      <x:c r="L520" s="207" t="str"/>
      <x:c r="M520" s="207" t="str">
        <x:v>Не рассмотрено</x:v>
      </x:c>
      <x:c r="N520" s="207" t="str"/>
      <x:c r="O520" s="207" t="str">
        <x:v>17</x:v>
      </x:c>
      <x:c r="P520" s="207" t="n">
        <x:v>3</x:v>
      </x:c>
      <x:c r="Q520" s="208" t="str">
        <x:v>Wave 2 (31–60 дней)</x:v>
      </x:c>
    </x:row>
    <x:row r="521">
      <x:c r="A521" s="206" t="str">
        <x:v>DEC-00517</x:v>
      </x:c>
      <x:c r="B521" s="207" t="str">
        <x:v>Operation</x:v>
      </x:c>
      <x:c r="C521" s="207" t="str">
        <x:v>OP-DRAFT-00085</x:v>
      </x:c>
      <x:c r="D521" s="207" t="str">
        <x:v>production_order_id; operation_type_id; planned_hours; actual_hours; output_qty; defect_qty; completion_status</x:v>
      </x:c>
      <x:c r="E521" s="207" t="str">
        <x:v>Сазонова 47-19</x:v>
      </x:c>
      <x:c r="F521" s="207" t="str">
        <x:v>Назначить production_order_id, operation_type, дату и факт часов</x:v>
      </x:c>
      <x:c r="G521" s="207" t="str">
        <x:v>Производство</x:v>
      </x:c>
      <x:c r="H521" s="207" t="str">
        <x:v>Высокий</x:v>
      </x:c>
      <x:c r="I521" s="207" t="str">
        <x:v>Загрузка; производительность; фактическая cost</x:v>
      </x:c>
      <x:c r="J521" s="207" t="str">
        <x:v>Планирование R16</x:v>
      </x:c>
      <x:c r="K521" s="207" t="str"/>
      <x:c r="L521" s="207" t="str"/>
      <x:c r="M521" s="207" t="str">
        <x:v>Не рассмотрено</x:v>
      </x:c>
      <x:c r="N521" s="207" t="str"/>
      <x:c r="O521" s="207" t="str">
        <x:v>17</x:v>
      </x:c>
      <x:c r="P521" s="207" t="n">
        <x:v>3</x:v>
      </x:c>
      <x:c r="Q521" s="208" t="str">
        <x:v>Wave 2 (31–60 дней)</x:v>
      </x:c>
    </x:row>
    <x:row r="522">
      <x:c r="A522" s="206" t="str">
        <x:v>DEC-00518</x:v>
      </x:c>
      <x:c r="B522" s="207" t="str">
        <x:v>Operation</x:v>
      </x:c>
      <x:c r="C522" s="207" t="str">
        <x:v>OP-DRAFT-00086</x:v>
      </x:c>
      <x:c r="D522" s="207" t="str">
        <x:v>production_order_id; operation_type_id; planned_hours; actual_hours; output_qty; defect_qty; completion_status</x:v>
      </x:c>
      <x:c r="E522" s="207" t="str">
        <x:v>48-09 цветочки</x:v>
      </x:c>
      <x:c r="F522" s="207" t="str">
        <x:v>Назначить production_order_id, operation_type, дату и факт часов</x:v>
      </x:c>
      <x:c r="G522" s="207" t="str">
        <x:v>Производство</x:v>
      </x:c>
      <x:c r="H522" s="207" t="str">
        <x:v>Высокий</x:v>
      </x:c>
      <x:c r="I522" s="207" t="str">
        <x:v>Загрузка; производительность; фактическая cost</x:v>
      </x:c>
      <x:c r="J522" s="207" t="str">
        <x:v>Планирование S16</x:v>
      </x:c>
      <x:c r="K522" s="207" t="str"/>
      <x:c r="L522" s="207" t="str"/>
      <x:c r="M522" s="207" t="str">
        <x:v>Не рассмотрено</x:v>
      </x:c>
      <x:c r="N522" s="207" t="str"/>
      <x:c r="O522" s="207" t="str">
        <x:v>17</x:v>
      </x:c>
      <x:c r="P522" s="207" t="n">
        <x:v>3</x:v>
      </x:c>
      <x:c r="Q522" s="208" t="str">
        <x:v>Wave 2 (31–60 дней)</x:v>
      </x:c>
    </x:row>
    <x:row r="523">
      <x:c r="A523" s="206" t="str">
        <x:v>DEC-00519</x:v>
      </x:c>
      <x:c r="B523" s="207" t="str">
        <x:v>Operation</x:v>
      </x:c>
      <x:c r="C523" s="207" t="str">
        <x:v>OP-DRAFT-00087</x:v>
      </x:c>
      <x:c r="D523" s="207" t="str">
        <x:v>production_order_id; operation_type_id; planned_hours; actual_hours; output_qty; defect_qty; completion_status</x:v>
      </x:c>
      <x:c r="E523" s="207" t="str">
        <x:v>гладь на 48-09, гладь 48-17</x:v>
      </x:c>
      <x:c r="F523" s="207" t="str">
        <x:v>Назначить production_order_id, operation_type, дату и факт часов</x:v>
      </x:c>
      <x:c r="G523" s="207" t="str">
        <x:v>Производство</x:v>
      </x:c>
      <x:c r="H523" s="207" t="str">
        <x:v>Высокий</x:v>
      </x:c>
      <x:c r="I523" s="207" t="str">
        <x:v>Загрузка; производительность; фактическая cost</x:v>
      </x:c>
      <x:c r="J523" s="207" t="str">
        <x:v>Планирование V16</x:v>
      </x:c>
      <x:c r="K523" s="207" t="str"/>
      <x:c r="L523" s="207" t="str"/>
      <x:c r="M523" s="207" t="str">
        <x:v>Не рассмотрено</x:v>
      </x:c>
      <x:c r="N523" s="207" t="str"/>
      <x:c r="O523" s="207" t="str">
        <x:v>17</x:v>
      </x:c>
      <x:c r="P523" s="207" t="n">
        <x:v>3</x:v>
      </x:c>
      <x:c r="Q523" s="208" t="str">
        <x:v>Wave 2 (31–60 дней)</x:v>
      </x:c>
    </x:row>
    <x:row r="524">
      <x:c r="A524" s="206" t="str">
        <x:v>DEC-00520</x:v>
      </x:c>
      <x:c r="B524" s="207" t="str">
        <x:v>Operation</x:v>
      </x:c>
      <x:c r="C524" s="207" t="str">
        <x:v>OP-DRAFT-00088</x:v>
      </x:c>
      <x:c r="D524" s="207" t="str">
        <x:v>production_order_id; operation_type_id; planned_hours; actual_hours; output_qty; defect_qty; completion_status</x:v>
      </x:c>
      <x:c r="E524" s="207" t="str">
        <x:v>гладь на 48-09, гладь 48-17</x:v>
      </x:c>
      <x:c r="F524" s="207" t="str">
        <x:v>Назначить production_order_id, operation_type, дату и факт часов</x:v>
      </x:c>
      <x:c r="G524" s="207" t="str">
        <x:v>Производство</x:v>
      </x:c>
      <x:c r="H524" s="207" t="str">
        <x:v>Высокий</x:v>
      </x:c>
      <x:c r="I524" s="207" t="str">
        <x:v>Загрузка; производительность; фактическая cost</x:v>
      </x:c>
      <x:c r="J524" s="207" t="str">
        <x:v>Планирование AC16</x:v>
      </x:c>
      <x:c r="K524" s="207" t="str"/>
      <x:c r="L524" s="207" t="str"/>
      <x:c r="M524" s="207" t="str">
        <x:v>Не рассмотрено</x:v>
      </x:c>
      <x:c r="N524" s="207" t="str"/>
      <x:c r="O524" s="207" t="str">
        <x:v>17</x:v>
      </x:c>
      <x:c r="P524" s="207" t="n">
        <x:v>3</x:v>
      </x:c>
      <x:c r="Q524" s="208" t="str">
        <x:v>Wave 2 (31–60 дней)</x:v>
      </x:c>
    </x:row>
    <x:row r="525">
      <x:c r="A525" s="206" t="str">
        <x:v>DEC-00521</x:v>
      </x:c>
      <x:c r="B525" s="207" t="str">
        <x:v>Operation</x:v>
      </x:c>
      <x:c r="C525" s="207" t="str">
        <x:v>OP-DRAFT-00089</x:v>
      </x:c>
      <x:c r="D525" s="207" t="str">
        <x:v>production_order_id; operation_type_id; planned_hours; actual_hours; output_qty; defect_qty; completion_status</x:v>
      </x:c>
      <x:c r="E525" s="207" t="str">
        <x:v>48-09 цветочки пай</x:v>
      </x:c>
      <x:c r="F525" s="207" t="str">
        <x:v>Назначить production_order_id, operation_type, дату и факт часов</x:v>
      </x:c>
      <x:c r="G525" s="207" t="str">
        <x:v>Производство</x:v>
      </x:c>
      <x:c r="H525" s="207" t="str">
        <x:v>Высокий</x:v>
      </x:c>
      <x:c r="I525" s="207" t="str">
        <x:v>Загрузка; производительность; фактическая cost</x:v>
      </x:c>
      <x:c r="J525" s="207" t="str">
        <x:v>Планирование AD16</x:v>
      </x:c>
      <x:c r="K525" s="207" t="str"/>
      <x:c r="L525" s="207" t="str"/>
      <x:c r="M525" s="207" t="str">
        <x:v>Не рассмотрено</x:v>
      </x:c>
      <x:c r="N525" s="207" t="str"/>
      <x:c r="O525" s="207" t="str">
        <x:v>17</x:v>
      </x:c>
      <x:c r="P525" s="207" t="n">
        <x:v>3</x:v>
      </x:c>
      <x:c r="Q525" s="208" t="str">
        <x:v>Wave 2 (31–60 дней)</x:v>
      </x:c>
    </x:row>
    <x:row r="526">
      <x:c r="A526" s="206" t="str">
        <x:v>DEC-00522</x:v>
      </x:c>
      <x:c r="B526" s="207" t="str">
        <x:v>Operation</x:v>
      </x:c>
      <x:c r="C526" s="207" t="str">
        <x:v>OP-DRAFT-00090</x:v>
      </x:c>
      <x:c r="D526" s="207" t="str">
        <x:v>production_order_id; operation_type_id; planned_hours; actual_hours; output_qty; defect_qty; completion_status</x:v>
      </x:c>
      <x:c r="E526" s="207" t="str">
        <x:v>48-09 цветочки пай</x:v>
      </x:c>
      <x:c r="F526" s="207" t="str">
        <x:v>Назначить production_order_id, operation_type, дату и факт часов</x:v>
      </x:c>
      <x:c r="G526" s="207" t="str">
        <x:v>Производство</x:v>
      </x:c>
      <x:c r="H526" s="207" t="str">
        <x:v>Высокий</x:v>
      </x:c>
      <x:c r="I526" s="207" t="str">
        <x:v>Загрузка; производительность; фактическая cost</x:v>
      </x:c>
      <x:c r="J526" s="207" t="str">
        <x:v>Планирование AE16</x:v>
      </x:c>
      <x:c r="K526" s="207" t="str"/>
      <x:c r="L526" s="207" t="str"/>
      <x:c r="M526" s="207" t="str">
        <x:v>Не рассмотрено</x:v>
      </x:c>
      <x:c r="N526" s="207" t="str"/>
      <x:c r="O526" s="207" t="str">
        <x:v>17</x:v>
      </x:c>
      <x:c r="P526" s="207" t="n">
        <x:v>3</x:v>
      </x:c>
      <x:c r="Q526" s="208" t="str">
        <x:v>Wave 2 (31–60 дней)</x:v>
      </x:c>
    </x:row>
    <x:row r="527">
      <x:c r="A527" s="206" t="str">
        <x:v>DEC-00523</x:v>
      </x:c>
      <x:c r="B527" s="207" t="str">
        <x:v>Operation</x:v>
      </x:c>
      <x:c r="C527" s="207" t="str">
        <x:v>OP-DRAFT-00091</x:v>
      </x:c>
      <x:c r="D527" s="207" t="str">
        <x:v>production_order_id; operation_type_id; planned_hours; actual_hours; output_qty; defect_qty; completion_status</x:v>
      </x:c>
      <x:c r="E527" s="207" t="str">
        <x:v>48-22 шорты подготовка к вышивке</x:v>
      </x:c>
      <x:c r="F527" s="207" t="str">
        <x:v>Назначить production_order_id, operation_type, дату и факт часов</x:v>
      </x:c>
      <x:c r="G527" s="207" t="str">
        <x:v>Производство</x:v>
      </x:c>
      <x:c r="H527" s="207" t="str">
        <x:v>Высокий</x:v>
      </x:c>
      <x:c r="I527" s="207" t="str">
        <x:v>Загрузка; производительность; фактическая cost</x:v>
      </x:c>
      <x:c r="J527" s="207" t="str">
        <x:v>Планирование AF16</x:v>
      </x:c>
      <x:c r="K527" s="207" t="str"/>
      <x:c r="L527" s="207" t="str"/>
      <x:c r="M527" s="207" t="str">
        <x:v>Не рассмотрено</x:v>
      </x:c>
      <x:c r="N527" s="207" t="str"/>
      <x:c r="O527" s="207" t="str">
        <x:v>17</x:v>
      </x:c>
      <x:c r="P527" s="207" t="n">
        <x:v>3</x:v>
      </x:c>
      <x:c r="Q527" s="208" t="str">
        <x:v>Wave 2 (31–60 дней)</x:v>
      </x:c>
    </x:row>
    <x:row r="528">
      <x:c r="A528" s="206" t="str">
        <x:v>DEC-00524</x:v>
      </x:c>
      <x:c r="B528" s="207" t="str">
        <x:v>Operation</x:v>
      </x:c>
      <x:c r="C528" s="207" t="str">
        <x:v>OP-DRAFT-00092</x:v>
      </x:c>
      <x:c r="D528" s="207" t="str">
        <x:v>production_order_id; operation_type_id; planned_hours; actual_hours; output_qty; defect_qty; completion_status</x:v>
      </x:c>
      <x:c r="E528" s="207" t="str">
        <x:v>47-30 Уланова 32д сд 25.05</x:v>
      </x:c>
      <x:c r="F528" s="207" t="str">
        <x:v>Назначить production_order_id, operation_type, дату и факт часов</x:v>
      </x:c>
      <x:c r="G528" s="207" t="str">
        <x:v>Производство</x:v>
      </x:c>
      <x:c r="H528" s="207" t="str">
        <x:v>Высокий</x:v>
      </x:c>
      <x:c r="I528" s="207" t="str">
        <x:v>Загрузка; производительность; фактическая cost</x:v>
      </x:c>
      <x:c r="J528" s="207" t="str">
        <x:v>Планирование C17</x:v>
      </x:c>
      <x:c r="K528" s="207" t="str"/>
      <x:c r="L528" s="207" t="str"/>
      <x:c r="M528" s="207" t="str">
        <x:v>Не рассмотрено</x:v>
      </x:c>
      <x:c r="N528" s="207" t="str"/>
      <x:c r="O528" s="207" t="str">
        <x:v>17</x:v>
      </x:c>
      <x:c r="P528" s="207" t="n">
        <x:v>3</x:v>
      </x:c>
      <x:c r="Q528" s="208" t="str">
        <x:v>Wave 2 (31–60 дней)</x:v>
      </x:c>
    </x:row>
    <x:row r="529">
      <x:c r="A529" s="206" t="str">
        <x:v>DEC-00525</x:v>
      </x:c>
      <x:c r="B529" s="207" t="str">
        <x:v>Operation</x:v>
      </x:c>
      <x:c r="C529" s="207" t="str">
        <x:v>OP-DRAFT-00093</x:v>
      </x:c>
      <x:c r="D529" s="207" t="str">
        <x:v>model_id/canonical_sku; production_order_id; operation_type_id; planned_hours; actual_hours; output_qty; defect_qty; completion_status</x:v>
      </x:c>
      <x:c r="E529" s="207" t="str">
        <x:v>48 букетики розочки мулине</x:v>
      </x:c>
      <x:c r="F529" s="207" t="str">
        <x:v>Назначить production_order_id, operation_type, дату и факт часов</x:v>
      </x:c>
      <x:c r="G529" s="207" t="str">
        <x:v>Производство</x:v>
      </x:c>
      <x:c r="H529" s="207" t="str">
        <x:v>Высокий</x:v>
      </x:c>
      <x:c r="I529" s="207" t="str">
        <x:v>Загрузка; производительность; фактическая cost</x:v>
      </x:c>
      <x:c r="J529" s="207" t="str">
        <x:v>Планирование K17</x:v>
      </x:c>
      <x:c r="K529" s="207" t="str"/>
      <x:c r="L529" s="207" t="str"/>
      <x:c r="M529" s="207" t="str">
        <x:v>Не рассмотрено</x:v>
      </x:c>
      <x:c r="N529" s="207" t="str"/>
      <x:c r="O529" s="207" t="str">
        <x:v>17</x:v>
      </x:c>
      <x:c r="P529" s="207" t="n">
        <x:v>3</x:v>
      </x:c>
      <x:c r="Q529" s="208" t="str">
        <x:v>Wave 2 (31–60 дней)</x:v>
      </x:c>
    </x:row>
    <x:row r="530">
      <x:c r="A530" s="206" t="str">
        <x:v>DEC-00526</x:v>
      </x:c>
      <x:c r="B530" s="207" t="str">
        <x:v>Operation</x:v>
      </x:c>
      <x:c r="C530" s="207" t="str">
        <x:v>OP-DRAFT-00094</x:v>
      </x:c>
      <x:c r="D530" s="207" t="str">
        <x:v>production_order_id; operation_type_id; planned_hours; actual_hours; output_qty; defect_qty; completion_status</x:v>
      </x:c>
      <x:c r="E530" s="207" t="str">
        <x:v>48-09 цветочки пайетки</x:v>
      </x:c>
      <x:c r="F530" s="207" t="str">
        <x:v>Назначить production_order_id, operation_type, дату и факт часов</x:v>
      </x:c>
      <x:c r="G530" s="207" t="str">
        <x:v>Производство</x:v>
      </x:c>
      <x:c r="H530" s="207" t="str">
        <x:v>Высокий</x:v>
      </x:c>
      <x:c r="I530" s="207" t="str">
        <x:v>Загрузка; производительность; фактическая cost</x:v>
      </x:c>
      <x:c r="J530" s="207" t="str">
        <x:v>Планирование O17</x:v>
      </x:c>
      <x:c r="K530" s="207" t="str"/>
      <x:c r="L530" s="207" t="str"/>
      <x:c r="M530" s="207" t="str">
        <x:v>Не рассмотрено</x:v>
      </x:c>
      <x:c r="N530" s="207" t="str"/>
      <x:c r="O530" s="207" t="str">
        <x:v>17</x:v>
      </x:c>
      <x:c r="P530" s="207" t="n">
        <x:v>3</x:v>
      </x:c>
      <x:c r="Q530" s="208" t="str">
        <x:v>Wave 2 (31–60 дней)</x:v>
      </x:c>
    </x:row>
    <x:row r="531">
      <x:c r="A531" s="206" t="str">
        <x:v>DEC-00527</x:v>
      </x:c>
      <x:c r="B531" s="207" t="str">
        <x:v>Operation</x:v>
      </x:c>
      <x:c r="C531" s="207" t="str">
        <x:v>OP-DRAFT-00096</x:v>
      </x:c>
      <x:c r="D531" s="207" t="str">
        <x:v>production_order_id; operation_type_id; planned_hours; actual_hours; output_qty; defect_qty; completion_status</x:v>
      </x:c>
      <x:c r="E531" s="207" t="str">
        <x:v>48-09 цветочки пайетки, 48-02 гладь</x:v>
      </x:c>
      <x:c r="F531" s="207" t="str">
        <x:v>Назначить production_order_id, operation_type, дату и факт часов</x:v>
      </x:c>
      <x:c r="G531" s="207" t="str">
        <x:v>Производство</x:v>
      </x:c>
      <x:c r="H531" s="207" t="str">
        <x:v>Высокий</x:v>
      </x:c>
      <x:c r="I531" s="207" t="str">
        <x:v>Загрузка; производительность; фактическая cost</x:v>
      </x:c>
      <x:c r="J531" s="207" t="str">
        <x:v>Планирование V17</x:v>
      </x:c>
      <x:c r="K531" s="207" t="str"/>
      <x:c r="L531" s="207" t="str"/>
      <x:c r="M531" s="207" t="str">
        <x:v>Не рассмотрено</x:v>
      </x:c>
      <x:c r="N531" s="207" t="str"/>
      <x:c r="O531" s="207" t="str">
        <x:v>17</x:v>
      </x:c>
      <x:c r="P531" s="207" t="n">
        <x:v>3</x:v>
      </x:c>
      <x:c r="Q531" s="208" t="str">
        <x:v>Wave 2 (31–60 дней)</x:v>
      </x:c>
    </x:row>
    <x:row r="532">
      <x:c r="A532" s="206" t="str">
        <x:v>DEC-00528</x:v>
      </x:c>
      <x:c r="B532" s="207" t="str">
        <x:v>Operation</x:v>
      </x:c>
      <x:c r="C532" s="207" t="str">
        <x:v>OP-DRAFT-00099</x:v>
      </x:c>
      <x:c r="D532" s="207" t="str">
        <x:v>production_order_id; operation_type_id; planned_hours; actual_hours; output_qty; defect_qty; completion_status</x:v>
      </x:c>
      <x:c r="E532" s="207" t="str">
        <x:v>48-08</x:v>
      </x:c>
      <x:c r="F532" s="207" t="str">
        <x:v>Назначить production_order_id, operation_type, дату и факт часов</x:v>
      </x:c>
      <x:c r="G532" s="207" t="str">
        <x:v>Производство</x:v>
      </x:c>
      <x:c r="H532" s="207" t="str">
        <x:v>Высокий</x:v>
      </x:c>
      <x:c r="I532" s="207" t="str">
        <x:v>Загрузка; производительность; фактическая cost</x:v>
      </x:c>
      <x:c r="J532" s="207" t="str">
        <x:v>Планирование Y17</x:v>
      </x:c>
      <x:c r="K532" s="207" t="str"/>
      <x:c r="L532" s="207" t="str"/>
      <x:c r="M532" s="207" t="str">
        <x:v>Не рассмотрено</x:v>
      </x:c>
      <x:c r="N532" s="207" t="str"/>
      <x:c r="O532" s="207" t="str">
        <x:v>17</x:v>
      </x:c>
      <x:c r="P532" s="207" t="n">
        <x:v>3</x:v>
      </x:c>
      <x:c r="Q532" s="208" t="str">
        <x:v>Wave 2 (31–60 дней)</x:v>
      </x:c>
    </x:row>
    <x:row r="533">
      <x:c r="A533" s="206" t="str">
        <x:v>DEC-00529</x:v>
      </x:c>
      <x:c r="B533" s="207" t="str">
        <x:v>Operation</x:v>
      </x:c>
      <x:c r="C533" s="207" t="str">
        <x:v>OP-DRAFT-00100</x:v>
      </x:c>
      <x:c r="D533" s="207" t="str">
        <x:v>production_order_id; operation_type_id; planned_hours; actual_hours; output_qty; defect_qty; completion_status</x:v>
      </x:c>
      <x:c r="E533" s="207" t="str">
        <x:v>48-08 веточки</x:v>
      </x:c>
      <x:c r="F533" s="207" t="str">
        <x:v>Назначить production_order_id, operation_type, дату и факт часов</x:v>
      </x:c>
      <x:c r="G533" s="207" t="str">
        <x:v>Производство</x:v>
      </x:c>
      <x:c r="H533" s="207" t="str">
        <x:v>Высокий</x:v>
      </x:c>
      <x:c r="I533" s="207" t="str">
        <x:v>Загрузка; производительность; фактическая cost</x:v>
      </x:c>
      <x:c r="J533" s="207" t="str">
        <x:v>Планирование Z17</x:v>
      </x:c>
      <x:c r="K533" s="207" t="str"/>
      <x:c r="L533" s="207" t="str"/>
      <x:c r="M533" s="207" t="str">
        <x:v>Не рассмотрено</x:v>
      </x:c>
      <x:c r="N533" s="207" t="str"/>
      <x:c r="O533" s="207" t="str">
        <x:v>17</x:v>
      </x:c>
      <x:c r="P533" s="207" t="n">
        <x:v>3</x:v>
      </x:c>
      <x:c r="Q533" s="208" t="str">
        <x:v>Wave 2 (31–60 дней)</x:v>
      </x:c>
    </x:row>
    <x:row r="534">
      <x:c r="A534" s="206" t="str">
        <x:v>DEC-00530</x:v>
      </x:c>
      <x:c r="B534" s="207" t="str">
        <x:v>Operation</x:v>
      </x:c>
      <x:c r="C534" s="207" t="str">
        <x:v>OP-DRAFT-00101</x:v>
      </x:c>
      <x:c r="D534" s="207" t="str">
        <x:v>production_order_id; operation_type_id; planned_hours; actual_hours; output_qty; defect_qty; completion_status</x:v>
      </x:c>
      <x:c r="E534" s="207" t="str">
        <x:v>48-08 веточки</x:v>
      </x:c>
      <x:c r="F534" s="207" t="str">
        <x:v>Назначить production_order_id, operation_type, дату и факт часов</x:v>
      </x:c>
      <x:c r="G534" s="207" t="str">
        <x:v>Производство</x:v>
      </x:c>
      <x:c r="H534" s="207" t="str">
        <x:v>Высокий</x:v>
      </x:c>
      <x:c r="I534" s="207" t="str">
        <x:v>Загрузка; производительность; фактическая cost</x:v>
      </x:c>
      <x:c r="J534" s="207" t="str">
        <x:v>Планирование AA17</x:v>
      </x:c>
      <x:c r="K534" s="207" t="str"/>
      <x:c r="L534" s="207" t="str"/>
      <x:c r="M534" s="207" t="str">
        <x:v>Не рассмотрено</x:v>
      </x:c>
      <x:c r="N534" s="207" t="str"/>
      <x:c r="O534" s="207" t="str">
        <x:v>17</x:v>
      </x:c>
      <x:c r="P534" s="207" t="n">
        <x:v>3</x:v>
      </x:c>
      <x:c r="Q534" s="208" t="str">
        <x:v>Wave 2 (31–60 дней)</x:v>
      </x:c>
    </x:row>
    <x:row r="535">
      <x:c r="A535" s="206" t="str">
        <x:v>DEC-00531</x:v>
      </x:c>
      <x:c r="B535" s="207" t="str">
        <x:v>Operation</x:v>
      </x:c>
      <x:c r="C535" s="207" t="str">
        <x:v>OP-DRAFT-00102</x:v>
      </x:c>
      <x:c r="D535" s="207" t="str">
        <x:v>production_order_id; operation_type_id; planned_hours; actual_hours; output_qty; defect_qty; completion_status</x:v>
      </x:c>
      <x:c r="E535" s="207" t="str">
        <x:v>48-22 кружево приметка</x:v>
      </x:c>
      <x:c r="F535" s="207" t="str">
        <x:v>Назначить production_order_id, operation_type, дату и факт часов</x:v>
      </x:c>
      <x:c r="G535" s="207" t="str">
        <x:v>Производство</x:v>
      </x:c>
      <x:c r="H535" s="207" t="str">
        <x:v>Высокий</x:v>
      </x:c>
      <x:c r="I535" s="207" t="str">
        <x:v>Загрузка; производительность; фактическая cost</x:v>
      </x:c>
      <x:c r="J535" s="207" t="str">
        <x:v>Планирование AC17</x:v>
      </x:c>
      <x:c r="K535" s="207" t="str"/>
      <x:c r="L535" s="207" t="str"/>
      <x:c r="M535" s="207" t="str">
        <x:v>Не рассмотрено</x:v>
      </x:c>
      <x:c r="N535" s="207" t="str"/>
      <x:c r="O535" s="207" t="str">
        <x:v>17</x:v>
      </x:c>
      <x:c r="P535" s="207" t="n">
        <x:v>3</x:v>
      </x:c>
      <x:c r="Q535" s="208" t="str">
        <x:v>Wave 2 (31–60 дней)</x:v>
      </x:c>
    </x:row>
    <x:row r="536">
      <x:c r="A536" s="206" t="str">
        <x:v>DEC-00532</x:v>
      </x:c>
      <x:c r="B536" s="207" t="str">
        <x:v>Operation</x:v>
      </x:c>
      <x:c r="C536" s="207" t="str">
        <x:v>OP-DRAFT-00103</x:v>
      </x:c>
      <x:c r="D536" s="207" t="str">
        <x:v>production_order_id; operation_type_id; planned_hours; actual_hours; output_qty; defect_qty; completion_status</x:v>
      </x:c>
      <x:c r="E536" s="207" t="str">
        <x:v>48-26 колье</x:v>
      </x:c>
      <x:c r="F536" s="207" t="str">
        <x:v>Назначить production_order_id, operation_type, дату и факт часов</x:v>
      </x:c>
      <x:c r="G536" s="207" t="str">
        <x:v>Производство</x:v>
      </x:c>
      <x:c r="H536" s="207" t="str">
        <x:v>Высокий</x:v>
      </x:c>
      <x:c r="I536" s="207" t="str">
        <x:v>Загрузка; производительность; фактическая cost</x:v>
      </x:c>
      <x:c r="J536" s="207" t="str">
        <x:v>Планирование AD17</x:v>
      </x:c>
      <x:c r="K536" s="207" t="str"/>
      <x:c r="L536" s="207" t="str"/>
      <x:c r="M536" s="207" t="str">
        <x:v>Не рассмотрено</x:v>
      </x:c>
      <x:c r="N536" s="207" t="str"/>
      <x:c r="O536" s="207" t="str">
        <x:v>17</x:v>
      </x:c>
      <x:c r="P536" s="207" t="n">
        <x:v>3</x:v>
      </x:c>
      <x:c r="Q536" s="208" t="str">
        <x:v>Wave 2 (31–60 дней)</x:v>
      </x:c>
    </x:row>
    <x:row r="537">
      <x:c r="A537" s="206" t="str">
        <x:v>DEC-00533</x:v>
      </x:c>
      <x:c r="B537" s="207" t="str">
        <x:v>Operation</x:v>
      </x:c>
      <x:c r="C537" s="207" t="str">
        <x:v>OP-DRAFT-00104</x:v>
      </x:c>
      <x:c r="D537" s="207" t="str">
        <x:v>production_order_id; operation_type_id; planned_hours; actual_hours; output_qty; defect_qty; completion_status</x:v>
      </x:c>
      <x:c r="E537" s="207" t="str">
        <x:v>Нуряева 0-3407</x:v>
      </x:c>
      <x:c r="F537" s="207" t="str">
        <x:v>Назначить production_order_id, operation_type, дату и факт часов</x:v>
      </x:c>
      <x:c r="G537" s="207" t="str">
        <x:v>Производство</x:v>
      </x:c>
      <x:c r="H537" s="207" t="str">
        <x:v>Высокий</x:v>
      </x:c>
      <x:c r="I537" s="207" t="str">
        <x:v>Загрузка; производительность; фактическая cost</x:v>
      </x:c>
      <x:c r="J537" s="207" t="str">
        <x:v>Планирование AE17</x:v>
      </x:c>
      <x:c r="K537" s="207" t="str"/>
      <x:c r="L537" s="207" t="str"/>
      <x:c r="M537" s="207" t="str">
        <x:v>Не рассмотрено</x:v>
      </x:c>
      <x:c r="N537" s="207" t="str"/>
      <x:c r="O537" s="207" t="str">
        <x:v>17</x:v>
      </x:c>
      <x:c r="P537" s="207" t="n">
        <x:v>3</x:v>
      </x:c>
      <x:c r="Q537" s="208" t="str">
        <x:v>Wave 2 (31–60 дней)</x:v>
      </x:c>
    </x:row>
    <x:row r="538">
      <x:c r="A538" s="206" t="str">
        <x:v>DEC-00534</x:v>
      </x:c>
      <x:c r="B538" s="207" t="str">
        <x:v>Operation</x:v>
      </x:c>
      <x:c r="C538" s="207" t="str">
        <x:v>OP-DRAFT-00105</x:v>
      </x:c>
      <x:c r="D538" s="207" t="str">
        <x:v>production_order_id; operation_type_id; planned_hours; actual_hours; output_qty; defect_qty; completion_status</x:v>
      </x:c>
      <x:c r="E538" s="207" t="str">
        <x:v>48-26 колье</x:v>
      </x:c>
      <x:c r="F538" s="207" t="str">
        <x:v>Назначить production_order_id, operation_type, дату и факт часов</x:v>
      </x:c>
      <x:c r="G538" s="207" t="str">
        <x:v>Производство</x:v>
      </x:c>
      <x:c r="H538" s="207" t="str">
        <x:v>Высокий</x:v>
      </x:c>
      <x:c r="I538" s="207" t="str">
        <x:v>Загрузка; производительность; фактическая cost</x:v>
      </x:c>
      <x:c r="J538" s="207" t="str">
        <x:v>Планирование AF17</x:v>
      </x:c>
      <x:c r="K538" s="207" t="str"/>
      <x:c r="L538" s="207" t="str"/>
      <x:c r="M538" s="207" t="str">
        <x:v>Не рассмотрено</x:v>
      </x:c>
      <x:c r="N538" s="207" t="str"/>
      <x:c r="O538" s="207" t="str">
        <x:v>17</x:v>
      </x:c>
      <x:c r="P538" s="207" t="n">
        <x:v>3</x:v>
      </x:c>
      <x:c r="Q538" s="208" t="str">
        <x:v>Wave 2 (31–60 дней)</x:v>
      </x:c>
    </x:row>
    <x:row r="539">
      <x:c r="A539" s="206" t="str">
        <x:v>DEC-00535</x:v>
      </x:c>
      <x:c r="B539" s="207" t="str">
        <x:v>Operation</x:v>
      </x:c>
      <x:c r="C539" s="207" t="str">
        <x:v>OP-DRAFT-00106</x:v>
      </x:c>
      <x:c r="D539" s="207" t="str">
        <x:v>production_order_id; operation_type_id; planned_hours; actual_hours; output_qty; defect_qty; completion_status</x:v>
      </x:c>
      <x:c r="E539" s="207" t="str">
        <x:v>48-26 колье</x:v>
      </x:c>
      <x:c r="F539" s="207" t="str">
        <x:v>Назначить production_order_id, operation_type, дату и факт часов</x:v>
      </x:c>
      <x:c r="G539" s="207" t="str">
        <x:v>Производство</x:v>
      </x:c>
      <x:c r="H539" s="207" t="str">
        <x:v>Высокий</x:v>
      </x:c>
      <x:c r="I539" s="207" t="str">
        <x:v>Загрузка; производительность; фактическая cost</x:v>
      </x:c>
      <x:c r="J539" s="207" t="str">
        <x:v>Планирование AG17</x:v>
      </x:c>
      <x:c r="K539" s="207" t="str"/>
      <x:c r="L539" s="207" t="str"/>
      <x:c r="M539" s="207" t="str">
        <x:v>Не рассмотрено</x:v>
      </x:c>
      <x:c r="N539" s="207" t="str"/>
      <x:c r="O539" s="207" t="str">
        <x:v>17</x:v>
      </x:c>
      <x:c r="P539" s="207" t="n">
        <x:v>3</x:v>
      </x:c>
      <x:c r="Q539" s="208" t="str">
        <x:v>Wave 2 (31–60 дней)</x:v>
      </x:c>
    </x:row>
    <x:row r="540">
      <x:c r="A540" s="206" t="str">
        <x:v>DEC-00536</x:v>
      </x:c>
      <x:c r="B540" s="207" t="str">
        <x:v>Operation</x:v>
      </x:c>
      <x:c r="C540" s="207" t="str">
        <x:v>OP-DRAFT-00107</x:v>
      </x:c>
      <x:c r="D540" s="207" t="str">
        <x:v>model_id/canonical_sku; production_order_id; operation_type_id; planned_hours; actual_hours; output_qty; defect_qty; completion_status</x:v>
      </x:c>
      <x:c r="E540" s="207" t="str">
        <x:v>48 по ситации</x:v>
      </x:c>
      <x:c r="F540" s="207" t="str">
        <x:v>Назначить production_order_id, operation_type, дату и факт часов</x:v>
      </x:c>
      <x:c r="G540" s="207" t="str">
        <x:v>Производство</x:v>
      </x:c>
      <x:c r="H540" s="207" t="str">
        <x:v>Высокий</x:v>
      </x:c>
      <x:c r="I540" s="207" t="str">
        <x:v>Загрузка; производительность; фактическая cost</x:v>
      </x:c>
      <x:c r="J540" s="207" t="str">
        <x:v>Планирование AJ17</x:v>
      </x:c>
      <x:c r="K540" s="207" t="str"/>
      <x:c r="L540" s="207" t="str"/>
      <x:c r="M540" s="207" t="str">
        <x:v>Не рассмотрено</x:v>
      </x:c>
      <x:c r="N540" s="207" t="str"/>
      <x:c r="O540" s="207" t="str">
        <x:v>17</x:v>
      </x:c>
      <x:c r="P540" s="207" t="n">
        <x:v>3</x:v>
      </x:c>
      <x:c r="Q540" s="208" t="str">
        <x:v>Wave 2 (31–60 дней)</x:v>
      </x:c>
    </x:row>
    <x:row r="541">
      <x:c r="A541" s="206" t="str">
        <x:v>DEC-00537</x:v>
      </x:c>
      <x:c r="B541" s="207" t="str">
        <x:v>Operation</x:v>
      </x:c>
      <x:c r="C541" s="207" t="str">
        <x:v>OP-DRAFT-00108</x:v>
      </x:c>
      <x:c r="D541" s="207" t="str">
        <x:v>production_order_id; operation_type_id; planned_hours; actual_hours; output_qty; defect_qty; completion_status</x:v>
      </x:c>
      <x:c r="E541" s="207" t="str">
        <x:v>47-30 Марианна</x:v>
      </x:c>
      <x:c r="F541" s="207" t="str">
        <x:v>Назначить production_order_id, operation_type, дату и факт часов</x:v>
      </x:c>
      <x:c r="G541" s="207" t="str">
        <x:v>Производство</x:v>
      </x:c>
      <x:c r="H541" s="207" t="str">
        <x:v>Высокий</x:v>
      </x:c>
      <x:c r="I541" s="207" t="str">
        <x:v>Загрузка; производительность; фактическая cost</x:v>
      </x:c>
      <x:c r="J541" s="207" t="str">
        <x:v>Планирование BE17</x:v>
      </x:c>
      <x:c r="K541" s="207" t="str"/>
      <x:c r="L541" s="207" t="str"/>
      <x:c r="M541" s="207" t="str">
        <x:v>Не рассмотрено</x:v>
      </x:c>
      <x:c r="N541" s="207" t="str"/>
      <x:c r="O541" s="207" t="str">
        <x:v>17</x:v>
      </x:c>
      <x:c r="P541" s="207" t="n">
        <x:v>3</x:v>
      </x:c>
      <x:c r="Q541" s="208" t="str">
        <x:v>Wave 2 (31–60 дней)</x:v>
      </x:c>
    </x:row>
    <x:row r="542">
      <x:c r="A542" s="206" t="str">
        <x:v>DEC-00538</x:v>
      </x:c>
      <x:c r="B542" s="207" t="str">
        <x:v>Operation</x:v>
      </x:c>
      <x:c r="C542" s="207" t="str">
        <x:v>OP-DRAFT-00109</x:v>
      </x:c>
      <x:c r="D542" s="207" t="str">
        <x:v>production_order_id; operation_type_id; planned_hours; actual_hours; output_qty; defect_qty; completion_status</x:v>
      </x:c>
      <x:c r="E542" s="207" t="str">
        <x:v>47-30 Марианна</x:v>
      </x:c>
      <x:c r="F542" s="207" t="str">
        <x:v>Назначить production_order_id, operation_type, дату и факт часов</x:v>
      </x:c>
      <x:c r="G542" s="207" t="str">
        <x:v>Производство</x:v>
      </x:c>
      <x:c r="H542" s="207" t="str">
        <x:v>Высокий</x:v>
      </x:c>
      <x:c r="I542" s="207" t="str">
        <x:v>Загрузка; производительность; фактическая cost</x:v>
      </x:c>
      <x:c r="J542" s="207" t="str">
        <x:v>Планирование BF17</x:v>
      </x:c>
      <x:c r="K542" s="207" t="str"/>
      <x:c r="L542" s="207" t="str"/>
      <x:c r="M542" s="207" t="str">
        <x:v>Не рассмотрено</x:v>
      </x:c>
      <x:c r="N542" s="207" t="str"/>
      <x:c r="O542" s="207" t="str">
        <x:v>17</x:v>
      </x:c>
      <x:c r="P542" s="207" t="n">
        <x:v>3</x:v>
      </x:c>
      <x:c r="Q542" s="208" t="str">
        <x:v>Wave 2 (31–60 дней)</x:v>
      </x:c>
    </x:row>
    <x:row r="543">
      <x:c r="A543" s="206" t="str">
        <x:v>DEC-00539</x:v>
      </x:c>
      <x:c r="B543" s="207" t="str">
        <x:v>Operation</x:v>
      </x:c>
      <x:c r="C543" s="207" t="str">
        <x:v>OP-DRAFT-00110</x:v>
      </x:c>
      <x:c r="D543" s="207" t="str">
        <x:v>production_order_id; operation_type_id; planned_hours; actual_hours; output_qty; defect_qty; completion_status</x:v>
      </x:c>
      <x:c r="E543" s="207" t="str">
        <x:v>47-30 Марианна</x:v>
      </x:c>
      <x:c r="F543" s="207" t="str">
        <x:v>Назначить production_order_id, operation_type, дату и факт часов</x:v>
      </x:c>
      <x:c r="G543" s="207" t="str">
        <x:v>Производство</x:v>
      </x:c>
      <x:c r="H543" s="207" t="str">
        <x:v>Высокий</x:v>
      </x:c>
      <x:c r="I543" s="207" t="str">
        <x:v>Загрузка; производительность; фактическая cost</x:v>
      </x:c>
      <x:c r="J543" s="207" t="str">
        <x:v>Планирование BG17</x:v>
      </x:c>
      <x:c r="K543" s="207" t="str"/>
      <x:c r="L543" s="207" t="str"/>
      <x:c r="M543" s="207" t="str">
        <x:v>Не рассмотрено</x:v>
      </x:c>
      <x:c r="N543" s="207" t="str"/>
      <x:c r="O543" s="207" t="str">
        <x:v>17</x:v>
      </x:c>
      <x:c r="P543" s="207" t="n">
        <x:v>3</x:v>
      </x:c>
      <x:c r="Q543" s="208" t="str">
        <x:v>Wave 2 (31–60 дней)</x:v>
      </x:c>
    </x:row>
    <x:row r="544">
      <x:c r="A544" s="206" t="str">
        <x:v>DEC-00540</x:v>
      </x:c>
      <x:c r="B544" s="207" t="str">
        <x:v>Operation</x:v>
      </x:c>
      <x:c r="C544" s="207" t="str">
        <x:v>OP-DRAFT-00111</x:v>
      </x:c>
      <x:c r="D544" s="207" t="str">
        <x:v>production_order_id; operation_type_id; planned_hours; actual_hours; output_qty; defect_qty; completion_status</x:v>
      </x:c>
      <x:c r="E544" s="207" t="str">
        <x:v>47-30 Марианна</x:v>
      </x:c>
      <x:c r="F544" s="207" t="str">
        <x:v>Назначить production_order_id, operation_type, дату и факт часов</x:v>
      </x:c>
      <x:c r="G544" s="207" t="str">
        <x:v>Производство</x:v>
      </x:c>
      <x:c r="H544" s="207" t="str">
        <x:v>Высокий</x:v>
      </x:c>
      <x:c r="I544" s="207" t="str">
        <x:v>Загрузка; производительность; фактическая cost</x:v>
      </x:c>
      <x:c r="J544" s="207" t="str">
        <x:v>Планирование BH17</x:v>
      </x:c>
      <x:c r="K544" s="207" t="str"/>
      <x:c r="L544" s="207" t="str"/>
      <x:c r="M544" s="207" t="str">
        <x:v>Не рассмотрено</x:v>
      </x:c>
      <x:c r="N544" s="207" t="str"/>
      <x:c r="O544" s="207" t="str">
        <x:v>17</x:v>
      </x:c>
      <x:c r="P544" s="207" t="n">
        <x:v>3</x:v>
      </x:c>
      <x:c r="Q544" s="208" t="str">
        <x:v>Wave 2 (31–60 дней)</x:v>
      </x:c>
    </x:row>
    <x:row r="545">
      <x:c r="A545" s="206" t="str">
        <x:v>DEC-00541</x:v>
      </x:c>
      <x:c r="B545" s="207" t="str">
        <x:v>Operation</x:v>
      </x:c>
      <x:c r="C545" s="207" t="str">
        <x:v>OP-DRAFT-00112</x:v>
      </x:c>
      <x:c r="D545" s="207" t="str">
        <x:v>production_order_id; operation_type_id; planned_hours; actual_hours; output_qty; defect_qty; completion_status</x:v>
      </x:c>
      <x:c r="E545" s="207" t="str">
        <x:v>47-30 Марианна</x:v>
      </x:c>
      <x:c r="F545" s="207" t="str">
        <x:v>Назначить production_order_id, operation_type, дату и факт часов</x:v>
      </x:c>
      <x:c r="G545" s="207" t="str">
        <x:v>Производство</x:v>
      </x:c>
      <x:c r="H545" s="207" t="str">
        <x:v>Высокий</x:v>
      </x:c>
      <x:c r="I545" s="207" t="str">
        <x:v>Загрузка; производительность; фактическая cost</x:v>
      </x:c>
      <x:c r="J545" s="207" t="str">
        <x:v>Планирование BI17</x:v>
      </x:c>
      <x:c r="K545" s="207" t="str"/>
      <x:c r="L545" s="207" t="str"/>
      <x:c r="M545" s="207" t="str">
        <x:v>Не рассмотрено</x:v>
      </x:c>
      <x:c r="N545" s="207" t="str"/>
      <x:c r="O545" s="207" t="str">
        <x:v>17</x:v>
      </x:c>
      <x:c r="P545" s="207" t="n">
        <x:v>3</x:v>
      </x:c>
      <x:c r="Q545" s="208" t="str">
        <x:v>Wave 2 (31–60 дней)</x:v>
      </x:c>
    </x:row>
    <x:row r="546">
      <x:c r="A546" s="206" t="str">
        <x:v>DEC-00542</x:v>
      </x:c>
      <x:c r="B546" s="207" t="str">
        <x:v>Operation</x:v>
      </x:c>
      <x:c r="C546" s="207" t="str">
        <x:v>OP-DRAFT-00113</x:v>
      </x:c>
      <x:c r="D546" s="207" t="str">
        <x:v>production_order_id; operation_type_id; planned_hours; actual_hours; output_qty; defect_qty; completion_status</x:v>
      </x:c>
      <x:c r="E546" s="207" t="str">
        <x:v>47-30 Марианна</x:v>
      </x:c>
      <x:c r="F546" s="207" t="str">
        <x:v>Назначить production_order_id, operation_type, дату и факт часов</x:v>
      </x:c>
      <x:c r="G546" s="207" t="str">
        <x:v>Производство</x:v>
      </x:c>
      <x:c r="H546" s="207" t="str">
        <x:v>Высокий</x:v>
      </x:c>
      <x:c r="I546" s="207" t="str">
        <x:v>Загрузка; производительность; фактическая cost</x:v>
      </x:c>
      <x:c r="J546" s="207" t="str">
        <x:v>Планирование BL17</x:v>
      </x:c>
      <x:c r="K546" s="207" t="str"/>
      <x:c r="L546" s="207" t="str"/>
      <x:c r="M546" s="207" t="str">
        <x:v>Не рассмотрено</x:v>
      </x:c>
      <x:c r="N546" s="207" t="str"/>
      <x:c r="O546" s="207" t="str">
        <x:v>17</x:v>
      </x:c>
      <x:c r="P546" s="207" t="n">
        <x:v>3</x:v>
      </x:c>
      <x:c r="Q546" s="208" t="str">
        <x:v>Wave 2 (31–60 дней)</x:v>
      </x:c>
    </x:row>
    <x:row r="547">
      <x:c r="A547" s="206" t="str">
        <x:v>DEC-00543</x:v>
      </x:c>
      <x:c r="B547" s="207" t="str">
        <x:v>Operation</x:v>
      </x:c>
      <x:c r="C547" s="207" t="str">
        <x:v>OP-DRAFT-00114</x:v>
      </x:c>
      <x:c r="D547" s="207" t="str">
        <x:v>production_order_id; operation_type_id; planned_hours; actual_hours; output_qty; defect_qty; completion_status</x:v>
      </x:c>
      <x:c r="E547" s="207" t="str">
        <x:v>47-30 Марианна</x:v>
      </x:c>
      <x:c r="F547" s="207" t="str">
        <x:v>Назначить production_order_id, operation_type, дату и факт часов</x:v>
      </x:c>
      <x:c r="G547" s="207" t="str">
        <x:v>Производство</x:v>
      </x:c>
      <x:c r="H547" s="207" t="str">
        <x:v>Высокий</x:v>
      </x:c>
      <x:c r="I547" s="207" t="str">
        <x:v>Загрузка; производительность; фактическая cost</x:v>
      </x:c>
      <x:c r="J547" s="207" t="str">
        <x:v>Планирование BM17</x:v>
      </x:c>
      <x:c r="K547" s="207" t="str"/>
      <x:c r="L547" s="207" t="str"/>
      <x:c r="M547" s="207" t="str">
        <x:v>Не рассмотрено</x:v>
      </x:c>
      <x:c r="N547" s="207" t="str"/>
      <x:c r="O547" s="207" t="str">
        <x:v>17</x:v>
      </x:c>
      <x:c r="P547" s="207" t="n">
        <x:v>3</x:v>
      </x:c>
      <x:c r="Q547" s="208" t="str">
        <x:v>Wave 2 (31–60 дней)</x:v>
      </x:c>
    </x:row>
    <x:row r="548">
      <x:c r="A548" s="206" t="str">
        <x:v>DEC-00544</x:v>
      </x:c>
      <x:c r="B548" s="207" t="str">
        <x:v>Operation</x:v>
      </x:c>
      <x:c r="C548" s="207" t="str">
        <x:v>OP-DRAFT-00115</x:v>
      </x:c>
      <x:c r="D548" s="207" t="str">
        <x:v>production_order_id; operation_type_id; planned_hours; actual_hours; output_qty; defect_qty; completion_status</x:v>
      </x:c>
      <x:c r="E548" s="207" t="str">
        <x:v>47-30 Марианна</x:v>
      </x:c>
      <x:c r="F548" s="207" t="str">
        <x:v>Назначить production_order_id, operation_type, дату и факт часов</x:v>
      </x:c>
      <x:c r="G548" s="207" t="str">
        <x:v>Производство</x:v>
      </x:c>
      <x:c r="H548" s="207" t="str">
        <x:v>Высокий</x:v>
      </x:c>
      <x:c r="I548" s="207" t="str">
        <x:v>Загрузка; производительность; фактическая cost</x:v>
      </x:c>
      <x:c r="J548" s="207" t="str">
        <x:v>Планирование BN17</x:v>
      </x:c>
      <x:c r="K548" s="207" t="str"/>
      <x:c r="L548" s="207" t="str"/>
      <x:c r="M548" s="207" t="str">
        <x:v>Не рассмотрено</x:v>
      </x:c>
      <x:c r="N548" s="207" t="str"/>
      <x:c r="O548" s="207" t="str">
        <x:v>17</x:v>
      </x:c>
      <x:c r="P548" s="207" t="n">
        <x:v>3</x:v>
      </x:c>
      <x:c r="Q548" s="208" t="str">
        <x:v>Wave 2 (31–60 дней)</x:v>
      </x:c>
    </x:row>
    <x:row r="549">
      <x:c r="A549" s="206" t="str">
        <x:v>DEC-00545</x:v>
      </x:c>
      <x:c r="B549" s="207" t="str">
        <x:v>Operation</x:v>
      </x:c>
      <x:c r="C549" s="207" t="str">
        <x:v>OP-DRAFT-00116</x:v>
      </x:c>
      <x:c r="D549" s="207" t="str">
        <x:v>production_order_id; operation_type_id; planned_hours; actual_hours; output_qty; defect_qty; completion_status</x:v>
      </x:c>
      <x:c r="E549" s="207" t="str">
        <x:v>47-30 Марианна</x:v>
      </x:c>
      <x:c r="F549" s="207" t="str">
        <x:v>Назначить production_order_id, operation_type, дату и факт часов</x:v>
      </x:c>
      <x:c r="G549" s="207" t="str">
        <x:v>Производство</x:v>
      </x:c>
      <x:c r="H549" s="207" t="str">
        <x:v>Высокий</x:v>
      </x:c>
      <x:c r="I549" s="207" t="str">
        <x:v>Загрузка; производительность; фактическая cost</x:v>
      </x:c>
      <x:c r="J549" s="207" t="str">
        <x:v>Планирование BO17</x:v>
      </x:c>
      <x:c r="K549" s="207" t="str"/>
      <x:c r="L549" s="207" t="str"/>
      <x:c r="M549" s="207" t="str">
        <x:v>Не рассмотрено</x:v>
      </x:c>
      <x:c r="N549" s="207" t="str"/>
      <x:c r="O549" s="207" t="str">
        <x:v>17</x:v>
      </x:c>
      <x:c r="P549" s="207" t="n">
        <x:v>3</x:v>
      </x:c>
      <x:c r="Q549" s="208" t="str">
        <x:v>Wave 2 (31–60 дней)</x:v>
      </x:c>
    </x:row>
    <x:row r="550">
      <x:c r="A550" s="206" t="str">
        <x:v>DEC-00546</x:v>
      </x:c>
      <x:c r="B550" s="207" t="str">
        <x:v>Operation</x:v>
      </x:c>
      <x:c r="C550" s="207" t="str">
        <x:v>OP-DRAFT-00117</x:v>
      </x:c>
      <x:c r="D550" s="207" t="str">
        <x:v>production_order_id; operation_type_id; planned_hours; actual_hours; output_qty; defect_qty; completion_status</x:v>
      </x:c>
      <x:c r="E550" s="207" t="str">
        <x:v>47-30 Марианна</x:v>
      </x:c>
      <x:c r="F550" s="207" t="str">
        <x:v>Назначить production_order_id, operation_type, дату и факт часов</x:v>
      </x:c>
      <x:c r="G550" s="207" t="str">
        <x:v>Производство</x:v>
      </x:c>
      <x:c r="H550" s="207" t="str">
        <x:v>Высокий</x:v>
      </x:c>
      <x:c r="I550" s="207" t="str">
        <x:v>Загрузка; производительность; фактическая cost</x:v>
      </x:c>
      <x:c r="J550" s="207" t="str">
        <x:v>Планирование BP17</x:v>
      </x:c>
      <x:c r="K550" s="207" t="str"/>
      <x:c r="L550" s="207" t="str"/>
      <x:c r="M550" s="207" t="str">
        <x:v>Не рассмотрено</x:v>
      </x:c>
      <x:c r="N550" s="207" t="str"/>
      <x:c r="O550" s="207" t="str">
        <x:v>17</x:v>
      </x:c>
      <x:c r="P550" s="207" t="n">
        <x:v>3</x:v>
      </x:c>
      <x:c r="Q550" s="208" t="str">
        <x:v>Wave 2 (31–60 дней)</x:v>
      </x:c>
    </x:row>
    <x:row r="551">
      <x:c r="A551" s="206" t="str">
        <x:v>DEC-00547</x:v>
      </x:c>
      <x:c r="B551" s="207" t="str">
        <x:v>Operation</x:v>
      </x:c>
      <x:c r="C551" s="207" t="str">
        <x:v>OP-DRAFT-00118</x:v>
      </x:c>
      <x:c r="D551" s="207" t="str">
        <x:v>production_order_id; operation_type_id; planned_hours; actual_hours; output_qty; defect_qty; completion_status</x:v>
      </x:c>
      <x:c r="E551" s="207" t="str">
        <x:v>47-30 Марианна</x:v>
      </x:c>
      <x:c r="F551" s="207" t="str">
        <x:v>Назначить production_order_id, operation_type, дату и факт часов</x:v>
      </x:c>
      <x:c r="G551" s="207" t="str">
        <x:v>Производство</x:v>
      </x:c>
      <x:c r="H551" s="207" t="str">
        <x:v>Высокий</x:v>
      </x:c>
      <x:c r="I551" s="207" t="str">
        <x:v>Загрузка; производительность; фактическая cost</x:v>
      </x:c>
      <x:c r="J551" s="207" t="str">
        <x:v>Планирование BS17</x:v>
      </x:c>
      <x:c r="K551" s="207" t="str"/>
      <x:c r="L551" s="207" t="str"/>
      <x:c r="M551" s="207" t="str">
        <x:v>Не рассмотрено</x:v>
      </x:c>
      <x:c r="N551" s="207" t="str"/>
      <x:c r="O551" s="207" t="str">
        <x:v>17</x:v>
      </x:c>
      <x:c r="P551" s="207" t="n">
        <x:v>3</x:v>
      </x:c>
      <x:c r="Q551" s="208" t="str">
        <x:v>Wave 2 (31–60 дней)</x:v>
      </x:c>
    </x:row>
    <x:row r="552">
      <x:c r="A552" s="206" t="str">
        <x:v>DEC-00548</x:v>
      </x:c>
      <x:c r="B552" s="207" t="str">
        <x:v>Operation</x:v>
      </x:c>
      <x:c r="C552" s="207" t="str">
        <x:v>OP-DRAFT-00119</x:v>
      </x:c>
      <x:c r="D552" s="207" t="str">
        <x:v>production_order_id; operation_type_id; planned_hours; actual_hours; output_qty; defect_qty; completion_status</x:v>
      </x:c>
      <x:c r="E552" s="207" t="str">
        <x:v>47-30 Марианна</x:v>
      </x:c>
      <x:c r="F552" s="207" t="str">
        <x:v>Назначить production_order_id, operation_type, дату и факт часов</x:v>
      </x:c>
      <x:c r="G552" s="207" t="str">
        <x:v>Производство</x:v>
      </x:c>
      <x:c r="H552" s="207" t="str">
        <x:v>Высокий</x:v>
      </x:c>
      <x:c r="I552" s="207" t="str">
        <x:v>Загрузка; производительность; фактическая cost</x:v>
      </x:c>
      <x:c r="J552" s="207" t="str">
        <x:v>Планирование BT17</x:v>
      </x:c>
      <x:c r="K552" s="207" t="str"/>
      <x:c r="L552" s="207" t="str"/>
      <x:c r="M552" s="207" t="str">
        <x:v>Не рассмотрено</x:v>
      </x:c>
      <x:c r="N552" s="207" t="str"/>
      <x:c r="O552" s="207" t="str">
        <x:v>17</x:v>
      </x:c>
      <x:c r="P552" s="207" t="n">
        <x:v>3</x:v>
      </x:c>
      <x:c r="Q552" s="208" t="str">
        <x:v>Wave 2 (31–60 дней)</x:v>
      </x:c>
    </x:row>
    <x:row r="553">
      <x:c r="A553" s="206" t="str">
        <x:v>DEC-00549</x:v>
      </x:c>
      <x:c r="B553" s="207" t="str">
        <x:v>Operation</x:v>
      </x:c>
      <x:c r="C553" s="207" t="str">
        <x:v>OP-DRAFT-00120</x:v>
      </x:c>
      <x:c r="D553" s="207" t="str">
        <x:v>production_order_id; operation_type_id; planned_hours; actual_hours; output_qty; defect_qty; completion_status</x:v>
      </x:c>
      <x:c r="E553" s="207" t="str">
        <x:v>47-30 Марианна</x:v>
      </x:c>
      <x:c r="F553" s="207" t="str">
        <x:v>Назначить production_order_id, operation_type, дату и факт часов</x:v>
      </x:c>
      <x:c r="G553" s="207" t="str">
        <x:v>Производство</x:v>
      </x:c>
      <x:c r="H553" s="207" t="str">
        <x:v>Высокий</x:v>
      </x:c>
      <x:c r="I553" s="207" t="str">
        <x:v>Загрузка; производительность; фактическая cost</x:v>
      </x:c>
      <x:c r="J553" s="207" t="str">
        <x:v>Планирование BU17</x:v>
      </x:c>
      <x:c r="K553" s="207" t="str"/>
      <x:c r="L553" s="207" t="str"/>
      <x:c r="M553" s="207" t="str">
        <x:v>Не рассмотрено</x:v>
      </x:c>
      <x:c r="N553" s="207" t="str"/>
      <x:c r="O553" s="207" t="str">
        <x:v>17</x:v>
      </x:c>
      <x:c r="P553" s="207" t="n">
        <x:v>3</x:v>
      </x:c>
      <x:c r="Q553" s="208" t="str">
        <x:v>Wave 2 (31–60 дней)</x:v>
      </x:c>
    </x:row>
    <x:row r="554">
      <x:c r="A554" s="206" t="str">
        <x:v>DEC-00550</x:v>
      </x:c>
      <x:c r="B554" s="207" t="str">
        <x:v>Operation</x:v>
      </x:c>
      <x:c r="C554" s="207" t="str">
        <x:v>OP-DRAFT-00121</x:v>
      </x:c>
      <x:c r="D554" s="207" t="str">
        <x:v>production_order_id; operation_type_id; planned_hours; actual_hours; output_qty; defect_qty; completion_status</x:v>
      </x:c>
      <x:c r="E554" s="207" t="str">
        <x:v>47-30 Марианна</x:v>
      </x:c>
      <x:c r="F554" s="207" t="str">
        <x:v>Назначить production_order_id, operation_type, дату и факт часов</x:v>
      </x:c>
      <x:c r="G554" s="207" t="str">
        <x:v>Производство</x:v>
      </x:c>
      <x:c r="H554" s="207" t="str">
        <x:v>Высокий</x:v>
      </x:c>
      <x:c r="I554" s="207" t="str">
        <x:v>Загрузка; производительность; фактическая cost</x:v>
      </x:c>
      <x:c r="J554" s="207" t="str">
        <x:v>Планирование BV17</x:v>
      </x:c>
      <x:c r="K554" s="207" t="str"/>
      <x:c r="L554" s="207" t="str"/>
      <x:c r="M554" s="207" t="str">
        <x:v>Не рассмотрено</x:v>
      </x:c>
      <x:c r="N554" s="207" t="str"/>
      <x:c r="O554" s="207" t="str">
        <x:v>17</x:v>
      </x:c>
      <x:c r="P554" s="207" t="n">
        <x:v>3</x:v>
      </x:c>
      <x:c r="Q554" s="208" t="str">
        <x:v>Wave 2 (31–60 дней)</x:v>
      </x:c>
    </x:row>
    <x:row r="555">
      <x:c r="A555" s="206" t="str">
        <x:v>DEC-00551</x:v>
      </x:c>
      <x:c r="B555" s="207" t="str">
        <x:v>Operation</x:v>
      </x:c>
      <x:c r="C555" s="207" t="str">
        <x:v>OP-DRAFT-00122</x:v>
      </x:c>
      <x:c r="D555" s="207" t="str">
        <x:v>production_order_id; operation_type_id; planned_hours; actual_hours; output_qty; defect_qty; completion_status</x:v>
      </x:c>
      <x:c r="E555" s="207" t="str">
        <x:v>47-30 Марианна</x:v>
      </x:c>
      <x:c r="F555" s="207" t="str">
        <x:v>Назначить production_order_id, operation_type, дату и факт часов</x:v>
      </x:c>
      <x:c r="G555" s="207" t="str">
        <x:v>Производство</x:v>
      </x:c>
      <x:c r="H555" s="207" t="str">
        <x:v>Высокий</x:v>
      </x:c>
      <x:c r="I555" s="207" t="str">
        <x:v>Загрузка; производительность; фактическая cost</x:v>
      </x:c>
      <x:c r="J555" s="207" t="str">
        <x:v>Планирование BW17</x:v>
      </x:c>
      <x:c r="K555" s="207" t="str"/>
      <x:c r="L555" s="207" t="str"/>
      <x:c r="M555" s="207" t="str">
        <x:v>Не рассмотрено</x:v>
      </x:c>
      <x:c r="N555" s="207" t="str"/>
      <x:c r="O555" s="207" t="str">
        <x:v>17</x:v>
      </x:c>
      <x:c r="P555" s="207" t="n">
        <x:v>3</x:v>
      </x:c>
      <x:c r="Q555" s="208" t="str">
        <x:v>Wave 2 (31–60 дней)</x:v>
      </x:c>
    </x:row>
    <x:row r="556">
      <x:c r="A556" s="206" t="str">
        <x:v>DEC-00552</x:v>
      </x:c>
      <x:c r="B556" s="207" t="str">
        <x:v>Operation</x:v>
      </x:c>
      <x:c r="C556" s="207" t="str">
        <x:v>OP-DRAFT-00123</x:v>
      </x:c>
      <x:c r="D556" s="207" t="str">
        <x:v>production_order_id; operation_type_id; planned_hours; actual_hours; output_qty; defect_qty; completion_status</x:v>
      </x:c>
      <x:c r="E556" s="207" t="str">
        <x:v>47-30 Марианна</x:v>
      </x:c>
      <x:c r="F556" s="207" t="str">
        <x:v>Назначить production_order_id, operation_type, дату и факт часов</x:v>
      </x:c>
      <x:c r="G556" s="207" t="str">
        <x:v>Производство</x:v>
      </x:c>
      <x:c r="H556" s="207" t="str">
        <x:v>Высокий</x:v>
      </x:c>
      <x:c r="I556" s="207" t="str">
        <x:v>Загрузка; производительность; фактическая cost</x:v>
      </x:c>
      <x:c r="J556" s="207" t="str">
        <x:v>Планирование BZ17</x:v>
      </x:c>
      <x:c r="K556" s="207" t="str"/>
      <x:c r="L556" s="207" t="str"/>
      <x:c r="M556" s="207" t="str">
        <x:v>Не рассмотрено</x:v>
      </x:c>
      <x:c r="N556" s="207" t="str"/>
      <x:c r="O556" s="207" t="str">
        <x:v>17</x:v>
      </x:c>
      <x:c r="P556" s="207" t="n">
        <x:v>3</x:v>
      </x:c>
      <x:c r="Q556" s="208" t="str">
        <x:v>Wave 2 (31–60 дней)</x:v>
      </x:c>
    </x:row>
    <x:row r="557">
      <x:c r="A557" s="206" t="str">
        <x:v>DEC-00553</x:v>
      </x:c>
      <x:c r="B557" s="207" t="str">
        <x:v>Operation</x:v>
      </x:c>
      <x:c r="C557" s="207" t="str">
        <x:v>OP-DRAFT-00124</x:v>
      </x:c>
      <x:c r="D557" s="207" t="str">
        <x:v>production_order_id; operation_type_id; planned_hours; actual_hours; output_qty; defect_qty; completion_status</x:v>
      </x:c>
      <x:c r="E557" s="207" t="str">
        <x:v>47-30 Марианна</x:v>
      </x:c>
      <x:c r="F557" s="207" t="str">
        <x:v>Назначить production_order_id, operation_type, дату и факт часов</x:v>
      </x:c>
      <x:c r="G557" s="207" t="str">
        <x:v>Производство</x:v>
      </x:c>
      <x:c r="H557" s="207" t="str">
        <x:v>Высокий</x:v>
      </x:c>
      <x:c r="I557" s="207" t="str">
        <x:v>Загрузка; производительность; фактическая cost</x:v>
      </x:c>
      <x:c r="J557" s="207" t="str">
        <x:v>Планирование CA17</x:v>
      </x:c>
      <x:c r="K557" s="207" t="str"/>
      <x:c r="L557" s="207" t="str"/>
      <x:c r="M557" s="207" t="str">
        <x:v>Не рассмотрено</x:v>
      </x:c>
      <x:c r="N557" s="207" t="str"/>
      <x:c r="O557" s="207" t="str">
        <x:v>17</x:v>
      </x:c>
      <x:c r="P557" s="207" t="n">
        <x:v>3</x:v>
      </x:c>
      <x:c r="Q557" s="208" t="str">
        <x:v>Wave 2 (31–60 дней)</x:v>
      </x:c>
    </x:row>
    <x:row r="558">
      <x:c r="A558" s="206" t="str">
        <x:v>DEC-00554</x:v>
      </x:c>
      <x:c r="B558" s="207" t="str">
        <x:v>Operation</x:v>
      </x:c>
      <x:c r="C558" s="207" t="str">
        <x:v>OP-DRAFT-00125</x:v>
      </x:c>
      <x:c r="D558" s="207" t="str">
        <x:v>production_order_id; operation_type_id; planned_hours; actual_hours; output_qty; defect_qty; completion_status</x:v>
      </x:c>
      <x:c r="E558" s="207" t="str">
        <x:v>47-30 Марианна</x:v>
      </x:c>
      <x:c r="F558" s="207" t="str">
        <x:v>Назначить production_order_id, operation_type, дату и факт часов</x:v>
      </x:c>
      <x:c r="G558" s="207" t="str">
        <x:v>Производство</x:v>
      </x:c>
      <x:c r="H558" s="207" t="str">
        <x:v>Высокий</x:v>
      </x:c>
      <x:c r="I558" s="207" t="str">
        <x:v>Загрузка; производительность; фактическая cost</x:v>
      </x:c>
      <x:c r="J558" s="207" t="str">
        <x:v>Планирование CB17</x:v>
      </x:c>
      <x:c r="K558" s="207" t="str"/>
      <x:c r="L558" s="207" t="str"/>
      <x:c r="M558" s="207" t="str">
        <x:v>Не рассмотрено</x:v>
      </x:c>
      <x:c r="N558" s="207" t="str"/>
      <x:c r="O558" s="207" t="str">
        <x:v>17</x:v>
      </x:c>
      <x:c r="P558" s="207" t="n">
        <x:v>3</x:v>
      </x:c>
      <x:c r="Q558" s="208" t="str">
        <x:v>Wave 2 (31–60 дней)</x:v>
      </x:c>
    </x:row>
    <x:row r="559">
      <x:c r="A559" s="206" t="str">
        <x:v>DEC-00555</x:v>
      </x:c>
      <x:c r="B559" s="207" t="str">
        <x:v>Operation</x:v>
      </x:c>
      <x:c r="C559" s="207" t="str">
        <x:v>OP-DRAFT-00126</x:v>
      </x:c>
      <x:c r="D559" s="207" t="str">
        <x:v>production_order_id; operation_type_id; planned_hours; actual_hours; output_qty; defect_qty; completion_status</x:v>
      </x:c>
      <x:c r="E559" s="207" t="str">
        <x:v>47-30 Марианна</x:v>
      </x:c>
      <x:c r="F559" s="207" t="str">
        <x:v>Назначить production_order_id, operation_type, дату и факт часов</x:v>
      </x:c>
      <x:c r="G559" s="207" t="str">
        <x:v>Производство</x:v>
      </x:c>
      <x:c r="H559" s="207" t="str">
        <x:v>Высокий</x:v>
      </x:c>
      <x:c r="I559" s="207" t="str">
        <x:v>Загрузка; производительность; фактическая cost</x:v>
      </x:c>
      <x:c r="J559" s="207" t="str">
        <x:v>Планирование CC17</x:v>
      </x:c>
      <x:c r="K559" s="207" t="str"/>
      <x:c r="L559" s="207" t="str"/>
      <x:c r="M559" s="207" t="str">
        <x:v>Не рассмотрено</x:v>
      </x:c>
      <x:c r="N559" s="207" t="str"/>
      <x:c r="O559" s="207" t="str">
        <x:v>17</x:v>
      </x:c>
      <x:c r="P559" s="207" t="n">
        <x:v>3</x:v>
      </x:c>
      <x:c r="Q559" s="208" t="str">
        <x:v>Wave 2 (31–60 дней)</x:v>
      </x:c>
    </x:row>
    <x:row r="560">
      <x:c r="A560" s="206" t="str">
        <x:v>DEC-00556</x:v>
      </x:c>
      <x:c r="B560" s="207" t="str">
        <x:v>Operation</x:v>
      </x:c>
      <x:c r="C560" s="207" t="str">
        <x:v>OP-DRAFT-00127</x:v>
      </x:c>
      <x:c r="D560" s="207" t="str">
        <x:v>production_order_id; operation_type_id; planned_hours; actual_hours; output_qty; defect_qty; completion_status</x:v>
      </x:c>
      <x:c r="E560" s="207" t="str">
        <x:v>47-30 Марианна</x:v>
      </x:c>
      <x:c r="F560" s="207" t="str">
        <x:v>Назначить production_order_id, operation_type, дату и факт часов</x:v>
      </x:c>
      <x:c r="G560" s="207" t="str">
        <x:v>Производство</x:v>
      </x:c>
      <x:c r="H560" s="207" t="str">
        <x:v>Высокий</x:v>
      </x:c>
      <x:c r="I560" s="207" t="str">
        <x:v>Загрузка; производительность; фактическая cost</x:v>
      </x:c>
      <x:c r="J560" s="207" t="str">
        <x:v>Планирование CD17</x:v>
      </x:c>
      <x:c r="K560" s="207" t="str"/>
      <x:c r="L560" s="207" t="str"/>
      <x:c r="M560" s="207" t="str">
        <x:v>Не рассмотрено</x:v>
      </x:c>
      <x:c r="N560" s="207" t="str"/>
      <x:c r="O560" s="207" t="str">
        <x:v>17</x:v>
      </x:c>
      <x:c r="P560" s="207" t="n">
        <x:v>3</x:v>
      </x:c>
      <x:c r="Q560" s="208" t="str">
        <x:v>Wave 2 (31–60 дней)</x:v>
      </x:c>
    </x:row>
    <x:row r="561">
      <x:c r="A561" s="206" t="str">
        <x:v>DEC-00557</x:v>
      </x:c>
      <x:c r="B561" s="207" t="str">
        <x:v>Operation</x:v>
      </x:c>
      <x:c r="C561" s="207" t="str">
        <x:v>OP-DRAFT-00128</x:v>
      </x:c>
      <x:c r="D561" s="207" t="str">
        <x:v>production_order_id; operation_type_id; planned_hours; actual_hours; output_qty; defect_qty; completion_status</x:v>
      </x:c>
      <x:c r="E561" s="207" t="str">
        <x:v>47-20 Борисевич 21д, сд 27.05</x:v>
      </x:c>
      <x:c r="F561" s="207" t="str">
        <x:v>Назначить production_order_id, operation_type, дату и факт часов</x:v>
      </x:c>
      <x:c r="G561" s="207" t="str">
        <x:v>Производство</x:v>
      </x:c>
      <x:c r="H561" s="207" t="str">
        <x:v>Высокий</x:v>
      </x:c>
      <x:c r="I561" s="207" t="str">
        <x:v>Загрузка; производительность; фактическая cost</x:v>
      </x:c>
      <x:c r="J561" s="207" t="str">
        <x:v>Планирование C18</x:v>
      </x:c>
      <x:c r="K561" s="207" t="str"/>
      <x:c r="L561" s="207" t="str"/>
      <x:c r="M561" s="207" t="str">
        <x:v>Не рассмотрено</x:v>
      </x:c>
      <x:c r="N561" s="207" t="str"/>
      <x:c r="O561" s="207" t="str">
        <x:v>17</x:v>
      </x:c>
      <x:c r="P561" s="207" t="n">
        <x:v>3</x:v>
      </x:c>
      <x:c r="Q561" s="208" t="str">
        <x:v>Wave 2 (31–60 дней)</x:v>
      </x:c>
    </x:row>
    <x:row r="562">
      <x:c r="A562" s="206" t="str">
        <x:v>DEC-00558</x:v>
      </x:c>
      <x:c r="B562" s="207" t="str">
        <x:v>Operation</x:v>
      </x:c>
      <x:c r="C562" s="207" t="str">
        <x:v>OP-DRAFT-00130</x:v>
      </x:c>
      <x:c r="D562" s="207" t="str">
        <x:v>production_order_id; operation_type_id; planned_hours; actual_hours; output_qty; defect_qty; completion_status</x:v>
      </x:c>
      <x:c r="E562" s="207" t="str">
        <x:v>48-28</x:v>
      </x:c>
      <x:c r="F562" s="207" t="str">
        <x:v>Назначить production_order_id, operation_type, дату и факт часов</x:v>
      </x:c>
      <x:c r="G562" s="207" t="str">
        <x:v>Производство</x:v>
      </x:c>
      <x:c r="H562" s="207" t="str">
        <x:v>Высокий</x:v>
      </x:c>
      <x:c r="I562" s="207" t="str">
        <x:v>Загрузка; производительность; фактическая cost</x:v>
      </x:c>
      <x:c r="J562" s="207" t="str">
        <x:v>Планирование O18</x:v>
      </x:c>
      <x:c r="K562" s="207" t="str"/>
      <x:c r="L562" s="207" t="str"/>
      <x:c r="M562" s="207" t="str">
        <x:v>Не рассмотрено</x:v>
      </x:c>
      <x:c r="N562" s="207" t="str"/>
      <x:c r="O562" s="207" t="str">
        <x:v>17</x:v>
      </x:c>
      <x:c r="P562" s="207" t="n">
        <x:v>3</x:v>
      </x:c>
      <x:c r="Q562" s="208" t="str">
        <x:v>Wave 2 (31–60 дней)</x:v>
      </x:c>
    </x:row>
    <x:row r="563">
      <x:c r="A563" s="206" t="str">
        <x:v>DEC-00559</x:v>
      </x:c>
      <x:c r="B563" s="207" t="str">
        <x:v>Operation</x:v>
      </x:c>
      <x:c r="C563" s="207" t="str">
        <x:v>OP-DRAFT-00131</x:v>
      </x:c>
      <x:c r="D563" s="207" t="str">
        <x:v>production_order_id; operation_type_id; planned_hours; actual_hours; output_qty; defect_qty; completion_status</x:v>
      </x:c>
      <x:c r="E563" s="207" t="str">
        <x:v>48-10</x:v>
      </x:c>
      <x:c r="F563" s="207" t="str">
        <x:v>Назначить production_order_id, operation_type, дату и факт часов</x:v>
      </x:c>
      <x:c r="G563" s="207" t="str">
        <x:v>Производство</x:v>
      </x:c>
      <x:c r="H563" s="207" t="str">
        <x:v>Высокий</x:v>
      </x:c>
      <x:c r="I563" s="207" t="str">
        <x:v>Загрузка; производительность; фактическая cost</x:v>
      </x:c>
      <x:c r="J563" s="207" t="str">
        <x:v>Планирование V18</x:v>
      </x:c>
      <x:c r="K563" s="207" t="str"/>
      <x:c r="L563" s="207" t="str"/>
      <x:c r="M563" s="207" t="str">
        <x:v>Не рассмотрено</x:v>
      </x:c>
      <x:c r="N563" s="207" t="str"/>
      <x:c r="O563" s="207" t="str">
        <x:v>17</x:v>
      </x:c>
      <x:c r="P563" s="207" t="n">
        <x:v>3</x:v>
      </x:c>
      <x:c r="Q563" s="208" t="str">
        <x:v>Wave 2 (31–60 дней)</x:v>
      </x:c>
    </x:row>
    <x:row r="564">
      <x:c r="A564" s="206" t="str">
        <x:v>DEC-00560</x:v>
      </x:c>
      <x:c r="B564" s="207" t="str">
        <x:v>Operation</x:v>
      </x:c>
      <x:c r="C564" s="207" t="str">
        <x:v>OP-DRAFT-00132</x:v>
      </x:c>
      <x:c r="D564" s="207" t="str">
        <x:v>production_order_id; operation_type_id; planned_hours; actual_hours; output_qty; defect_qty; completion_status</x:v>
      </x:c>
      <x:c r="E564" s="207" t="str">
        <x:v>48-28</x:v>
      </x:c>
      <x:c r="F564" s="207" t="str">
        <x:v>Назначить production_order_id, operation_type, дату и факт часов</x:v>
      </x:c>
      <x:c r="G564" s="207" t="str">
        <x:v>Производство</x:v>
      </x:c>
      <x:c r="H564" s="207" t="str">
        <x:v>Высокий</x:v>
      </x:c>
      <x:c r="I564" s="207" t="str">
        <x:v>Загрузка; производительность; фактическая cost</x:v>
      </x:c>
      <x:c r="J564" s="207" t="str">
        <x:v>Планирование AC18</x:v>
      </x:c>
      <x:c r="K564" s="207" t="str"/>
      <x:c r="L564" s="207" t="str"/>
      <x:c r="M564" s="207" t="str">
        <x:v>Не рассмотрено</x:v>
      </x:c>
      <x:c r="N564" s="207" t="str"/>
      <x:c r="O564" s="207" t="str">
        <x:v>17</x:v>
      </x:c>
      <x:c r="P564" s="207" t="n">
        <x:v>3</x:v>
      </x:c>
      <x:c r="Q564" s="208" t="str">
        <x:v>Wave 2 (31–60 дней)</x:v>
      </x:c>
    </x:row>
    <x:row r="565">
      <x:c r="A565" s="206" t="str">
        <x:v>DEC-00561</x:v>
      </x:c>
      <x:c r="B565" s="207" t="str">
        <x:v>Operation</x:v>
      </x:c>
      <x:c r="C565" s="207" t="str">
        <x:v>OP-DRAFT-00133</x:v>
      </x:c>
      <x:c r="D565" s="207" t="str">
        <x:v>production_order_id; operation_type_id; planned_hours; actual_hours; output_qty; defect_qty; completion_status</x:v>
      </x:c>
      <x:c r="E565" s="207" t="str">
        <x:v>48-28</x:v>
      </x:c>
      <x:c r="F565" s="207" t="str">
        <x:v>Назначить production_order_id, operation_type, дату и факт часов</x:v>
      </x:c>
      <x:c r="G565" s="207" t="str">
        <x:v>Производство</x:v>
      </x:c>
      <x:c r="H565" s="207" t="str">
        <x:v>Высокий</x:v>
      </x:c>
      <x:c r="I565" s="207" t="str">
        <x:v>Загрузка; производительность; фактическая cost</x:v>
      </x:c>
      <x:c r="J565" s="207" t="str">
        <x:v>Планирование AD18</x:v>
      </x:c>
      <x:c r="K565" s="207" t="str"/>
      <x:c r="L565" s="207" t="str"/>
      <x:c r="M565" s="207" t="str">
        <x:v>Не рассмотрено</x:v>
      </x:c>
      <x:c r="N565" s="207" t="str"/>
      <x:c r="O565" s="207" t="str">
        <x:v>17</x:v>
      </x:c>
      <x:c r="P565" s="207" t="n">
        <x:v>3</x:v>
      </x:c>
      <x:c r="Q565" s="208" t="str">
        <x:v>Wave 2 (31–60 дней)</x:v>
      </x:c>
    </x:row>
    <x:row r="566">
      <x:c r="A566" s="206" t="str">
        <x:v>DEC-00562</x:v>
      </x:c>
      <x:c r="B566" s="207" t="str">
        <x:v>Operation</x:v>
      </x:c>
      <x:c r="C566" s="207" t="str">
        <x:v>OP-DRAFT-00134</x:v>
      </x:c>
      <x:c r="D566" s="207" t="str">
        <x:v>production_order_id; operation_type_id; planned_hours; actual_hours; output_qty; defect_qty; completion_status</x:v>
      </x:c>
      <x:c r="E566" s="207" t="str">
        <x:v>48-08</x:v>
      </x:c>
      <x:c r="F566" s="207" t="str">
        <x:v>Назначить production_order_id, operation_type, дату и факт часов</x:v>
      </x:c>
      <x:c r="G566" s="207" t="str">
        <x:v>Производство</x:v>
      </x:c>
      <x:c r="H566" s="207" t="str">
        <x:v>Высокий</x:v>
      </x:c>
      <x:c r="I566" s="207" t="str">
        <x:v>Загрузка; производительность; фактическая cost</x:v>
      </x:c>
      <x:c r="J566" s="207" t="str">
        <x:v>Планирование AE18</x:v>
      </x:c>
      <x:c r="K566" s="207" t="str"/>
      <x:c r="L566" s="207" t="str"/>
      <x:c r="M566" s="207" t="str">
        <x:v>Не рассмотрено</x:v>
      </x:c>
      <x:c r="N566" s="207" t="str"/>
      <x:c r="O566" s="207" t="str">
        <x:v>17</x:v>
      </x:c>
      <x:c r="P566" s="207" t="n">
        <x:v>3</x:v>
      </x:c>
      <x:c r="Q566" s="208" t="str">
        <x:v>Wave 2 (31–60 дней)</x:v>
      </x:c>
    </x:row>
    <x:row r="567">
      <x:c r="A567" s="206" t="str">
        <x:v>DEC-00563</x:v>
      </x:c>
      <x:c r="B567" s="207" t="str">
        <x:v>Operation</x:v>
      </x:c>
      <x:c r="C567" s="207" t="str">
        <x:v>OP-DRAFT-00135</x:v>
      </x:c>
      <x:c r="D567" s="207" t="str">
        <x:v>production_order_id; operation_type_id; planned_hours; actual_hours; output_qty; defect_qty; completion_status</x:v>
      </x:c>
      <x:c r="E567" s="207" t="str">
        <x:v>48-08</x:v>
      </x:c>
      <x:c r="F567" s="207" t="str">
        <x:v>Назначить production_order_id, operation_type, дату и факт часов</x:v>
      </x:c>
      <x:c r="G567" s="207" t="str">
        <x:v>Производство</x:v>
      </x:c>
      <x:c r="H567" s="207" t="str">
        <x:v>Высокий</x:v>
      </x:c>
      <x:c r="I567" s="207" t="str">
        <x:v>Загрузка; производительность; фактическая cost</x:v>
      </x:c>
      <x:c r="J567" s="207" t="str">
        <x:v>Планирование AF18</x:v>
      </x:c>
      <x:c r="K567" s="207" t="str"/>
      <x:c r="L567" s="207" t="str"/>
      <x:c r="M567" s="207" t="str">
        <x:v>Не рассмотрено</x:v>
      </x:c>
      <x:c r="N567" s="207" t="str"/>
      <x:c r="O567" s="207" t="str">
        <x:v>17</x:v>
      </x:c>
      <x:c r="P567" s="207" t="n">
        <x:v>3</x:v>
      </x:c>
      <x:c r="Q567" s="208" t="str">
        <x:v>Wave 2 (31–60 дней)</x:v>
      </x:c>
    </x:row>
    <x:row r="568">
      <x:c r="A568" s="206" t="str">
        <x:v>DEC-00564</x:v>
      </x:c>
      <x:c r="B568" s="207" t="str">
        <x:v>Operation</x:v>
      </x:c>
      <x:c r="C568" s="207" t="str">
        <x:v>OP-DRAFT-00136</x:v>
      </x:c>
      <x:c r="D568" s="207" t="str">
        <x:v>production_order_id; operation_type_id; planned_hours; actual_hours; output_qty; defect_qty; completion_status</x:v>
      </x:c>
      <x:c r="E568" s="207" t="str">
        <x:v>48-17 гладь/48-29</x:v>
      </x:c>
      <x:c r="F568" s="207" t="str">
        <x:v>Назначить production_order_id, operation_type, дату и факт часов</x:v>
      </x:c>
      <x:c r="G568" s="207" t="str">
        <x:v>Производство</x:v>
      </x:c>
      <x:c r="H568" s="207" t="str">
        <x:v>Высокий</x:v>
      </x:c>
      <x:c r="I568" s="207" t="str">
        <x:v>Загрузка; производительность; фактическая cost</x:v>
      </x:c>
      <x:c r="J568" s="207" t="str">
        <x:v>Планирование AG18</x:v>
      </x:c>
      <x:c r="K568" s="207" t="str"/>
      <x:c r="L568" s="207" t="str"/>
      <x:c r="M568" s="207" t="str">
        <x:v>Не рассмотрено</x:v>
      </x:c>
      <x:c r="N568" s="207" t="str"/>
      <x:c r="O568" s="207" t="str">
        <x:v>17</x:v>
      </x:c>
      <x:c r="P568" s="207" t="n">
        <x:v>3</x:v>
      </x:c>
      <x:c r="Q568" s="208" t="str">
        <x:v>Wave 2 (31–60 дней)</x:v>
      </x:c>
    </x:row>
    <x:row r="569">
      <x:c r="A569" s="206" t="str">
        <x:v>DEC-00565</x:v>
      </x:c>
      <x:c r="B569" s="207" t="str">
        <x:v>Operation</x:v>
      </x:c>
      <x:c r="C569" s="207" t="str">
        <x:v>OP-DRAFT-00137</x:v>
      </x:c>
      <x:c r="D569" s="207" t="str">
        <x:v>production_order_id; operation_type_id; planned_hours; actual_hours; output_qty; defect_qty; completion_status</x:v>
      </x:c>
      <x:c r="E569" s="207" t="str">
        <x:v>47-30 Марианна</x:v>
      </x:c>
      <x:c r="F569" s="207" t="str">
        <x:v>Назначить production_order_id, operation_type, дату и факт часов</x:v>
      </x:c>
      <x:c r="G569" s="207" t="str">
        <x:v>Производство</x:v>
      </x:c>
      <x:c r="H569" s="207" t="str">
        <x:v>Высокий</x:v>
      </x:c>
      <x:c r="I569" s="207" t="str">
        <x:v>Загрузка; производительность; фактическая cost</x:v>
      </x:c>
      <x:c r="J569" s="207" t="str">
        <x:v>Планирование BE18</x:v>
      </x:c>
      <x:c r="K569" s="207" t="str"/>
      <x:c r="L569" s="207" t="str"/>
      <x:c r="M569" s="207" t="str">
        <x:v>Не рассмотрено</x:v>
      </x:c>
      <x:c r="N569" s="207" t="str"/>
      <x:c r="O569" s="207" t="str">
        <x:v>17</x:v>
      </x:c>
      <x:c r="P569" s="207" t="n">
        <x:v>3</x:v>
      </x:c>
      <x:c r="Q569" s="208" t="str">
        <x:v>Wave 2 (31–60 дней)</x:v>
      </x:c>
    </x:row>
    <x:row r="570">
      <x:c r="A570" s="206" t="str">
        <x:v>DEC-00566</x:v>
      </x:c>
      <x:c r="B570" s="207" t="str">
        <x:v>Operation</x:v>
      </x:c>
      <x:c r="C570" s="207" t="str">
        <x:v>OP-DRAFT-00138</x:v>
      </x:c>
      <x:c r="D570" s="207" t="str">
        <x:v>production_order_id; operation_type_id; planned_hours; actual_hours; output_qty; defect_qty; completion_status</x:v>
      </x:c>
      <x:c r="E570" s="207" t="str">
        <x:v>47-30 Марианна</x:v>
      </x:c>
      <x:c r="F570" s="207" t="str">
        <x:v>Назначить production_order_id, operation_type, дату и факт часов</x:v>
      </x:c>
      <x:c r="G570" s="207" t="str">
        <x:v>Производство</x:v>
      </x:c>
      <x:c r="H570" s="207" t="str">
        <x:v>Высокий</x:v>
      </x:c>
      <x:c r="I570" s="207" t="str">
        <x:v>Загрузка; производительность; фактическая cost</x:v>
      </x:c>
      <x:c r="J570" s="207" t="str">
        <x:v>Планирование BF18</x:v>
      </x:c>
      <x:c r="K570" s="207" t="str"/>
      <x:c r="L570" s="207" t="str"/>
      <x:c r="M570" s="207" t="str">
        <x:v>Не рассмотрено</x:v>
      </x:c>
      <x:c r="N570" s="207" t="str"/>
      <x:c r="O570" s="207" t="str">
        <x:v>17</x:v>
      </x:c>
      <x:c r="P570" s="207" t="n">
        <x:v>3</x:v>
      </x:c>
      <x:c r="Q570" s="208" t="str">
        <x:v>Wave 2 (31–60 дней)</x:v>
      </x:c>
    </x:row>
    <x:row r="571">
      <x:c r="A571" s="206" t="str">
        <x:v>DEC-00567</x:v>
      </x:c>
      <x:c r="B571" s="207" t="str">
        <x:v>Operation</x:v>
      </x:c>
      <x:c r="C571" s="207" t="str">
        <x:v>OP-DRAFT-00139</x:v>
      </x:c>
      <x:c r="D571" s="207" t="str">
        <x:v>production_order_id; operation_type_id; planned_hours; actual_hours; output_qty; defect_qty; completion_status</x:v>
      </x:c>
      <x:c r="E571" s="207" t="str">
        <x:v>47-30 Марианна</x:v>
      </x:c>
      <x:c r="F571" s="207" t="str">
        <x:v>Назначить production_order_id, operation_type, дату и факт часов</x:v>
      </x:c>
      <x:c r="G571" s="207" t="str">
        <x:v>Производство</x:v>
      </x:c>
      <x:c r="H571" s="207" t="str">
        <x:v>Высокий</x:v>
      </x:c>
      <x:c r="I571" s="207" t="str">
        <x:v>Загрузка; производительность; фактическая cost</x:v>
      </x:c>
      <x:c r="J571" s="207" t="str">
        <x:v>Планирование BG18</x:v>
      </x:c>
      <x:c r="K571" s="207" t="str"/>
      <x:c r="L571" s="207" t="str"/>
      <x:c r="M571" s="207" t="str">
        <x:v>Не рассмотрено</x:v>
      </x:c>
      <x:c r="N571" s="207" t="str"/>
      <x:c r="O571" s="207" t="str">
        <x:v>17</x:v>
      </x:c>
      <x:c r="P571" s="207" t="n">
        <x:v>3</x:v>
      </x:c>
      <x:c r="Q571" s="208" t="str">
        <x:v>Wave 2 (31–60 дней)</x:v>
      </x:c>
    </x:row>
    <x:row r="572">
      <x:c r="A572" s="206" t="str">
        <x:v>DEC-00568</x:v>
      </x:c>
      <x:c r="B572" s="207" t="str">
        <x:v>Operation</x:v>
      </x:c>
      <x:c r="C572" s="207" t="str">
        <x:v>OP-DRAFT-00140</x:v>
      </x:c>
      <x:c r="D572" s="207" t="str">
        <x:v>production_order_id; operation_type_id; planned_hours; actual_hours; output_qty; defect_qty; completion_status</x:v>
      </x:c>
      <x:c r="E572" s="207" t="str">
        <x:v>47-30 Марианна</x:v>
      </x:c>
      <x:c r="F572" s="207" t="str">
        <x:v>Назначить production_order_id, operation_type, дату и факт часов</x:v>
      </x:c>
      <x:c r="G572" s="207" t="str">
        <x:v>Производство</x:v>
      </x:c>
      <x:c r="H572" s="207" t="str">
        <x:v>Высокий</x:v>
      </x:c>
      <x:c r="I572" s="207" t="str">
        <x:v>Загрузка; производительность; фактическая cost</x:v>
      </x:c>
      <x:c r="J572" s="207" t="str">
        <x:v>Планирование BH18</x:v>
      </x:c>
      <x:c r="K572" s="207" t="str"/>
      <x:c r="L572" s="207" t="str"/>
      <x:c r="M572" s="207" t="str">
        <x:v>Не рассмотрено</x:v>
      </x:c>
      <x:c r="N572" s="207" t="str"/>
      <x:c r="O572" s="207" t="str">
        <x:v>17</x:v>
      </x:c>
      <x:c r="P572" s="207" t="n">
        <x:v>3</x:v>
      </x:c>
      <x:c r="Q572" s="208" t="str">
        <x:v>Wave 2 (31–60 дней)</x:v>
      </x:c>
    </x:row>
    <x:row r="573">
      <x:c r="A573" s="206" t="str">
        <x:v>DEC-00569</x:v>
      </x:c>
      <x:c r="B573" s="207" t="str">
        <x:v>Operation</x:v>
      </x:c>
      <x:c r="C573" s="207" t="str">
        <x:v>OP-DRAFT-00141</x:v>
      </x:c>
      <x:c r="D573" s="207" t="str">
        <x:v>production_order_id; operation_type_id; planned_hours; actual_hours; output_qty; defect_qty; completion_status</x:v>
      </x:c>
      <x:c r="E573" s="207" t="str">
        <x:v>47-30 Марианна</x:v>
      </x:c>
      <x:c r="F573" s="207" t="str">
        <x:v>Назначить production_order_id, operation_type, дату и факт часов</x:v>
      </x:c>
      <x:c r="G573" s="207" t="str">
        <x:v>Производство</x:v>
      </x:c>
      <x:c r="H573" s="207" t="str">
        <x:v>Высокий</x:v>
      </x:c>
      <x:c r="I573" s="207" t="str">
        <x:v>Загрузка; производительность; фактическая cost</x:v>
      </x:c>
      <x:c r="J573" s="207" t="str">
        <x:v>Планирование BI18</x:v>
      </x:c>
      <x:c r="K573" s="207" t="str"/>
      <x:c r="L573" s="207" t="str"/>
      <x:c r="M573" s="207" t="str">
        <x:v>Не рассмотрено</x:v>
      </x:c>
      <x:c r="N573" s="207" t="str"/>
      <x:c r="O573" s="207" t="str">
        <x:v>17</x:v>
      </x:c>
      <x:c r="P573" s="207" t="n">
        <x:v>3</x:v>
      </x:c>
      <x:c r="Q573" s="208" t="str">
        <x:v>Wave 2 (31–60 дней)</x:v>
      </x:c>
    </x:row>
    <x:row r="574">
      <x:c r="A574" s="206" t="str">
        <x:v>DEC-00570</x:v>
      </x:c>
      <x:c r="B574" s="207" t="str">
        <x:v>Operation</x:v>
      </x:c>
      <x:c r="C574" s="207" t="str">
        <x:v>OP-DRAFT-00142</x:v>
      </x:c>
      <x:c r="D574" s="207" t="str">
        <x:v>production_order_id; operation_type_id; planned_hours; actual_hours; output_qty; defect_qty; completion_status</x:v>
      </x:c>
      <x:c r="E574" s="207" t="str">
        <x:v>47-30 Марианна</x:v>
      </x:c>
      <x:c r="F574" s="207" t="str">
        <x:v>Назначить production_order_id, operation_type, дату и факт часов</x:v>
      </x:c>
      <x:c r="G574" s="207" t="str">
        <x:v>Производство</x:v>
      </x:c>
      <x:c r="H574" s="207" t="str">
        <x:v>Высокий</x:v>
      </x:c>
      <x:c r="I574" s="207" t="str">
        <x:v>Загрузка; производительность; фактическая cost</x:v>
      </x:c>
      <x:c r="J574" s="207" t="str">
        <x:v>Планирование BL18</x:v>
      </x:c>
      <x:c r="K574" s="207" t="str"/>
      <x:c r="L574" s="207" t="str"/>
      <x:c r="M574" s="207" t="str">
        <x:v>Не рассмотрено</x:v>
      </x:c>
      <x:c r="N574" s="207" t="str"/>
      <x:c r="O574" s="207" t="str">
        <x:v>17</x:v>
      </x:c>
      <x:c r="P574" s="207" t="n">
        <x:v>3</x:v>
      </x:c>
      <x:c r="Q574" s="208" t="str">
        <x:v>Wave 2 (31–60 дней)</x:v>
      </x:c>
    </x:row>
    <x:row r="575">
      <x:c r="A575" s="206" t="str">
        <x:v>DEC-00571</x:v>
      </x:c>
      <x:c r="B575" s="207" t="str">
        <x:v>Operation</x:v>
      </x:c>
      <x:c r="C575" s="207" t="str">
        <x:v>OP-DRAFT-00143</x:v>
      </x:c>
      <x:c r="D575" s="207" t="str">
        <x:v>production_order_id; operation_type_id; planned_hours; actual_hours; output_qty; defect_qty; completion_status</x:v>
      </x:c>
      <x:c r="E575" s="207" t="str">
        <x:v>47-30 Марианна</x:v>
      </x:c>
      <x:c r="F575" s="207" t="str">
        <x:v>Назначить production_order_id, operation_type, дату и факт часов</x:v>
      </x:c>
      <x:c r="G575" s="207" t="str">
        <x:v>Производство</x:v>
      </x:c>
      <x:c r="H575" s="207" t="str">
        <x:v>Высокий</x:v>
      </x:c>
      <x:c r="I575" s="207" t="str">
        <x:v>Загрузка; производительность; фактическая cost</x:v>
      </x:c>
      <x:c r="J575" s="207" t="str">
        <x:v>Планирование BM18</x:v>
      </x:c>
      <x:c r="K575" s="207" t="str"/>
      <x:c r="L575" s="207" t="str"/>
      <x:c r="M575" s="207" t="str">
        <x:v>Не рассмотрено</x:v>
      </x:c>
      <x:c r="N575" s="207" t="str"/>
      <x:c r="O575" s="207" t="str">
        <x:v>17</x:v>
      </x:c>
      <x:c r="P575" s="207" t="n">
        <x:v>3</x:v>
      </x:c>
      <x:c r="Q575" s="208" t="str">
        <x:v>Wave 2 (31–60 дней)</x:v>
      </x:c>
    </x:row>
    <x:row r="576">
      <x:c r="A576" s="206" t="str">
        <x:v>DEC-00572</x:v>
      </x:c>
      <x:c r="B576" s="207" t="str">
        <x:v>Operation</x:v>
      </x:c>
      <x:c r="C576" s="207" t="str">
        <x:v>OP-DRAFT-00144</x:v>
      </x:c>
      <x:c r="D576" s="207" t="str">
        <x:v>production_order_id; operation_type_id; planned_hours; actual_hours; output_qty; defect_qty; completion_status</x:v>
      </x:c>
      <x:c r="E576" s="207" t="str">
        <x:v>47-30 Марианна</x:v>
      </x:c>
      <x:c r="F576" s="207" t="str">
        <x:v>Назначить production_order_id, operation_type, дату и факт часов</x:v>
      </x:c>
      <x:c r="G576" s="207" t="str">
        <x:v>Производство</x:v>
      </x:c>
      <x:c r="H576" s="207" t="str">
        <x:v>Высокий</x:v>
      </x:c>
      <x:c r="I576" s="207" t="str">
        <x:v>Загрузка; производительность; фактическая cost</x:v>
      </x:c>
      <x:c r="J576" s="207" t="str">
        <x:v>Планирование BN18</x:v>
      </x:c>
      <x:c r="K576" s="207" t="str"/>
      <x:c r="L576" s="207" t="str"/>
      <x:c r="M576" s="207" t="str">
        <x:v>Не рассмотрено</x:v>
      </x:c>
      <x:c r="N576" s="207" t="str"/>
      <x:c r="O576" s="207" t="str">
        <x:v>17</x:v>
      </x:c>
      <x:c r="P576" s="207" t="n">
        <x:v>3</x:v>
      </x:c>
      <x:c r="Q576" s="208" t="str">
        <x:v>Wave 2 (31–60 дней)</x:v>
      </x:c>
    </x:row>
    <x:row r="577">
      <x:c r="A577" s="206" t="str">
        <x:v>DEC-00573</x:v>
      </x:c>
      <x:c r="B577" s="207" t="str">
        <x:v>Operation</x:v>
      </x:c>
      <x:c r="C577" s="207" t="str">
        <x:v>OP-DRAFT-00145</x:v>
      </x:c>
      <x:c r="D577" s="207" t="str">
        <x:v>production_order_id; operation_type_id; planned_hours; actual_hours; output_qty; defect_qty; completion_status</x:v>
      </x:c>
      <x:c r="E577" s="207" t="str">
        <x:v>47-30 Марианна</x:v>
      </x:c>
      <x:c r="F577" s="207" t="str">
        <x:v>Назначить production_order_id, operation_type, дату и факт часов</x:v>
      </x:c>
      <x:c r="G577" s="207" t="str">
        <x:v>Производство</x:v>
      </x:c>
      <x:c r="H577" s="207" t="str">
        <x:v>Высокий</x:v>
      </x:c>
      <x:c r="I577" s="207" t="str">
        <x:v>Загрузка; производительность; фактическая cost</x:v>
      </x:c>
      <x:c r="J577" s="207" t="str">
        <x:v>Планирование BO18</x:v>
      </x:c>
      <x:c r="K577" s="207" t="str"/>
      <x:c r="L577" s="207" t="str"/>
      <x:c r="M577" s="207" t="str">
        <x:v>Не рассмотрено</x:v>
      </x:c>
      <x:c r="N577" s="207" t="str"/>
      <x:c r="O577" s="207" t="str">
        <x:v>17</x:v>
      </x:c>
      <x:c r="P577" s="207" t="n">
        <x:v>3</x:v>
      </x:c>
      <x:c r="Q577" s="208" t="str">
        <x:v>Wave 2 (31–60 дней)</x:v>
      </x:c>
    </x:row>
    <x:row r="578">
      <x:c r="A578" s="206" t="str">
        <x:v>DEC-00574</x:v>
      </x:c>
      <x:c r="B578" s="207" t="str">
        <x:v>Operation</x:v>
      </x:c>
      <x:c r="C578" s="207" t="str">
        <x:v>OP-DRAFT-00146</x:v>
      </x:c>
      <x:c r="D578" s="207" t="str">
        <x:v>production_order_id; operation_type_id; planned_hours; actual_hours; output_qty; defect_qty; completion_status</x:v>
      </x:c>
      <x:c r="E578" s="207" t="str">
        <x:v>47-30 Марианна</x:v>
      </x:c>
      <x:c r="F578" s="207" t="str">
        <x:v>Назначить production_order_id, operation_type, дату и факт часов</x:v>
      </x:c>
      <x:c r="G578" s="207" t="str">
        <x:v>Производство</x:v>
      </x:c>
      <x:c r="H578" s="207" t="str">
        <x:v>Высокий</x:v>
      </x:c>
      <x:c r="I578" s="207" t="str">
        <x:v>Загрузка; производительность; фактическая cost</x:v>
      </x:c>
      <x:c r="J578" s="207" t="str">
        <x:v>Планирование BP18</x:v>
      </x:c>
      <x:c r="K578" s="207" t="str"/>
      <x:c r="L578" s="207" t="str"/>
      <x:c r="M578" s="207" t="str">
        <x:v>Не рассмотрено</x:v>
      </x:c>
      <x:c r="N578" s="207" t="str"/>
      <x:c r="O578" s="207" t="str">
        <x:v>17</x:v>
      </x:c>
      <x:c r="P578" s="207" t="n">
        <x:v>3</x:v>
      </x:c>
      <x:c r="Q578" s="208" t="str">
        <x:v>Wave 2 (31–60 дней)</x:v>
      </x:c>
    </x:row>
    <x:row r="579">
      <x:c r="A579" s="206" t="str">
        <x:v>DEC-00575</x:v>
      </x:c>
      <x:c r="B579" s="207" t="str">
        <x:v>Operation</x:v>
      </x:c>
      <x:c r="C579" s="207" t="str">
        <x:v>OP-DRAFT-00147</x:v>
      </x:c>
      <x:c r="D579" s="207" t="str">
        <x:v>production_order_id; operation_type_id; planned_hours; actual_hours; output_qty; defect_qty; completion_status</x:v>
      </x:c>
      <x:c r="E579" s="207" t="str">
        <x:v>47-30 Марианна</x:v>
      </x:c>
      <x:c r="F579" s="207" t="str">
        <x:v>Назначить production_order_id, operation_type, дату и факт часов</x:v>
      </x:c>
      <x:c r="G579" s="207" t="str">
        <x:v>Производство</x:v>
      </x:c>
      <x:c r="H579" s="207" t="str">
        <x:v>Высокий</x:v>
      </x:c>
      <x:c r="I579" s="207" t="str">
        <x:v>Загрузка; производительность; фактическая cost</x:v>
      </x:c>
      <x:c r="J579" s="207" t="str">
        <x:v>Планирование BS18</x:v>
      </x:c>
      <x:c r="K579" s="207" t="str"/>
      <x:c r="L579" s="207" t="str"/>
      <x:c r="M579" s="207" t="str">
        <x:v>Не рассмотрено</x:v>
      </x:c>
      <x:c r="N579" s="207" t="str"/>
      <x:c r="O579" s="207" t="str">
        <x:v>17</x:v>
      </x:c>
      <x:c r="P579" s="207" t="n">
        <x:v>3</x:v>
      </x:c>
      <x:c r="Q579" s="208" t="str">
        <x:v>Wave 2 (31–60 дней)</x:v>
      </x:c>
    </x:row>
    <x:row r="580">
      <x:c r="A580" s="206" t="str">
        <x:v>DEC-00576</x:v>
      </x:c>
      <x:c r="B580" s="207" t="str">
        <x:v>Operation</x:v>
      </x:c>
      <x:c r="C580" s="207" t="str">
        <x:v>OP-DRAFT-00148</x:v>
      </x:c>
      <x:c r="D580" s="207" t="str">
        <x:v>production_order_id; operation_type_id; planned_hours; actual_hours; output_qty; defect_qty; completion_status</x:v>
      </x:c>
      <x:c r="E580" s="207" t="str">
        <x:v>47-30 Марианна</x:v>
      </x:c>
      <x:c r="F580" s="207" t="str">
        <x:v>Назначить production_order_id, operation_type, дату и факт часов</x:v>
      </x:c>
      <x:c r="G580" s="207" t="str">
        <x:v>Производство</x:v>
      </x:c>
      <x:c r="H580" s="207" t="str">
        <x:v>Высокий</x:v>
      </x:c>
      <x:c r="I580" s="207" t="str">
        <x:v>Загрузка; производительность; фактическая cost</x:v>
      </x:c>
      <x:c r="J580" s="207" t="str">
        <x:v>Планирование BT18</x:v>
      </x:c>
      <x:c r="K580" s="207" t="str"/>
      <x:c r="L580" s="207" t="str"/>
      <x:c r="M580" s="207" t="str">
        <x:v>Не рассмотрено</x:v>
      </x:c>
      <x:c r="N580" s="207" t="str"/>
      <x:c r="O580" s="207" t="str">
        <x:v>17</x:v>
      </x:c>
      <x:c r="P580" s="207" t="n">
        <x:v>3</x:v>
      </x:c>
      <x:c r="Q580" s="208" t="str">
        <x:v>Wave 2 (31–60 дней)</x:v>
      </x:c>
    </x:row>
    <x:row r="581">
      <x:c r="A581" s="206" t="str">
        <x:v>DEC-00577</x:v>
      </x:c>
      <x:c r="B581" s="207" t="str">
        <x:v>Operation</x:v>
      </x:c>
      <x:c r="C581" s="207" t="str">
        <x:v>OP-DRAFT-00149</x:v>
      </x:c>
      <x:c r="D581" s="207" t="str">
        <x:v>production_order_id; operation_type_id; planned_hours; actual_hours; output_qty; defect_qty; completion_status</x:v>
      </x:c>
      <x:c r="E581" s="207" t="str">
        <x:v>47-30 Марианна</x:v>
      </x:c>
      <x:c r="F581" s="207" t="str">
        <x:v>Назначить production_order_id, operation_type, дату и факт часов</x:v>
      </x:c>
      <x:c r="G581" s="207" t="str">
        <x:v>Производство</x:v>
      </x:c>
      <x:c r="H581" s="207" t="str">
        <x:v>Высокий</x:v>
      </x:c>
      <x:c r="I581" s="207" t="str">
        <x:v>Загрузка; производительность; фактическая cost</x:v>
      </x:c>
      <x:c r="J581" s="207" t="str">
        <x:v>Планирование BU18</x:v>
      </x:c>
      <x:c r="K581" s="207" t="str"/>
      <x:c r="L581" s="207" t="str"/>
      <x:c r="M581" s="207" t="str">
        <x:v>Не рассмотрено</x:v>
      </x:c>
      <x:c r="N581" s="207" t="str"/>
      <x:c r="O581" s="207" t="str">
        <x:v>17</x:v>
      </x:c>
      <x:c r="P581" s="207" t="n">
        <x:v>3</x:v>
      </x:c>
      <x:c r="Q581" s="208" t="str">
        <x:v>Wave 2 (31–60 дней)</x:v>
      </x:c>
    </x:row>
    <x:row r="582">
      <x:c r="A582" s="206" t="str">
        <x:v>DEC-00578</x:v>
      </x:c>
      <x:c r="B582" s="207" t="str">
        <x:v>Operation</x:v>
      </x:c>
      <x:c r="C582" s="207" t="str">
        <x:v>OP-DRAFT-00150</x:v>
      </x:c>
      <x:c r="D582" s="207" t="str">
        <x:v>production_order_id; operation_type_id; planned_hours; actual_hours; output_qty; defect_qty; completion_status</x:v>
      </x:c>
      <x:c r="E582" s="207" t="str">
        <x:v>47-30 Марианна</x:v>
      </x:c>
      <x:c r="F582" s="207" t="str">
        <x:v>Назначить production_order_id, operation_type, дату и факт часов</x:v>
      </x:c>
      <x:c r="G582" s="207" t="str">
        <x:v>Производство</x:v>
      </x:c>
      <x:c r="H582" s="207" t="str">
        <x:v>Высокий</x:v>
      </x:c>
      <x:c r="I582" s="207" t="str">
        <x:v>Загрузка; производительность; фактическая cost</x:v>
      </x:c>
      <x:c r="J582" s="207" t="str">
        <x:v>Планирование BV18</x:v>
      </x:c>
      <x:c r="K582" s="207" t="str"/>
      <x:c r="L582" s="207" t="str"/>
      <x:c r="M582" s="207" t="str">
        <x:v>Не рассмотрено</x:v>
      </x:c>
      <x:c r="N582" s="207" t="str"/>
      <x:c r="O582" s="207" t="str">
        <x:v>17</x:v>
      </x:c>
      <x:c r="P582" s="207" t="n">
        <x:v>3</x:v>
      </x:c>
      <x:c r="Q582" s="208" t="str">
        <x:v>Wave 2 (31–60 дней)</x:v>
      </x:c>
    </x:row>
    <x:row r="583">
      <x:c r="A583" s="206" t="str">
        <x:v>DEC-00579</x:v>
      </x:c>
      <x:c r="B583" s="207" t="str">
        <x:v>Operation</x:v>
      </x:c>
      <x:c r="C583" s="207" t="str">
        <x:v>OP-DRAFT-00151</x:v>
      </x:c>
      <x:c r="D583" s="207" t="str">
        <x:v>production_order_id; operation_type_id; planned_hours; actual_hours; output_qty; defect_qty; completion_status</x:v>
      </x:c>
      <x:c r="E583" s="207" t="str">
        <x:v>47-30 Марианна</x:v>
      </x:c>
      <x:c r="F583" s="207" t="str">
        <x:v>Назначить production_order_id, operation_type, дату и факт часов</x:v>
      </x:c>
      <x:c r="G583" s="207" t="str">
        <x:v>Производство</x:v>
      </x:c>
      <x:c r="H583" s="207" t="str">
        <x:v>Высокий</x:v>
      </x:c>
      <x:c r="I583" s="207" t="str">
        <x:v>Загрузка; производительность; фактическая cost</x:v>
      </x:c>
      <x:c r="J583" s="207" t="str">
        <x:v>Планирование BW18</x:v>
      </x:c>
      <x:c r="K583" s="207" t="str"/>
      <x:c r="L583" s="207" t="str"/>
      <x:c r="M583" s="207" t="str">
        <x:v>Не рассмотрено</x:v>
      </x:c>
      <x:c r="N583" s="207" t="str"/>
      <x:c r="O583" s="207" t="str">
        <x:v>17</x:v>
      </x:c>
      <x:c r="P583" s="207" t="n">
        <x:v>3</x:v>
      </x:c>
      <x:c r="Q583" s="208" t="str">
        <x:v>Wave 2 (31–60 дней)</x:v>
      </x:c>
    </x:row>
    <x:row r="584">
      <x:c r="A584" s="206" t="str">
        <x:v>DEC-00580</x:v>
      </x:c>
      <x:c r="B584" s="207" t="str">
        <x:v>Operation</x:v>
      </x:c>
      <x:c r="C584" s="207" t="str">
        <x:v>OP-DRAFT-00153</x:v>
      </x:c>
      <x:c r="D584" s="207" t="str">
        <x:v>model_id/canonical_sku; production_order_id; operation_type_id; planned_hours; actual_hours; output_qty; defect_qty; completion_status</x:v>
      </x:c>
      <x:c r="E584" s="207" t="str">
        <x:v>ПРИОСТАНОВЛЕНО</x:v>
      </x:c>
      <x:c r="F584" s="207" t="str">
        <x:v>Назначить production_order_id, operation_type, дату и факт часов</x:v>
      </x:c>
      <x:c r="G584" s="207" t="str">
        <x:v>Производство</x:v>
      </x:c>
      <x:c r="H584" s="207" t="str">
        <x:v>Высокий</x:v>
      </x:c>
      <x:c r="I584" s="207" t="str">
        <x:v>Загрузка; производительность; фактическая cost</x:v>
      </x:c>
      <x:c r="J584" s="207" t="str">
        <x:v>Планирование H19</x:v>
      </x:c>
      <x:c r="K584" s="207" t="str"/>
      <x:c r="L584" s="207" t="str"/>
      <x:c r="M584" s="207" t="str">
        <x:v>Не рассмотрено</x:v>
      </x:c>
      <x:c r="N584" s="207" t="str"/>
      <x:c r="O584" s="207" t="str">
        <x:v>17</x:v>
      </x:c>
      <x:c r="P584" s="207" t="n">
        <x:v>3</x:v>
      </x:c>
      <x:c r="Q584" s="208" t="str">
        <x:v>Wave 2 (31–60 дней)</x:v>
      </x:c>
    </x:row>
    <x:row r="585">
      <x:c r="A585" s="206" t="str">
        <x:v>DEC-00581</x:v>
      </x:c>
      <x:c r="B585" s="207" t="str">
        <x:v>Operation</x:v>
      </x:c>
      <x:c r="C585" s="207" t="str">
        <x:v>OP-DRAFT-00158</x:v>
      </x:c>
      <x:c r="D585" s="207" t="str">
        <x:v>production_order_id; operation_type_id; planned_hours; actual_hours; output_qty; defect_qty; completion_status</x:v>
      </x:c>
      <x:c r="E585" s="207" t="str">
        <x:v>Дашкова 47-20 Тюльпаны сд 22.07</x:v>
      </x:c>
      <x:c r="F585" s="207" t="str">
        <x:v>Назначить production_order_id, operation_type, дату и факт часов</x:v>
      </x:c>
      <x:c r="G585" s="207" t="str">
        <x:v>Производство</x:v>
      </x:c>
      <x:c r="H585" s="207" t="str">
        <x:v>Высокий</x:v>
      </x:c>
      <x:c r="I585" s="207" t="str">
        <x:v>Загрузка; производительность; фактическая cost</x:v>
      </x:c>
      <x:c r="J585" s="207" t="str">
        <x:v>Планирование AJ19</x:v>
      </x:c>
      <x:c r="K585" s="207" t="str"/>
      <x:c r="L585" s="207" t="str"/>
      <x:c r="M585" s="207" t="str">
        <x:v>Не рассмотрено</x:v>
      </x:c>
      <x:c r="N585" s="207" t="str"/>
      <x:c r="O585" s="207" t="str">
        <x:v>17</x:v>
      </x:c>
      <x:c r="P585" s="207" t="n">
        <x:v>3</x:v>
      </x:c>
      <x:c r="Q585" s="208" t="str">
        <x:v>Wave 2 (31–60 дней)</x:v>
      </x:c>
    </x:row>
    <x:row r="586">
      <x:c r="A586" s="206" t="str">
        <x:v>DEC-00582</x:v>
      </x:c>
      <x:c r="B586" s="207" t="str">
        <x:v>Operation</x:v>
      </x:c>
      <x:c r="C586" s="207" t="str">
        <x:v>OP-DRAFT-00185</x:v>
      </x:c>
      <x:c r="D586" s="207" t="str">
        <x:v>production_order_id; operation_type_id; planned_hours; actual_hours; output_qty; defect_qty; completion_status</x:v>
      </x:c>
      <x:c r="E586" s="207" t="str">
        <x:v>47-20 Дашкова 21д сд 22.07</x:v>
      </x:c>
      <x:c r="F586" s="207" t="str">
        <x:v>Назначить production_order_id, operation_type, дату и факт часов</x:v>
      </x:c>
      <x:c r="G586" s="207" t="str">
        <x:v>Производство</x:v>
      </x:c>
      <x:c r="H586" s="207" t="str">
        <x:v>Высокий</x:v>
      </x:c>
      <x:c r="I586" s="207" t="str">
        <x:v>Загрузка; производительность; фактическая cost</x:v>
      </x:c>
      <x:c r="J586" s="207" t="str">
        <x:v>Планирование O21</x:v>
      </x:c>
      <x:c r="K586" s="207" t="str"/>
      <x:c r="L586" s="207" t="str"/>
      <x:c r="M586" s="207" t="str">
        <x:v>Не рассмотрено</x:v>
      </x:c>
      <x:c r="N586" s="207" t="str"/>
      <x:c r="O586" s="207" t="str">
        <x:v>17</x:v>
      </x:c>
      <x:c r="P586" s="207" t="n">
        <x:v>3</x:v>
      </x:c>
      <x:c r="Q586" s="208" t="str">
        <x:v>Wave 2 (31–60 дней)</x:v>
      </x:c>
    </x:row>
    <x:row r="587">
      <x:c r="A587" s="206" t="str">
        <x:v>DEC-00583</x:v>
      </x:c>
      <x:c r="B587" s="207" t="str">
        <x:v>Operation</x:v>
      </x:c>
      <x:c r="C587" s="207" t="str">
        <x:v>OP-DRAFT-00186</x:v>
      </x:c>
      <x:c r="D587" s="207" t="str">
        <x:v>production_order_id; operation_type_id; planned_hours; actual_hours; output_qty; defect_qty; completion_status</x:v>
      </x:c>
      <x:c r="E587" s="207" t="str">
        <x:v>47-16 Мустафаева 35д сд 28.05</x:v>
      </x:c>
      <x:c r="F587" s="207" t="str">
        <x:v>Назначить production_order_id, operation_type, дату и факт часов</x:v>
      </x:c>
      <x:c r="G587" s="207" t="str">
        <x:v>Производство</x:v>
      </x:c>
      <x:c r="H587" s="207" t="str">
        <x:v>Высокий</x:v>
      </x:c>
      <x:c r="I587" s="207" t="str">
        <x:v>Загрузка; производительность; фактическая cost</x:v>
      </x:c>
      <x:c r="J587" s="207" t="str">
        <x:v>Планирование C22</x:v>
      </x:c>
      <x:c r="K587" s="207" t="str"/>
      <x:c r="L587" s="207" t="str"/>
      <x:c r="M587" s="207" t="str">
        <x:v>Не рассмотрено</x:v>
      </x:c>
      <x:c r="N587" s="207" t="str"/>
      <x:c r="O587" s="207" t="str">
        <x:v>17</x:v>
      </x:c>
      <x:c r="P587" s="207" t="n">
        <x:v>3</x:v>
      </x:c>
      <x:c r="Q587" s="208" t="str">
        <x:v>Wave 2 (31–60 дней)</x:v>
      </x:c>
    </x:row>
    <x:row r="588">
      <x:c r="A588" s="206" t="str">
        <x:v>DEC-00584</x:v>
      </x:c>
      <x:c r="B588" s="207" t="str">
        <x:v>Operation</x:v>
      </x:c>
      <x:c r="C588" s="207" t="str">
        <x:v>OP-DRAFT-00187</x:v>
      </x:c>
      <x:c r="D588" s="207" t="str">
        <x:v>production_order_id; operation_type_id; planned_hours; actual_hours; output_qty; defect_qty; completion_status</x:v>
      </x:c>
      <x:c r="E588" s="207" t="str">
        <x:v>47-15 Казьмина 75д сд 29.05</x:v>
      </x:c>
      <x:c r="F588" s="207" t="str">
        <x:v>Назначить production_order_id, operation_type, дату и факт часов</x:v>
      </x:c>
      <x:c r="G588" s="207" t="str">
        <x:v>Производство</x:v>
      </x:c>
      <x:c r="H588" s="207" t="str">
        <x:v>Высокий</x:v>
      </x:c>
      <x:c r="I588" s="207" t="str">
        <x:v>Загрузка; производительность; фактическая cost</x:v>
      </x:c>
      <x:c r="J588" s="207" t="str">
        <x:v>Планирование I22</x:v>
      </x:c>
      <x:c r="K588" s="207" t="str"/>
      <x:c r="L588" s="207" t="str"/>
      <x:c r="M588" s="207" t="str">
        <x:v>Не рассмотрено</x:v>
      </x:c>
      <x:c r="N588" s="207" t="str"/>
      <x:c r="O588" s="207" t="str">
        <x:v>17</x:v>
      </x:c>
      <x:c r="P588" s="207" t="n">
        <x:v>3</x:v>
      </x:c>
      <x:c r="Q588" s="208" t="str">
        <x:v>Wave 2 (31–60 дней)</x:v>
      </x:c>
    </x:row>
    <x:row r="589">
      <x:c r="A589" s="206" t="str">
        <x:v>DEC-00585</x:v>
      </x:c>
      <x:c r="B589" s="207" t="str">
        <x:v>Operation</x:v>
      </x:c>
      <x:c r="C589" s="207" t="str">
        <x:v>OP-DRAFT-00188</x:v>
      </x:c>
      <x:c r="D589" s="207" t="str">
        <x:v>production_order_id; operation_type_id; planned_hours; actual_hours; output_qty; defect_qty; completion_status</x:v>
      </x:c>
      <x:c r="E589" s="207" t="str">
        <x:v>48-27 лосины</x:v>
      </x:c>
      <x:c r="F589" s="207" t="str">
        <x:v>Назначить production_order_id, operation_type, дату и факт часов</x:v>
      </x:c>
      <x:c r="G589" s="207" t="str">
        <x:v>Производство</x:v>
      </x:c>
      <x:c r="H589" s="207" t="str">
        <x:v>Высокий</x:v>
      </x:c>
      <x:c r="I589" s="207" t="str">
        <x:v>Загрузка; производительность; фактическая cost</x:v>
      </x:c>
      <x:c r="J589" s="207" t="str">
        <x:v>Планирование O22</x:v>
      </x:c>
      <x:c r="K589" s="207" t="str"/>
      <x:c r="L589" s="207" t="str"/>
      <x:c r="M589" s="207" t="str">
        <x:v>Не рассмотрено</x:v>
      </x:c>
      <x:c r="N589" s="207" t="str"/>
      <x:c r="O589" s="207" t="str">
        <x:v>17</x:v>
      </x:c>
      <x:c r="P589" s="207" t="n">
        <x:v>3</x:v>
      </x:c>
      <x:c r="Q589" s="208" t="str">
        <x:v>Wave 2 (31–60 дней)</x:v>
      </x:c>
    </x:row>
    <x:row r="590">
      <x:c r="A590" s="206" t="str">
        <x:v>DEC-00586</x:v>
      </x:c>
      <x:c r="B590" s="207" t="str">
        <x:v>Operation</x:v>
      </x:c>
      <x:c r="C590" s="207" t="str">
        <x:v>OP-DRAFT-00189</x:v>
      </x:c>
      <x:c r="D590" s="207" t="str">
        <x:v>production_order_id; operation_type_id; planned_hours; actual_hours; output_qty; defect_qty; completion_status</x:v>
      </x:c>
      <x:c r="E590" s="207" t="str">
        <x:v>Дашкова 47-20 Тюльпаны</x:v>
      </x:c>
      <x:c r="F590" s="207" t="str">
        <x:v>Назначить production_order_id, operation_type, дату и факт часов</x:v>
      </x:c>
      <x:c r="G590" s="207" t="str">
        <x:v>Производство</x:v>
      </x:c>
      <x:c r="H590" s="207" t="str">
        <x:v>Высокий</x:v>
      </x:c>
      <x:c r="I590" s="207" t="str">
        <x:v>Загрузка; производительность; фактическая cost</x:v>
      </x:c>
      <x:c r="J590" s="207" t="str">
        <x:v>Планирование R22</x:v>
      </x:c>
      <x:c r="K590" s="207" t="str"/>
      <x:c r="L590" s="207" t="str"/>
      <x:c r="M590" s="207" t="str">
        <x:v>Не рассмотрено</x:v>
      </x:c>
      <x:c r="N590" s="207" t="str"/>
      <x:c r="O590" s="207" t="str">
        <x:v>17</x:v>
      </x:c>
      <x:c r="P590" s="207" t="n">
        <x:v>3</x:v>
      </x:c>
      <x:c r="Q590" s="208" t="str">
        <x:v>Wave 2 (31–60 дней)</x:v>
      </x:c>
    </x:row>
    <x:row r="591">
      <x:c r="A591" s="206" t="str">
        <x:v>DEC-00587</x:v>
      </x:c>
      <x:c r="B591" s="207" t="str">
        <x:v>Operation</x:v>
      </x:c>
      <x:c r="C591" s="207" t="str">
        <x:v>OP-DRAFT-00190</x:v>
      </x:c>
      <x:c r="D591" s="207" t="str">
        <x:v>production_order_id; operation_type_id; planned_hours; actual_hours; output_qty; defect_qty; completion_status</x:v>
      </x:c>
      <x:c r="E591" s="207" t="str">
        <x:v>Дашкова 47-20 Тюльпаны сд 22.07</x:v>
      </x:c>
      <x:c r="F591" s="207" t="str">
        <x:v>Назначить production_order_id, operation_type, дату и факт часов</x:v>
      </x:c>
      <x:c r="G591" s="207" t="str">
        <x:v>Производство</x:v>
      </x:c>
      <x:c r="H591" s="207" t="str">
        <x:v>Высокий</x:v>
      </x:c>
      <x:c r="I591" s="207" t="str">
        <x:v>Загрузка; производительность; фактическая cost</x:v>
      </x:c>
      <x:c r="J591" s="207" t="str">
        <x:v>Планирование V22</x:v>
      </x:c>
      <x:c r="K591" s="207" t="str"/>
      <x:c r="L591" s="207" t="str"/>
      <x:c r="M591" s="207" t="str">
        <x:v>Не рассмотрено</x:v>
      </x:c>
      <x:c r="N591" s="207" t="str"/>
      <x:c r="O591" s="207" t="str">
        <x:v>17</x:v>
      </x:c>
      <x:c r="P591" s="207" t="n">
        <x:v>3</x:v>
      </x:c>
      <x:c r="Q591" s="208" t="str">
        <x:v>Wave 2 (31–60 дней)</x:v>
      </x:c>
    </x:row>
    <x:row r="592">
      <x:c r="A592" s="206" t="str">
        <x:v>DEC-00588</x:v>
      </x:c>
      <x:c r="B592" s="207" t="str">
        <x:v>Operation</x:v>
      </x:c>
      <x:c r="C592" s="207" t="str">
        <x:v>OP-DRAFT-00191</x:v>
      </x:c>
      <x:c r="D592" s="207" t="str">
        <x:v>production_order_id; operation_type_id; planned_hours; actual_hours; output_qty; defect_qty; completion_status</x:v>
      </x:c>
      <x:c r="E592" s="207" t="str">
        <x:v>47-27 Кислова</x:v>
      </x:c>
      <x:c r="F592" s="207" t="str">
        <x:v>Назначить production_order_id, operation_type, дату и факт часов</x:v>
      </x:c>
      <x:c r="G592" s="207" t="str">
        <x:v>Производство</x:v>
      </x:c>
      <x:c r="H592" s="207" t="str">
        <x:v>Высокий</x:v>
      </x:c>
      <x:c r="I592" s="207" t="str">
        <x:v>Загрузка; производительность; фактическая cost</x:v>
      </x:c>
      <x:c r="J592" s="207" t="str">
        <x:v>Планирование W22</x:v>
      </x:c>
      <x:c r="K592" s="207" t="str"/>
      <x:c r="L592" s="207" t="str"/>
      <x:c r="M592" s="207" t="str">
        <x:v>Не рассмотрено</x:v>
      </x:c>
      <x:c r="N592" s="207" t="str"/>
      <x:c r="O592" s="207" t="str">
        <x:v>17</x:v>
      </x:c>
      <x:c r="P592" s="207" t="n">
        <x:v>3</x:v>
      </x:c>
      <x:c r="Q592" s="208" t="str">
        <x:v>Wave 2 (31–60 дней)</x:v>
      </x:c>
    </x:row>
    <x:row r="593">
      <x:c r="A593" s="206" t="str">
        <x:v>DEC-00589</x:v>
      </x:c>
      <x:c r="B593" s="207" t="str">
        <x:v>Operation</x:v>
      </x:c>
      <x:c r="C593" s="207" t="str">
        <x:v>OP-DRAFT-00192</x:v>
      </x:c>
      <x:c r="D593" s="207" t="str">
        <x:v>production_order_id; operation_type_id; planned_hours; actual_hours; output_qty; defect_qty; completion_status</x:v>
      </x:c>
      <x:c r="E593" s="207" t="str">
        <x:v>48-23 настрочка кружева на юбку</x:v>
      </x:c>
      <x:c r="F593" s="207" t="str">
        <x:v>Назначить production_order_id, operation_type, дату и факт часов</x:v>
      </x:c>
      <x:c r="G593" s="207" t="str">
        <x:v>Производство</x:v>
      </x:c>
      <x:c r="H593" s="207" t="str">
        <x:v>Высокий</x:v>
      </x:c>
      <x:c r="I593" s="207" t="str">
        <x:v>Загрузка; производительность; фактическая cost</x:v>
      </x:c>
      <x:c r="J593" s="207" t="str">
        <x:v>Планирование X22</x:v>
      </x:c>
      <x:c r="K593" s="207" t="str"/>
      <x:c r="L593" s="207" t="str"/>
      <x:c r="M593" s="207" t="str">
        <x:v>Не рассмотрено</x:v>
      </x:c>
      <x:c r="N593" s="207" t="str"/>
      <x:c r="O593" s="207" t="str">
        <x:v>17</x:v>
      </x:c>
      <x:c r="P593" s="207" t="n">
        <x:v>3</x:v>
      </x:c>
      <x:c r="Q593" s="208" t="str">
        <x:v>Wave 2 (31–60 дней)</x:v>
      </x:c>
    </x:row>
    <x:row r="594">
      <x:c r="A594" s="206" t="str">
        <x:v>DEC-00590</x:v>
      </x:c>
      <x:c r="B594" s="207" t="str">
        <x:v>Operation</x:v>
      </x:c>
      <x:c r="C594" s="207" t="str">
        <x:v>OP-DRAFT-00193</x:v>
      </x:c>
      <x:c r="D594" s="207" t="str">
        <x:v>production_order_id; operation_type_id; planned_hours; actual_hours; output_qty; defect_qty; completion_status</x:v>
      </x:c>
      <x:c r="E594" s="207" t="str">
        <x:v>48-23 настрочка кружева на юбку</x:v>
      </x:c>
      <x:c r="F594" s="207" t="str">
        <x:v>Назначить production_order_id, operation_type, дату и факт часов</x:v>
      </x:c>
      <x:c r="G594" s="207" t="str">
        <x:v>Производство</x:v>
      </x:c>
      <x:c r="H594" s="207" t="str">
        <x:v>Высокий</x:v>
      </x:c>
      <x:c r="I594" s="207" t="str">
        <x:v>Загрузка; производительность; фактическая cost</x:v>
      </x:c>
      <x:c r="J594" s="207" t="str">
        <x:v>Планирование AC22</x:v>
      </x:c>
      <x:c r="K594" s="207" t="str"/>
      <x:c r="L594" s="207" t="str"/>
      <x:c r="M594" s="207" t="str">
        <x:v>Не рассмотрено</x:v>
      </x:c>
      <x:c r="N594" s="207" t="str"/>
      <x:c r="O594" s="207" t="str">
        <x:v>17</x:v>
      </x:c>
      <x:c r="P594" s="207" t="n">
        <x:v>3</x:v>
      </x:c>
      <x:c r="Q594" s="208" t="str">
        <x:v>Wave 2 (31–60 дней)</x:v>
      </x:c>
    </x:row>
    <x:row r="595">
      <x:c r="A595" s="206" t="str">
        <x:v>DEC-00591</x:v>
      </x:c>
      <x:c r="B595" s="207" t="str">
        <x:v>Operation</x:v>
      </x:c>
      <x:c r="C595" s="207" t="str">
        <x:v>OP-DRAFT-00194</x:v>
      </x:c>
      <x:c r="D595" s="207" t="str">
        <x:v>production_order_id; operation_type_id; planned_hours; actual_hours; output_qty; defect_qty; completion_status</x:v>
      </x:c>
      <x:c r="E595" s="207" t="str">
        <x:v>48-22 лиф настрочка кружева</x:v>
      </x:c>
      <x:c r="F595" s="207" t="str">
        <x:v>Назначить production_order_id, operation_type, дату и факт часов</x:v>
      </x:c>
      <x:c r="G595" s="207" t="str">
        <x:v>Производство</x:v>
      </x:c>
      <x:c r="H595" s="207" t="str">
        <x:v>Высокий</x:v>
      </x:c>
      <x:c r="I595" s="207" t="str">
        <x:v>Загрузка; производительность; фактическая cost</x:v>
      </x:c>
      <x:c r="J595" s="207" t="str">
        <x:v>Планирование AD22</x:v>
      </x:c>
      <x:c r="K595" s="207" t="str"/>
      <x:c r="L595" s="207" t="str"/>
      <x:c r="M595" s="207" t="str">
        <x:v>Не рассмотрено</x:v>
      </x:c>
      <x:c r="N595" s="207" t="str"/>
      <x:c r="O595" s="207" t="str">
        <x:v>17</x:v>
      </x:c>
      <x:c r="P595" s="207" t="n">
        <x:v>3</x:v>
      </x:c>
      <x:c r="Q595" s="208" t="str">
        <x:v>Wave 2 (31–60 дней)</x:v>
      </x:c>
    </x:row>
    <x:row r="596">
      <x:c r="A596" s="206" t="str">
        <x:v>DEC-00592</x:v>
      </x:c>
      <x:c r="B596" s="207" t="str">
        <x:v>Operation</x:v>
      </x:c>
      <x:c r="C596" s="207" t="str">
        <x:v>OP-DRAFT-00195</x:v>
      </x:c>
      <x:c r="D596" s="207" t="str">
        <x:v>production_order_id; operation_type_id; planned_hours; actual_hours; output_qty; defect_qty; completion_status</x:v>
      </x:c>
      <x:c r="E596" s="207" t="str">
        <x:v>48-02 тюльпан</x:v>
      </x:c>
      <x:c r="F596" s="207" t="str">
        <x:v>Назначить production_order_id, operation_type, дату и факт часов</x:v>
      </x:c>
      <x:c r="G596" s="207" t="str">
        <x:v>Производство</x:v>
      </x:c>
      <x:c r="H596" s="207" t="str">
        <x:v>Высокий</x:v>
      </x:c>
      <x:c r="I596" s="207" t="str">
        <x:v>Загрузка; производительность; фактическая cost</x:v>
      </x:c>
      <x:c r="J596" s="207" t="str">
        <x:v>Планирование AF22</x:v>
      </x:c>
      <x:c r="K596" s="207" t="str"/>
      <x:c r="L596" s="207" t="str"/>
      <x:c r="M596" s="207" t="str">
        <x:v>Не рассмотрено</x:v>
      </x:c>
      <x:c r="N596" s="207" t="str"/>
      <x:c r="O596" s="207" t="str">
        <x:v>17</x:v>
      </x:c>
      <x:c r="P596" s="207" t="n">
        <x:v>3</x:v>
      </x:c>
      <x:c r="Q596" s="208" t="str">
        <x:v>Wave 2 (31–60 дней)</x:v>
      </x:c>
    </x:row>
    <x:row r="597">
      <x:c r="A597" s="206" t="str">
        <x:v>DEC-00593</x:v>
      </x:c>
      <x:c r="B597" s="207" t="str">
        <x:v>Operation</x:v>
      </x:c>
      <x:c r="C597" s="207" t="str">
        <x:v>OP-DRAFT-00196</x:v>
      </x:c>
      <x:c r="D597" s="207" t="str">
        <x:v>production_order_id; operation_type_id; planned_hours; actual_hours; output_qty; defect_qty; completion_status</x:v>
      </x:c>
      <x:c r="E597" s="207" t="str">
        <x:v>48-22</x:v>
      </x:c>
      <x:c r="F597" s="207" t="str">
        <x:v>Назначить production_order_id, operation_type, дату и факт часов</x:v>
      </x:c>
      <x:c r="G597" s="207" t="str">
        <x:v>Производство</x:v>
      </x:c>
      <x:c r="H597" s="207" t="str">
        <x:v>Высокий</x:v>
      </x:c>
      <x:c r="I597" s="207" t="str">
        <x:v>Загрузка; производительность; фактическая cost</x:v>
      </x:c>
      <x:c r="J597" s="207" t="str">
        <x:v>Планирование AG22</x:v>
      </x:c>
      <x:c r="K597" s="207" t="str"/>
      <x:c r="L597" s="207" t="str"/>
      <x:c r="M597" s="207" t="str">
        <x:v>Не рассмотрено</x:v>
      </x:c>
      <x:c r="N597" s="207" t="str"/>
      <x:c r="O597" s="207" t="str">
        <x:v>17</x:v>
      </x:c>
      <x:c r="P597" s="207" t="n">
        <x:v>3</x:v>
      </x:c>
      <x:c r="Q597" s="208" t="str">
        <x:v>Wave 2 (31–60 дней)</x:v>
      </x:c>
    </x:row>
    <x:row r="598">
      <x:c r="A598" s="206" t="str">
        <x:v>DEC-00594</x:v>
      </x:c>
      <x:c r="B598" s="207" t="str">
        <x:v>Operation</x:v>
      </x:c>
      <x:c r="C598" s="207" t="str">
        <x:v>OP-DRAFT-00197</x:v>
      </x:c>
      <x:c r="D598" s="207" t="str">
        <x:v>production_order_id; operation_type_id; planned_hours; actual_hours; output_qty; defect_qty; completion_status</x:v>
      </x:c>
      <x:c r="E598" s="207" t="str">
        <x:v>47-20 Ляззат</x:v>
      </x:c>
      <x:c r="F598" s="207" t="str">
        <x:v>Назначить production_order_id, operation_type, дату и факт часов</x:v>
      </x:c>
      <x:c r="G598" s="207" t="str">
        <x:v>Производство</x:v>
      </x:c>
      <x:c r="H598" s="207" t="str">
        <x:v>Высокий</x:v>
      </x:c>
      <x:c r="I598" s="207" t="str">
        <x:v>Загрузка; производительность; фактическая cost</x:v>
      </x:c>
      <x:c r="J598" s="207" t="str">
        <x:v>Планирование AS22</x:v>
      </x:c>
      <x:c r="K598" s="207" t="str"/>
      <x:c r="L598" s="207" t="str"/>
      <x:c r="M598" s="207" t="str">
        <x:v>Не рассмотрено</x:v>
      </x:c>
      <x:c r="N598" s="207" t="str"/>
      <x:c r="O598" s="207" t="str">
        <x:v>17</x:v>
      </x:c>
      <x:c r="P598" s="207" t="n">
        <x:v>3</x:v>
      </x:c>
      <x:c r="Q598" s="208" t="str">
        <x:v>Wave 2 (31–60 дней)</x:v>
      </x:c>
    </x:row>
    <x:row r="599">
      <x:c r="A599" s="206" t="str">
        <x:v>DEC-00595</x:v>
      </x:c>
      <x:c r="B599" s="207" t="str">
        <x:v>Operation</x:v>
      </x:c>
      <x:c r="C599" s="207" t="str">
        <x:v>OP-DRAFT-00198</x:v>
      </x:c>
      <x:c r="D599" s="207" t="str">
        <x:v>production_order_id; operation_type_id; planned_hours; actual_hours; output_qty; defect_qty; completion_status</x:v>
      </x:c>
      <x:c r="E599" s="207" t="str">
        <x:v>47-20 Ляззат</x:v>
      </x:c>
      <x:c r="F599" s="207" t="str">
        <x:v>Назначить production_order_id, operation_type, дату и факт часов</x:v>
      </x:c>
      <x:c r="G599" s="207" t="str">
        <x:v>Производство</x:v>
      </x:c>
      <x:c r="H599" s="207" t="str">
        <x:v>Высокий</x:v>
      </x:c>
      <x:c r="I599" s="207" t="str">
        <x:v>Загрузка; производительность; фактическая cost</x:v>
      </x:c>
      <x:c r="J599" s="207" t="str">
        <x:v>Планирование AT22</x:v>
      </x:c>
      <x:c r="K599" s="207" t="str"/>
      <x:c r="L599" s="207" t="str"/>
      <x:c r="M599" s="207" t="str">
        <x:v>Не рассмотрено</x:v>
      </x:c>
      <x:c r="N599" s="207" t="str"/>
      <x:c r="O599" s="207" t="str">
        <x:v>17</x:v>
      </x:c>
      <x:c r="P599" s="207" t="n">
        <x:v>3</x:v>
      </x:c>
      <x:c r="Q599" s="208" t="str">
        <x:v>Wave 2 (31–60 дней)</x:v>
      </x:c>
    </x:row>
    <x:row r="600">
      <x:c r="A600" s="206" t="str">
        <x:v>DEC-00596</x:v>
      </x:c>
      <x:c r="B600" s="207" t="str">
        <x:v>Operation</x:v>
      </x:c>
      <x:c r="C600" s="207" t="str">
        <x:v>OP-DRAFT-00199</x:v>
      </x:c>
      <x:c r="D600" s="207" t="str">
        <x:v>production_order_id; operation_type_id; planned_hours; actual_hours; output_qty; defect_qty; completion_status</x:v>
      </x:c>
      <x:c r="E600" s="207" t="str">
        <x:v>47-20 Ляззат</x:v>
      </x:c>
      <x:c r="F600" s="207" t="str">
        <x:v>Назначить production_order_id, operation_type, дату и факт часов</x:v>
      </x:c>
      <x:c r="G600" s="207" t="str">
        <x:v>Производство</x:v>
      </x:c>
      <x:c r="H600" s="207" t="str">
        <x:v>Высокий</x:v>
      </x:c>
      <x:c r="I600" s="207" t="str">
        <x:v>Загрузка; производительность; фактическая cost</x:v>
      </x:c>
      <x:c r="J600" s="207" t="str">
        <x:v>Планирование AU22</x:v>
      </x:c>
      <x:c r="K600" s="207" t="str"/>
      <x:c r="L600" s="207" t="str"/>
      <x:c r="M600" s="207" t="str">
        <x:v>Не рассмотрено</x:v>
      </x:c>
      <x:c r="N600" s="207" t="str"/>
      <x:c r="O600" s="207" t="str">
        <x:v>17</x:v>
      </x:c>
      <x:c r="P600" s="207" t="n">
        <x:v>3</x:v>
      </x:c>
      <x:c r="Q600" s="208" t="str">
        <x:v>Wave 2 (31–60 дней)</x:v>
      </x:c>
    </x:row>
    <x:row r="601">
      <x:c r="A601" s="206" t="str">
        <x:v>DEC-00597</x:v>
      </x:c>
      <x:c r="B601" s="207" t="str">
        <x:v>Operation</x:v>
      </x:c>
      <x:c r="C601" s="207" t="str">
        <x:v>OP-DRAFT-00200</x:v>
      </x:c>
      <x:c r="D601" s="207" t="str">
        <x:v>production_order_id; operation_type_id; planned_hours; actual_hours; output_qty; defect_qty; completion_status</x:v>
      </x:c>
      <x:c r="E601" s="207" t="str">
        <x:v>47-20 Ляззат</x:v>
      </x:c>
      <x:c r="F601" s="207" t="str">
        <x:v>Назначить production_order_id, operation_type, дату и факт часов</x:v>
      </x:c>
      <x:c r="G601" s="207" t="str">
        <x:v>Производство</x:v>
      </x:c>
      <x:c r="H601" s="207" t="str">
        <x:v>Высокий</x:v>
      </x:c>
      <x:c r="I601" s="207" t="str">
        <x:v>Загрузка; производительность; фактическая cost</x:v>
      </x:c>
      <x:c r="J601" s="207" t="str">
        <x:v>Планирование AX22</x:v>
      </x:c>
      <x:c r="K601" s="207" t="str"/>
      <x:c r="L601" s="207" t="str"/>
      <x:c r="M601" s="207" t="str">
        <x:v>Не рассмотрено</x:v>
      </x:c>
      <x:c r="N601" s="207" t="str"/>
      <x:c r="O601" s="207" t="str">
        <x:v>17</x:v>
      </x:c>
      <x:c r="P601" s="207" t="n">
        <x:v>3</x:v>
      </x:c>
      <x:c r="Q601" s="208" t="str">
        <x:v>Wave 2 (31–60 дней)</x:v>
      </x:c>
    </x:row>
    <x:row r="602">
      <x:c r="A602" s="206" t="str">
        <x:v>DEC-00598</x:v>
      </x:c>
      <x:c r="B602" s="207" t="str">
        <x:v>Operation</x:v>
      </x:c>
      <x:c r="C602" s="207" t="str">
        <x:v>OP-DRAFT-00201</x:v>
      </x:c>
      <x:c r="D602" s="207" t="str">
        <x:v>production_order_id; operation_type_id; planned_hours; actual_hours; output_qty; defect_qty; completion_status</x:v>
      </x:c>
      <x:c r="E602" s="207" t="str">
        <x:v>47-20 Ляззат</x:v>
      </x:c>
      <x:c r="F602" s="207" t="str">
        <x:v>Назначить production_order_id, operation_type, дату и факт часов</x:v>
      </x:c>
      <x:c r="G602" s="207" t="str">
        <x:v>Производство</x:v>
      </x:c>
      <x:c r="H602" s="207" t="str">
        <x:v>Высокий</x:v>
      </x:c>
      <x:c r="I602" s="207" t="str">
        <x:v>Загрузка; производительность; фактическая cost</x:v>
      </x:c>
      <x:c r="J602" s="207" t="str">
        <x:v>Планирование AY22</x:v>
      </x:c>
      <x:c r="K602" s="207" t="str"/>
      <x:c r="L602" s="207" t="str"/>
      <x:c r="M602" s="207" t="str">
        <x:v>Не рассмотрено</x:v>
      </x:c>
      <x:c r="N602" s="207" t="str"/>
      <x:c r="O602" s="207" t="str">
        <x:v>17</x:v>
      </x:c>
      <x:c r="P602" s="207" t="n">
        <x:v>3</x:v>
      </x:c>
      <x:c r="Q602" s="208" t="str">
        <x:v>Wave 2 (31–60 дней)</x:v>
      </x:c>
    </x:row>
    <x:row r="603">
      <x:c r="A603" s="206" t="str">
        <x:v>DEC-00599</x:v>
      </x:c>
      <x:c r="B603" s="207" t="str">
        <x:v>Operation</x:v>
      </x:c>
      <x:c r="C603" s="207" t="str">
        <x:v>OP-DRAFT-00202</x:v>
      </x:c>
      <x:c r="D603" s="207" t="str">
        <x:v>production_order_id; operation_type_id; planned_hours; actual_hours; output_qty; defect_qty; completion_status</x:v>
      </x:c>
      <x:c r="E603" s="207" t="str">
        <x:v>47-20 Ляззат</x:v>
      </x:c>
      <x:c r="F603" s="207" t="str">
        <x:v>Назначить production_order_id, operation_type, дату и факт часов</x:v>
      </x:c>
      <x:c r="G603" s="207" t="str">
        <x:v>Производство</x:v>
      </x:c>
      <x:c r="H603" s="207" t="str">
        <x:v>Высокий</x:v>
      </x:c>
      <x:c r="I603" s="207" t="str">
        <x:v>Загрузка; производительность; фактическая cost</x:v>
      </x:c>
      <x:c r="J603" s="207" t="str">
        <x:v>Планирование AZ22</x:v>
      </x:c>
      <x:c r="K603" s="207" t="str"/>
      <x:c r="L603" s="207" t="str"/>
      <x:c r="M603" s="207" t="str">
        <x:v>Не рассмотрено</x:v>
      </x:c>
      <x:c r="N603" s="207" t="str"/>
      <x:c r="O603" s="207" t="str">
        <x:v>17</x:v>
      </x:c>
      <x:c r="P603" s="207" t="n">
        <x:v>3</x:v>
      </x:c>
      <x:c r="Q603" s="208" t="str">
        <x:v>Wave 2 (31–60 дней)</x:v>
      </x:c>
    </x:row>
    <x:row r="604">
      <x:c r="A604" s="206" t="str">
        <x:v>DEC-00600</x:v>
      </x:c>
      <x:c r="B604" s="207" t="str">
        <x:v>Operation</x:v>
      </x:c>
      <x:c r="C604" s="207" t="str">
        <x:v>OP-DRAFT-00203</x:v>
      </x:c>
      <x:c r="D604" s="207" t="str">
        <x:v>production_order_id; operation_type_id; planned_hours; actual_hours; output_qty; defect_qty; completion_status</x:v>
      </x:c>
      <x:c r="E604" s="207" t="str">
        <x:v>47-20 Ляззат</x:v>
      </x:c>
      <x:c r="F604" s="207" t="str">
        <x:v>Назначить production_order_id, operation_type, дату и факт часов</x:v>
      </x:c>
      <x:c r="G604" s="207" t="str">
        <x:v>Производство</x:v>
      </x:c>
      <x:c r="H604" s="207" t="str">
        <x:v>Высокий</x:v>
      </x:c>
      <x:c r="I604" s="207" t="str">
        <x:v>Загрузка; производительность; фактическая cost</x:v>
      </x:c>
      <x:c r="J604" s="207" t="str">
        <x:v>Планирование BA22</x:v>
      </x:c>
      <x:c r="K604" s="207" t="str"/>
      <x:c r="L604" s="207" t="str"/>
      <x:c r="M604" s="207" t="str">
        <x:v>Не рассмотрено</x:v>
      </x:c>
      <x:c r="N604" s="207" t="str"/>
      <x:c r="O604" s="207" t="str">
        <x:v>17</x:v>
      </x:c>
      <x:c r="P604" s="207" t="n">
        <x:v>3</x:v>
      </x:c>
      <x:c r="Q604" s="208" t="str">
        <x:v>Wave 2 (31–60 дней)</x:v>
      </x:c>
    </x:row>
    <x:row r="605">
      <x:c r="A605" s="206" t="str">
        <x:v>DEC-00601</x:v>
      </x:c>
      <x:c r="B605" s="207" t="str">
        <x:v>Operation</x:v>
      </x:c>
      <x:c r="C605" s="207" t="str">
        <x:v>OP-DRAFT-00204</x:v>
      </x:c>
      <x:c r="D605" s="207" t="str">
        <x:v>production_order_id; operation_type_id; planned_hours; actual_hours; output_qty; defect_qty; completion_status</x:v>
      </x:c>
      <x:c r="E605" s="207" t="str">
        <x:v>47-20 Ляззат</x:v>
      </x:c>
      <x:c r="F605" s="207" t="str">
        <x:v>Назначить production_order_id, operation_type, дату и факт часов</x:v>
      </x:c>
      <x:c r="G605" s="207" t="str">
        <x:v>Производство</x:v>
      </x:c>
      <x:c r="H605" s="207" t="str">
        <x:v>Высокий</x:v>
      </x:c>
      <x:c r="I605" s="207" t="str">
        <x:v>Загрузка; производительность; фактическая cost</x:v>
      </x:c>
      <x:c r="J605" s="207" t="str">
        <x:v>Планирование BB22</x:v>
      </x:c>
      <x:c r="K605" s="207" t="str"/>
      <x:c r="L605" s="207" t="str"/>
      <x:c r="M605" s="207" t="str">
        <x:v>Не рассмотрено</x:v>
      </x:c>
      <x:c r="N605" s="207" t="str"/>
      <x:c r="O605" s="207" t="str">
        <x:v>17</x:v>
      </x:c>
      <x:c r="P605" s="207" t="n">
        <x:v>3</x:v>
      </x:c>
      <x:c r="Q605" s="208" t="str">
        <x:v>Wave 2 (31–60 дней)</x:v>
      </x:c>
    </x:row>
    <x:row r="606">
      <x:c r="A606" s="206" t="str">
        <x:v>DEC-00602</x:v>
      </x:c>
      <x:c r="B606" s="207" t="str">
        <x:v>Operation</x:v>
      </x:c>
      <x:c r="C606" s="207" t="str">
        <x:v>OP-DRAFT-00205</x:v>
      </x:c>
      <x:c r="D606" s="207" t="str">
        <x:v>production_order_id; operation_type_id; planned_hours; actual_hours; output_qty; defect_qty; completion_status</x:v>
      </x:c>
      <x:c r="E606" s="207" t="str">
        <x:v>47-20 Ляззат</x:v>
      </x:c>
      <x:c r="F606" s="207" t="str">
        <x:v>Назначить production_order_id, operation_type, дату и факт часов</x:v>
      </x:c>
      <x:c r="G606" s="207" t="str">
        <x:v>Производство</x:v>
      </x:c>
      <x:c r="H606" s="207" t="str">
        <x:v>Высокий</x:v>
      </x:c>
      <x:c r="I606" s="207" t="str">
        <x:v>Загрузка; производительность; фактическая cost</x:v>
      </x:c>
      <x:c r="J606" s="207" t="str">
        <x:v>Планирование BE22</x:v>
      </x:c>
      <x:c r="K606" s="207" t="str"/>
      <x:c r="L606" s="207" t="str"/>
      <x:c r="M606" s="207" t="str">
        <x:v>Не рассмотрено</x:v>
      </x:c>
      <x:c r="N606" s="207" t="str"/>
      <x:c r="O606" s="207" t="str">
        <x:v>17</x:v>
      </x:c>
      <x:c r="P606" s="207" t="n">
        <x:v>3</x:v>
      </x:c>
      <x:c r="Q606" s="208" t="str">
        <x:v>Wave 2 (31–60 дней)</x:v>
      </x:c>
    </x:row>
    <x:row r="607">
      <x:c r="A607" s="206" t="str">
        <x:v>DEC-00603</x:v>
      </x:c>
      <x:c r="B607" s="207" t="str">
        <x:v>Operation</x:v>
      </x:c>
      <x:c r="C607" s="207" t="str">
        <x:v>OP-DRAFT-00206</x:v>
      </x:c>
      <x:c r="D607" s="207" t="str">
        <x:v>production_order_id; operation_type_id; planned_hours; actual_hours; output_qty; defect_qty; completion_status</x:v>
      </x:c>
      <x:c r="E607" s="207" t="str">
        <x:v>47-20 Ляззат</x:v>
      </x:c>
      <x:c r="F607" s="207" t="str">
        <x:v>Назначить production_order_id, operation_type, дату и факт часов</x:v>
      </x:c>
      <x:c r="G607" s="207" t="str">
        <x:v>Производство</x:v>
      </x:c>
      <x:c r="H607" s="207" t="str">
        <x:v>Высокий</x:v>
      </x:c>
      <x:c r="I607" s="207" t="str">
        <x:v>Загрузка; производительность; фактическая cost</x:v>
      </x:c>
      <x:c r="J607" s="207" t="str">
        <x:v>Планирование BF22</x:v>
      </x:c>
      <x:c r="K607" s="207" t="str"/>
      <x:c r="L607" s="207" t="str"/>
      <x:c r="M607" s="207" t="str">
        <x:v>Не рассмотрено</x:v>
      </x:c>
      <x:c r="N607" s="207" t="str"/>
      <x:c r="O607" s="207" t="str">
        <x:v>17</x:v>
      </x:c>
      <x:c r="P607" s="207" t="n">
        <x:v>3</x:v>
      </x:c>
      <x:c r="Q607" s="208" t="str">
        <x:v>Wave 2 (31–60 дней)</x:v>
      </x:c>
    </x:row>
    <x:row r="608">
      <x:c r="A608" s="206" t="str">
        <x:v>DEC-00604</x:v>
      </x:c>
      <x:c r="B608" s="207" t="str">
        <x:v>Operation</x:v>
      </x:c>
      <x:c r="C608" s="207" t="str">
        <x:v>OP-DRAFT-00207</x:v>
      </x:c>
      <x:c r="D608" s="207" t="str">
        <x:v>production_order_id; operation_type_id; planned_hours; actual_hours; output_qty; defect_qty; completion_status</x:v>
      </x:c>
      <x:c r="E608" s="207" t="str">
        <x:v>47-20 Ляззат</x:v>
      </x:c>
      <x:c r="F608" s="207" t="str">
        <x:v>Назначить production_order_id, operation_type, дату и факт часов</x:v>
      </x:c>
      <x:c r="G608" s="207" t="str">
        <x:v>Производство</x:v>
      </x:c>
      <x:c r="H608" s="207" t="str">
        <x:v>Высокий</x:v>
      </x:c>
      <x:c r="I608" s="207" t="str">
        <x:v>Загрузка; производительность; фактическая cost</x:v>
      </x:c>
      <x:c r="J608" s="207" t="str">
        <x:v>Планирование BG22</x:v>
      </x:c>
      <x:c r="K608" s="207" t="str"/>
      <x:c r="L608" s="207" t="str"/>
      <x:c r="M608" s="207" t="str">
        <x:v>Не рассмотрено</x:v>
      </x:c>
      <x:c r="N608" s="207" t="str"/>
      <x:c r="O608" s="207" t="str">
        <x:v>17</x:v>
      </x:c>
      <x:c r="P608" s="207" t="n">
        <x:v>3</x:v>
      </x:c>
      <x:c r="Q608" s="208" t="str">
        <x:v>Wave 2 (31–60 дней)</x:v>
      </x:c>
    </x:row>
    <x:row r="609">
      <x:c r="A609" s="206" t="str">
        <x:v>DEC-00605</x:v>
      </x:c>
      <x:c r="B609" s="207" t="str">
        <x:v>Operation</x:v>
      </x:c>
      <x:c r="C609" s="207" t="str">
        <x:v>OP-DRAFT-00208</x:v>
      </x:c>
      <x:c r="D609" s="207" t="str">
        <x:v>production_order_id; operation_type_id; planned_hours; actual_hours; output_qty; defect_qty; completion_status</x:v>
      </x:c>
      <x:c r="E609" s="207" t="str">
        <x:v>47-20 Ляззат</x:v>
      </x:c>
      <x:c r="F609" s="207" t="str">
        <x:v>Назначить production_order_id, operation_type, дату и факт часов</x:v>
      </x:c>
      <x:c r="G609" s="207" t="str">
        <x:v>Производство</x:v>
      </x:c>
      <x:c r="H609" s="207" t="str">
        <x:v>Высокий</x:v>
      </x:c>
      <x:c r="I609" s="207" t="str">
        <x:v>Загрузка; производительность; фактическая cost</x:v>
      </x:c>
      <x:c r="J609" s="207" t="str">
        <x:v>Планирование BH22</x:v>
      </x:c>
      <x:c r="K609" s="207" t="str"/>
      <x:c r="L609" s="207" t="str"/>
      <x:c r="M609" s="207" t="str">
        <x:v>Не рассмотрено</x:v>
      </x:c>
      <x:c r="N609" s="207" t="str"/>
      <x:c r="O609" s="207" t="str">
        <x:v>17</x:v>
      </x:c>
      <x:c r="P609" s="207" t="n">
        <x:v>3</x:v>
      </x:c>
      <x:c r="Q609" s="208" t="str">
        <x:v>Wave 2 (31–60 дней)</x:v>
      </x:c>
    </x:row>
    <x:row r="610">
      <x:c r="A610" s="206" t="str">
        <x:v>DEC-00606</x:v>
      </x:c>
      <x:c r="B610" s="207" t="str">
        <x:v>Operation</x:v>
      </x:c>
      <x:c r="C610" s="207" t="str">
        <x:v>OP-DRAFT-00209</x:v>
      </x:c>
      <x:c r="D610" s="207" t="str">
        <x:v>production_order_id; operation_type_id; planned_hours; actual_hours; output_qty; defect_qty; completion_status</x:v>
      </x:c>
      <x:c r="E610" s="207" t="str">
        <x:v>47-20 Ляззат</x:v>
      </x:c>
      <x:c r="F610" s="207" t="str">
        <x:v>Назначить production_order_id, operation_type, дату и факт часов</x:v>
      </x:c>
      <x:c r="G610" s="207" t="str">
        <x:v>Производство</x:v>
      </x:c>
      <x:c r="H610" s="207" t="str">
        <x:v>Высокий</x:v>
      </x:c>
      <x:c r="I610" s="207" t="str">
        <x:v>Загрузка; производительность; фактическая cost</x:v>
      </x:c>
      <x:c r="J610" s="207" t="str">
        <x:v>Планирование BI22</x:v>
      </x:c>
      <x:c r="K610" s="207" t="str"/>
      <x:c r="L610" s="207" t="str"/>
      <x:c r="M610" s="207" t="str">
        <x:v>Не рассмотрено</x:v>
      </x:c>
      <x:c r="N610" s="207" t="str"/>
      <x:c r="O610" s="207" t="str">
        <x:v>17</x:v>
      </x:c>
      <x:c r="P610" s="207" t="n">
        <x:v>3</x:v>
      </x:c>
      <x:c r="Q610" s="208" t="str">
        <x:v>Wave 2 (31–60 дней)</x:v>
      </x:c>
    </x:row>
    <x:row r="611">
      <x:c r="A611" s="206" t="str">
        <x:v>DEC-00607</x:v>
      </x:c>
      <x:c r="B611" s="207" t="str">
        <x:v>Operation</x:v>
      </x:c>
      <x:c r="C611" s="207" t="str">
        <x:v>OP-DRAFT-00220</x:v>
      </x:c>
      <x:c r="D611" s="207" t="str">
        <x:v>production_order_id; operation_type_id; planned_hours; actual_hours; output_qty; defect_qty; completion_status</x:v>
      </x:c>
      <x:c r="E611" s="207" t="str">
        <x:v>47-16 Казьмина</x:v>
      </x:c>
      <x:c r="F611" s="207" t="str">
        <x:v>Назначить production_order_id, operation_type, дату и факт часов</x:v>
      </x:c>
      <x:c r="G611" s="207" t="str">
        <x:v>Производство</x:v>
      </x:c>
      <x:c r="H611" s="207" t="str">
        <x:v>Высокий</x:v>
      </x:c>
      <x:c r="I611" s="207" t="str">
        <x:v>Загрузка; производительность; фактическая cost</x:v>
      </x:c>
      <x:c r="J611" s="207" t="str">
        <x:v>Планирование DB22</x:v>
      </x:c>
      <x:c r="K611" s="207" t="str"/>
      <x:c r="L611" s="207" t="str"/>
      <x:c r="M611" s="207" t="str">
        <x:v>Не рассмотрено</x:v>
      </x:c>
      <x:c r="N611" s="207" t="str"/>
      <x:c r="O611" s="207" t="str">
        <x:v>17</x:v>
      </x:c>
      <x:c r="P611" s="207" t="n">
        <x:v>3</x:v>
      </x:c>
      <x:c r="Q611" s="208" t="str">
        <x:v>Wave 2 (31–60 дней)</x:v>
      </x:c>
    </x:row>
    <x:row r="612">
      <x:c r="A612" s="206" t="str">
        <x:v>DEC-00608</x:v>
      </x:c>
      <x:c r="B612" s="207" t="str">
        <x:v>Operation</x:v>
      </x:c>
      <x:c r="C612" s="207" t="str">
        <x:v>OP-DRAFT-00221</x:v>
      </x:c>
      <x:c r="D612" s="207" t="str">
        <x:v>production_order_id; operation_type_id; planned_hours; actual_hours; output_qty; defect_qty; completion_status</x:v>
      </x:c>
      <x:c r="E612" s="207" t="str">
        <x:v>47-16 Казьмина</x:v>
      </x:c>
      <x:c r="F612" s="207" t="str">
        <x:v>Назначить production_order_id, operation_type, дату и факт часов</x:v>
      </x:c>
      <x:c r="G612" s="207" t="str">
        <x:v>Производство</x:v>
      </x:c>
      <x:c r="H612" s="207" t="str">
        <x:v>Высокий</x:v>
      </x:c>
      <x:c r="I612" s="207" t="str">
        <x:v>Загрузка; производительность; фактическая cost</x:v>
      </x:c>
      <x:c r="J612" s="207" t="str">
        <x:v>Планирование DC22</x:v>
      </x:c>
      <x:c r="K612" s="207" t="str"/>
      <x:c r="L612" s="207" t="str"/>
      <x:c r="M612" s="207" t="str">
        <x:v>Не рассмотрено</x:v>
      </x:c>
      <x:c r="N612" s="207" t="str"/>
      <x:c r="O612" s="207" t="str">
        <x:v>17</x:v>
      </x:c>
      <x:c r="P612" s="207" t="n">
        <x:v>3</x:v>
      </x:c>
      <x:c r="Q612" s="208" t="str">
        <x:v>Wave 2 (31–60 дней)</x:v>
      </x:c>
    </x:row>
    <x:row r="613">
      <x:c r="A613" s="206" t="str">
        <x:v>DEC-00609</x:v>
      </x:c>
      <x:c r="B613" s="207" t="str">
        <x:v>Operation</x:v>
      </x:c>
      <x:c r="C613" s="207" t="str">
        <x:v>OP-DRAFT-00222</x:v>
      </x:c>
      <x:c r="D613" s="207" t="str">
        <x:v>production_order_id; operation_type_id; planned_hours; actual_hours; output_qty; defect_qty; completion_status</x:v>
      </x:c>
      <x:c r="E613" s="207" t="str">
        <x:v>47-16 Казьмина</x:v>
      </x:c>
      <x:c r="F613" s="207" t="str">
        <x:v>Назначить production_order_id, operation_type, дату и факт часов</x:v>
      </x:c>
      <x:c r="G613" s="207" t="str">
        <x:v>Производство</x:v>
      </x:c>
      <x:c r="H613" s="207" t="str">
        <x:v>Высокий</x:v>
      </x:c>
      <x:c r="I613" s="207" t="str">
        <x:v>Загрузка; производительность; фактическая cost</x:v>
      </x:c>
      <x:c r="J613" s="207" t="str">
        <x:v>Планирование DD22</x:v>
      </x:c>
      <x:c r="K613" s="207" t="str"/>
      <x:c r="L613" s="207" t="str"/>
      <x:c r="M613" s="207" t="str">
        <x:v>Не рассмотрено</x:v>
      </x:c>
      <x:c r="N613" s="207" t="str"/>
      <x:c r="O613" s="207" t="str">
        <x:v>17</x:v>
      </x:c>
      <x:c r="P613" s="207" t="n">
        <x:v>3</x:v>
      </x:c>
      <x:c r="Q613" s="208" t="str">
        <x:v>Wave 2 (31–60 дней)</x:v>
      </x:c>
    </x:row>
    <x:row r="614">
      <x:c r="A614" s="206" t="str">
        <x:v>DEC-00610</x:v>
      </x:c>
      <x:c r="B614" s="207" t="str">
        <x:v>Operation</x:v>
      </x:c>
      <x:c r="C614" s="207" t="str">
        <x:v>OP-DRAFT-00223</x:v>
      </x:c>
      <x:c r="D614" s="207" t="str">
        <x:v>production_order_id; operation_type_id; planned_hours; actual_hours; output_qty; defect_qty; completion_status</x:v>
      </x:c>
      <x:c r="E614" s="207" t="str">
        <x:v>47-16 Казьмина</x:v>
      </x:c>
      <x:c r="F614" s="207" t="str">
        <x:v>Назначить production_order_id, operation_type, дату и факт часов</x:v>
      </x:c>
      <x:c r="G614" s="207" t="str">
        <x:v>Производство</x:v>
      </x:c>
      <x:c r="H614" s="207" t="str">
        <x:v>Высокий</x:v>
      </x:c>
      <x:c r="I614" s="207" t="str">
        <x:v>Загрузка; производительность; фактическая cost</x:v>
      </x:c>
      <x:c r="J614" s="207" t="str">
        <x:v>Планирование DE22</x:v>
      </x:c>
      <x:c r="K614" s="207" t="str"/>
      <x:c r="L614" s="207" t="str"/>
      <x:c r="M614" s="207" t="str">
        <x:v>Не рассмотрено</x:v>
      </x:c>
      <x:c r="N614" s="207" t="str"/>
      <x:c r="O614" s="207" t="str">
        <x:v>17</x:v>
      </x:c>
      <x:c r="P614" s="207" t="n">
        <x:v>3</x:v>
      </x:c>
      <x:c r="Q614" s="208" t="str">
        <x:v>Wave 2 (31–60 дней)</x:v>
      </x:c>
    </x:row>
    <x:row r="615">
      <x:c r="A615" s="206" t="str">
        <x:v>DEC-00611</x:v>
      </x:c>
      <x:c r="B615" s="207" t="str">
        <x:v>Operation</x:v>
      </x:c>
      <x:c r="C615" s="207" t="str">
        <x:v>OP-DRAFT-00224</x:v>
      </x:c>
      <x:c r="D615" s="207" t="str">
        <x:v>production_order_id; operation_type_id; planned_hours; actual_hours; output_qty; defect_qty; completion_status</x:v>
      </x:c>
      <x:c r="E615" s="207" t="str">
        <x:v>47-16 Казьмина</x:v>
      </x:c>
      <x:c r="F615" s="207" t="str">
        <x:v>Назначить production_order_id, operation_type, дату и факт часов</x:v>
      </x:c>
      <x:c r="G615" s="207" t="str">
        <x:v>Производство</x:v>
      </x:c>
      <x:c r="H615" s="207" t="str">
        <x:v>Высокий</x:v>
      </x:c>
      <x:c r="I615" s="207" t="str">
        <x:v>Загрузка; производительность; фактическая cost</x:v>
      </x:c>
      <x:c r="J615" s="207" t="str">
        <x:v>Планирование DF22</x:v>
      </x:c>
      <x:c r="K615" s="207" t="str"/>
      <x:c r="L615" s="207" t="str"/>
      <x:c r="M615" s="207" t="str">
        <x:v>Не рассмотрено</x:v>
      </x:c>
      <x:c r="N615" s="207" t="str"/>
      <x:c r="O615" s="207" t="str">
        <x:v>17</x:v>
      </x:c>
      <x:c r="P615" s="207" t="n">
        <x:v>3</x:v>
      </x:c>
      <x:c r="Q615" s="208" t="str">
        <x:v>Wave 2 (31–60 дней)</x:v>
      </x:c>
    </x:row>
    <x:row r="616">
      <x:c r="A616" s="206" t="str">
        <x:v>DEC-00612</x:v>
      </x:c>
      <x:c r="B616" s="207" t="str">
        <x:v>Operation</x:v>
      </x:c>
      <x:c r="C616" s="207" t="str">
        <x:v>OP-DRAFT-00225</x:v>
      </x:c>
      <x:c r="D616" s="207" t="str">
        <x:v>production_order_id; operation_type_id; planned_hours; actual_hours; output_qty; defect_qty; completion_status</x:v>
      </x:c>
      <x:c r="E616" s="207" t="str">
        <x:v>47-16 Казьмина</x:v>
      </x:c>
      <x:c r="F616" s="207" t="str">
        <x:v>Назначить production_order_id, operation_type, дату и факт часов</x:v>
      </x:c>
      <x:c r="G616" s="207" t="str">
        <x:v>Производство</x:v>
      </x:c>
      <x:c r="H616" s="207" t="str">
        <x:v>Высокий</x:v>
      </x:c>
      <x:c r="I616" s="207" t="str">
        <x:v>Загрузка; производительность; фактическая cost</x:v>
      </x:c>
      <x:c r="J616" s="207" t="str">
        <x:v>Планирование DI22</x:v>
      </x:c>
      <x:c r="K616" s="207" t="str"/>
      <x:c r="L616" s="207" t="str"/>
      <x:c r="M616" s="207" t="str">
        <x:v>Не рассмотрено</x:v>
      </x:c>
      <x:c r="N616" s="207" t="str"/>
      <x:c r="O616" s="207" t="str">
        <x:v>17</x:v>
      </x:c>
      <x:c r="P616" s="207" t="n">
        <x:v>3</x:v>
      </x:c>
      <x:c r="Q616" s="208" t="str">
        <x:v>Wave 2 (31–60 дней)</x:v>
      </x:c>
    </x:row>
    <x:row r="617">
      <x:c r="A617" s="206" t="str">
        <x:v>DEC-00613</x:v>
      </x:c>
      <x:c r="B617" s="207" t="str">
        <x:v>Operation</x:v>
      </x:c>
      <x:c r="C617" s="207" t="str">
        <x:v>OP-DRAFT-00226</x:v>
      </x:c>
      <x:c r="D617" s="207" t="str">
        <x:v>production_order_id; operation_type_id; planned_hours; actual_hours; output_qty; defect_qty; completion_status</x:v>
      </x:c>
      <x:c r="E617" s="207" t="str">
        <x:v>47-16 Казьмина</x:v>
      </x:c>
      <x:c r="F617" s="207" t="str">
        <x:v>Назначить production_order_id, operation_type, дату и факт часов</x:v>
      </x:c>
      <x:c r="G617" s="207" t="str">
        <x:v>Производство</x:v>
      </x:c>
      <x:c r="H617" s="207" t="str">
        <x:v>Высокий</x:v>
      </x:c>
      <x:c r="I617" s="207" t="str">
        <x:v>Загрузка; производительность; фактическая cost</x:v>
      </x:c>
      <x:c r="J617" s="207" t="str">
        <x:v>Планирование DJ22</x:v>
      </x:c>
      <x:c r="K617" s="207" t="str"/>
      <x:c r="L617" s="207" t="str"/>
      <x:c r="M617" s="207" t="str">
        <x:v>Не рассмотрено</x:v>
      </x:c>
      <x:c r="N617" s="207" t="str"/>
      <x:c r="O617" s="207" t="str">
        <x:v>17</x:v>
      </x:c>
      <x:c r="P617" s="207" t="n">
        <x:v>3</x:v>
      </x:c>
      <x:c r="Q617" s="208" t="str">
        <x:v>Wave 2 (31–60 дней)</x:v>
      </x:c>
    </x:row>
    <x:row r="618">
      <x:c r="A618" s="206" t="str">
        <x:v>DEC-00614</x:v>
      </x:c>
      <x:c r="B618" s="207" t="str">
        <x:v>Operation</x:v>
      </x:c>
      <x:c r="C618" s="207" t="str">
        <x:v>OP-DRAFT-00227</x:v>
      </x:c>
      <x:c r="D618" s="207" t="str">
        <x:v>production_order_id; operation_type_id; planned_hours; actual_hours; output_qty; defect_qty; completion_status</x:v>
      </x:c>
      <x:c r="E618" s="207" t="str">
        <x:v>47-16 Казьмина</x:v>
      </x:c>
      <x:c r="F618" s="207" t="str">
        <x:v>Назначить production_order_id, operation_type, дату и факт часов</x:v>
      </x:c>
      <x:c r="G618" s="207" t="str">
        <x:v>Производство</x:v>
      </x:c>
      <x:c r="H618" s="207" t="str">
        <x:v>Высокий</x:v>
      </x:c>
      <x:c r="I618" s="207" t="str">
        <x:v>Загрузка; производительность; фактическая cost</x:v>
      </x:c>
      <x:c r="J618" s="207" t="str">
        <x:v>Планирование DK22</x:v>
      </x:c>
      <x:c r="K618" s="207" t="str"/>
      <x:c r="L618" s="207" t="str"/>
      <x:c r="M618" s="207" t="str">
        <x:v>Не рассмотрено</x:v>
      </x:c>
      <x:c r="N618" s="207" t="str"/>
      <x:c r="O618" s="207" t="str">
        <x:v>17</x:v>
      </x:c>
      <x:c r="P618" s="207" t="n">
        <x:v>3</x:v>
      </x:c>
      <x:c r="Q618" s="208" t="str">
        <x:v>Wave 2 (31–60 дней)</x:v>
      </x:c>
    </x:row>
    <x:row r="619">
      <x:c r="A619" s="206" t="str">
        <x:v>DEC-00615</x:v>
      </x:c>
      <x:c r="B619" s="207" t="str">
        <x:v>Operation</x:v>
      </x:c>
      <x:c r="C619" s="207" t="str">
        <x:v>OP-DRAFT-00228</x:v>
      </x:c>
      <x:c r="D619" s="207" t="str">
        <x:v>production_order_id; operation_type_id; planned_hours; actual_hours; output_qty; defect_qty; completion_status</x:v>
      </x:c>
      <x:c r="E619" s="207" t="str">
        <x:v>47-16 Казьмина</x:v>
      </x:c>
      <x:c r="F619" s="207" t="str">
        <x:v>Назначить production_order_id, operation_type, дату и факт часов</x:v>
      </x:c>
      <x:c r="G619" s="207" t="str">
        <x:v>Производство</x:v>
      </x:c>
      <x:c r="H619" s="207" t="str">
        <x:v>Высокий</x:v>
      </x:c>
      <x:c r="I619" s="207" t="str">
        <x:v>Загрузка; производительность; фактическая cost</x:v>
      </x:c>
      <x:c r="J619" s="207" t="str">
        <x:v>Планирование DL22</x:v>
      </x:c>
      <x:c r="K619" s="207" t="str"/>
      <x:c r="L619" s="207" t="str"/>
      <x:c r="M619" s="207" t="str">
        <x:v>Не рассмотрено</x:v>
      </x:c>
      <x:c r="N619" s="207" t="str"/>
      <x:c r="O619" s="207" t="str">
        <x:v>17</x:v>
      </x:c>
      <x:c r="P619" s="207" t="n">
        <x:v>3</x:v>
      </x:c>
      <x:c r="Q619" s="208" t="str">
        <x:v>Wave 2 (31–60 дней)</x:v>
      </x:c>
    </x:row>
    <x:row r="620">
      <x:c r="A620" s="206" t="str">
        <x:v>DEC-00616</x:v>
      </x:c>
      <x:c r="B620" s="207" t="str">
        <x:v>Operation</x:v>
      </x:c>
      <x:c r="C620" s="207" t="str">
        <x:v>OP-DRAFT-00229</x:v>
      </x:c>
      <x:c r="D620" s="207" t="str">
        <x:v>production_order_id; operation_type_id; planned_hours; actual_hours; output_qty; defect_qty; completion_status</x:v>
      </x:c>
      <x:c r="E620" s="207" t="str">
        <x:v>47-16 Казьмина</x:v>
      </x:c>
      <x:c r="F620" s="207" t="str">
        <x:v>Назначить production_order_id, operation_type, дату и факт часов</x:v>
      </x:c>
      <x:c r="G620" s="207" t="str">
        <x:v>Производство</x:v>
      </x:c>
      <x:c r="H620" s="207" t="str">
        <x:v>Высокий</x:v>
      </x:c>
      <x:c r="I620" s="207" t="str">
        <x:v>Загрузка; производительность; фактическая cost</x:v>
      </x:c>
      <x:c r="J620" s="207" t="str">
        <x:v>Планирование DM22</x:v>
      </x:c>
      <x:c r="K620" s="207" t="str"/>
      <x:c r="L620" s="207" t="str"/>
      <x:c r="M620" s="207" t="str">
        <x:v>Не рассмотрено</x:v>
      </x:c>
      <x:c r="N620" s="207" t="str"/>
      <x:c r="O620" s="207" t="str">
        <x:v>17</x:v>
      </x:c>
      <x:c r="P620" s="207" t="n">
        <x:v>3</x:v>
      </x:c>
      <x:c r="Q620" s="208" t="str">
        <x:v>Wave 2 (31–60 дней)</x:v>
      </x:c>
    </x:row>
    <x:row r="621">
      <x:c r="A621" s="206" t="str">
        <x:v>DEC-00617</x:v>
      </x:c>
      <x:c r="B621" s="207" t="str">
        <x:v>Operation</x:v>
      </x:c>
      <x:c r="C621" s="207" t="str">
        <x:v>OP-DRAFT-00230</x:v>
      </x:c>
      <x:c r="D621" s="207" t="str">
        <x:v>production_order_id; operation_type_id; planned_hours; actual_hours; output_qty; defect_qty; completion_status</x:v>
      </x:c>
      <x:c r="E621" s="207" t="str">
        <x:v>47-16 Казьмина</x:v>
      </x:c>
      <x:c r="F621" s="207" t="str">
        <x:v>Назначить production_order_id, operation_type, дату и факт часов</x:v>
      </x:c>
      <x:c r="G621" s="207" t="str">
        <x:v>Производство</x:v>
      </x:c>
      <x:c r="H621" s="207" t="str">
        <x:v>Высокий</x:v>
      </x:c>
      <x:c r="I621" s="207" t="str">
        <x:v>Загрузка; производительность; фактическая cost</x:v>
      </x:c>
      <x:c r="J621" s="207" t="str">
        <x:v>Планирование DP22</x:v>
      </x:c>
      <x:c r="K621" s="207" t="str"/>
      <x:c r="L621" s="207" t="str"/>
      <x:c r="M621" s="207" t="str">
        <x:v>Не рассмотрено</x:v>
      </x:c>
      <x:c r="N621" s="207" t="str"/>
      <x:c r="O621" s="207" t="str">
        <x:v>17</x:v>
      </x:c>
      <x:c r="P621" s="207" t="n">
        <x:v>3</x:v>
      </x:c>
      <x:c r="Q621" s="208" t="str">
        <x:v>Wave 2 (31–60 дней)</x:v>
      </x:c>
    </x:row>
    <x:row r="622">
      <x:c r="A622" s="206" t="str">
        <x:v>DEC-00618</x:v>
      </x:c>
      <x:c r="B622" s="207" t="str">
        <x:v>Operation</x:v>
      </x:c>
      <x:c r="C622" s="207" t="str">
        <x:v>OP-DRAFT-00231</x:v>
      </x:c>
      <x:c r="D622" s="207" t="str">
        <x:v>production_order_id; operation_type_id; planned_hours; actual_hours; output_qty; defect_qty; completion_status</x:v>
      </x:c>
      <x:c r="E622" s="207" t="str">
        <x:v>47-16 Казьмина</x:v>
      </x:c>
      <x:c r="F622" s="207" t="str">
        <x:v>Назначить production_order_id, operation_type, дату и факт часов</x:v>
      </x:c>
      <x:c r="G622" s="207" t="str">
        <x:v>Производство</x:v>
      </x:c>
      <x:c r="H622" s="207" t="str">
        <x:v>Высокий</x:v>
      </x:c>
      <x:c r="I622" s="207" t="str">
        <x:v>Загрузка; производительность; фактическая cost</x:v>
      </x:c>
      <x:c r="J622" s="207" t="str">
        <x:v>Планирование DQ22</x:v>
      </x:c>
      <x:c r="K622" s="207" t="str"/>
      <x:c r="L622" s="207" t="str"/>
      <x:c r="M622" s="207" t="str">
        <x:v>Не рассмотрено</x:v>
      </x:c>
      <x:c r="N622" s="207" t="str"/>
      <x:c r="O622" s="207" t="str">
        <x:v>17</x:v>
      </x:c>
      <x:c r="P622" s="207" t="n">
        <x:v>3</x:v>
      </x:c>
      <x:c r="Q622" s="208" t="str">
        <x:v>Wave 2 (31–60 дней)</x:v>
      </x:c>
    </x:row>
    <x:row r="623">
      <x:c r="A623" s="206" t="str">
        <x:v>DEC-00619</x:v>
      </x:c>
      <x:c r="B623" s="207" t="str">
        <x:v>Operation</x:v>
      </x:c>
      <x:c r="C623" s="207" t="str">
        <x:v>OP-DRAFT-00232</x:v>
      </x:c>
      <x:c r="D623" s="207" t="str">
        <x:v>production_order_id; operation_type_id; planned_hours; actual_hours; output_qty; defect_qty; completion_status</x:v>
      </x:c>
      <x:c r="E623" s="207" t="str">
        <x:v>47-16 Казьмина</x:v>
      </x:c>
      <x:c r="F623" s="207" t="str">
        <x:v>Назначить production_order_id, operation_type, дату и факт часов</x:v>
      </x:c>
      <x:c r="G623" s="207" t="str">
        <x:v>Производство</x:v>
      </x:c>
      <x:c r="H623" s="207" t="str">
        <x:v>Высокий</x:v>
      </x:c>
      <x:c r="I623" s="207" t="str">
        <x:v>Загрузка; производительность; фактическая cost</x:v>
      </x:c>
      <x:c r="J623" s="207" t="str">
        <x:v>Планирование DR22</x:v>
      </x:c>
      <x:c r="K623" s="207" t="str"/>
      <x:c r="L623" s="207" t="str"/>
      <x:c r="M623" s="207" t="str">
        <x:v>Не рассмотрено</x:v>
      </x:c>
      <x:c r="N623" s="207" t="str"/>
      <x:c r="O623" s="207" t="str">
        <x:v>17</x:v>
      </x:c>
      <x:c r="P623" s="207" t="n">
        <x:v>3</x:v>
      </x:c>
      <x:c r="Q623" s="208" t="str">
        <x:v>Wave 2 (31–60 дней)</x:v>
      </x:c>
    </x:row>
    <x:row r="624">
      <x:c r="A624" s="206" t="str">
        <x:v>DEC-00620</x:v>
      </x:c>
      <x:c r="B624" s="207" t="str">
        <x:v>Operation</x:v>
      </x:c>
      <x:c r="C624" s="207" t="str">
        <x:v>OP-DRAFT-00233</x:v>
      </x:c>
      <x:c r="D624" s="207" t="str">
        <x:v>production_order_id; operation_type_id; planned_hours; actual_hours; output_qty; defect_qty; completion_status</x:v>
      </x:c>
      <x:c r="E624" s="207" t="str">
        <x:v>47-16 Казьмина</x:v>
      </x:c>
      <x:c r="F624" s="207" t="str">
        <x:v>Назначить production_order_id, operation_type, дату и факт часов</x:v>
      </x:c>
      <x:c r="G624" s="207" t="str">
        <x:v>Производство</x:v>
      </x:c>
      <x:c r="H624" s="207" t="str">
        <x:v>Высокий</x:v>
      </x:c>
      <x:c r="I624" s="207" t="str">
        <x:v>Загрузка; производительность; фактическая cost</x:v>
      </x:c>
      <x:c r="J624" s="207" t="str">
        <x:v>Планирование DS22</x:v>
      </x:c>
      <x:c r="K624" s="207" t="str"/>
      <x:c r="L624" s="207" t="str"/>
      <x:c r="M624" s="207" t="str">
        <x:v>Не рассмотрено</x:v>
      </x:c>
      <x:c r="N624" s="207" t="str"/>
      <x:c r="O624" s="207" t="str">
        <x:v>17</x:v>
      </x:c>
      <x:c r="P624" s="207" t="n">
        <x:v>3</x:v>
      </x:c>
      <x:c r="Q624" s="208" t="str">
        <x:v>Wave 2 (31–60 дней)</x:v>
      </x:c>
    </x:row>
    <x:row r="625">
      <x:c r="A625" s="206" t="str">
        <x:v>DEC-00621</x:v>
      </x:c>
      <x:c r="B625" s="207" t="str">
        <x:v>Operation</x:v>
      </x:c>
      <x:c r="C625" s="207" t="str">
        <x:v>OP-DRAFT-00234</x:v>
      </x:c>
      <x:c r="D625" s="207" t="str">
        <x:v>production_order_id; operation_type_id; planned_hours; actual_hours; output_qty; defect_qty; completion_status</x:v>
      </x:c>
      <x:c r="E625" s="207" t="str">
        <x:v>47-16 Казьмина</x:v>
      </x:c>
      <x:c r="F625" s="207" t="str">
        <x:v>Назначить production_order_id, operation_type, дату и факт часов</x:v>
      </x:c>
      <x:c r="G625" s="207" t="str">
        <x:v>Производство</x:v>
      </x:c>
      <x:c r="H625" s="207" t="str">
        <x:v>Высокий</x:v>
      </x:c>
      <x:c r="I625" s="207" t="str">
        <x:v>Загрузка; производительность; фактическая cost</x:v>
      </x:c>
      <x:c r="J625" s="207" t="str">
        <x:v>Планирование DT22</x:v>
      </x:c>
      <x:c r="K625" s="207" t="str"/>
      <x:c r="L625" s="207" t="str"/>
      <x:c r="M625" s="207" t="str">
        <x:v>Не рассмотрено</x:v>
      </x:c>
      <x:c r="N625" s="207" t="str"/>
      <x:c r="O625" s="207" t="str">
        <x:v>17</x:v>
      </x:c>
      <x:c r="P625" s="207" t="n">
        <x:v>3</x:v>
      </x:c>
      <x:c r="Q625" s="208" t="str">
        <x:v>Wave 2 (31–60 дней)</x:v>
      </x:c>
    </x:row>
    <x:row r="626">
      <x:c r="A626" s="206" t="str">
        <x:v>DEC-00622</x:v>
      </x:c>
      <x:c r="B626" s="207" t="str">
        <x:v>Operation</x:v>
      </x:c>
      <x:c r="C626" s="207" t="str">
        <x:v>OP-DRAFT-00235</x:v>
      </x:c>
      <x:c r="D626" s="207" t="str">
        <x:v>production_order_id; operation_type_id; planned_hours; actual_hours; output_qty; defect_qty; completion_status</x:v>
      </x:c>
      <x:c r="E626" s="207" t="str">
        <x:v>47-16 Казьмина</x:v>
      </x:c>
      <x:c r="F626" s="207" t="str">
        <x:v>Назначить production_order_id, operation_type, дату и факт часов</x:v>
      </x:c>
      <x:c r="G626" s="207" t="str">
        <x:v>Производство</x:v>
      </x:c>
      <x:c r="H626" s="207" t="str">
        <x:v>Высокий</x:v>
      </x:c>
      <x:c r="I626" s="207" t="str">
        <x:v>Загрузка; производительность; фактическая cost</x:v>
      </x:c>
      <x:c r="J626" s="207" t="str">
        <x:v>Планирование DW22</x:v>
      </x:c>
      <x:c r="K626" s="207" t="str"/>
      <x:c r="L626" s="207" t="str"/>
      <x:c r="M626" s="207" t="str">
        <x:v>Не рассмотрено</x:v>
      </x:c>
      <x:c r="N626" s="207" t="str"/>
      <x:c r="O626" s="207" t="str">
        <x:v>17</x:v>
      </x:c>
      <x:c r="P626" s="207" t="n">
        <x:v>3</x:v>
      </x:c>
      <x:c r="Q626" s="208" t="str">
        <x:v>Wave 2 (31–60 дней)</x:v>
      </x:c>
    </x:row>
    <x:row r="627">
      <x:c r="A627" s="206" t="str">
        <x:v>DEC-00623</x:v>
      </x:c>
      <x:c r="B627" s="207" t="str">
        <x:v>Operation</x:v>
      </x:c>
      <x:c r="C627" s="207" t="str">
        <x:v>OP-DRAFT-00236</x:v>
      </x:c>
      <x:c r="D627" s="207" t="str">
        <x:v>production_order_id; operation_type_id; planned_hours; actual_hours; output_qty; defect_qty; completion_status</x:v>
      </x:c>
      <x:c r="E627" s="207" t="str">
        <x:v>47-16 Казьмина</x:v>
      </x:c>
      <x:c r="F627" s="207" t="str">
        <x:v>Назначить production_order_id, operation_type, дату и факт часов</x:v>
      </x:c>
      <x:c r="G627" s="207" t="str">
        <x:v>Производство</x:v>
      </x:c>
      <x:c r="H627" s="207" t="str">
        <x:v>Высокий</x:v>
      </x:c>
      <x:c r="I627" s="207" t="str">
        <x:v>Загрузка; производительность; фактическая cost</x:v>
      </x:c>
      <x:c r="J627" s="207" t="str">
        <x:v>Планирование DX22</x:v>
      </x:c>
      <x:c r="K627" s="207" t="str"/>
      <x:c r="L627" s="207" t="str"/>
      <x:c r="M627" s="207" t="str">
        <x:v>Не рассмотрено</x:v>
      </x:c>
      <x:c r="N627" s="207" t="str"/>
      <x:c r="O627" s="207" t="str">
        <x:v>17</x:v>
      </x:c>
      <x:c r="P627" s="207" t="n">
        <x:v>3</x:v>
      </x:c>
      <x:c r="Q627" s="208" t="str">
        <x:v>Wave 2 (31–60 дней)</x:v>
      </x:c>
    </x:row>
    <x:row r="628">
      <x:c r="A628" s="206" t="str">
        <x:v>DEC-00624</x:v>
      </x:c>
      <x:c r="B628" s="207" t="str">
        <x:v>Operation</x:v>
      </x:c>
      <x:c r="C628" s="207" t="str">
        <x:v>OP-DRAFT-00237</x:v>
      </x:c>
      <x:c r="D628" s="207" t="str">
        <x:v>production_order_id; operation_type_id; planned_hours; actual_hours; output_qty; defect_qty; completion_status</x:v>
      </x:c>
      <x:c r="E628" s="207" t="str">
        <x:v>47-16 Казьмина</x:v>
      </x:c>
      <x:c r="F628" s="207" t="str">
        <x:v>Назначить production_order_id, operation_type, дату и факт часов</x:v>
      </x:c>
      <x:c r="G628" s="207" t="str">
        <x:v>Производство</x:v>
      </x:c>
      <x:c r="H628" s="207" t="str">
        <x:v>Высокий</x:v>
      </x:c>
      <x:c r="I628" s="207" t="str">
        <x:v>Загрузка; производительность; фактическая cost</x:v>
      </x:c>
      <x:c r="J628" s="207" t="str">
        <x:v>Планирование DY22</x:v>
      </x:c>
      <x:c r="K628" s="207" t="str"/>
      <x:c r="L628" s="207" t="str"/>
      <x:c r="M628" s="207" t="str">
        <x:v>Не рассмотрено</x:v>
      </x:c>
      <x:c r="N628" s="207" t="str"/>
      <x:c r="O628" s="207" t="str">
        <x:v>17</x:v>
      </x:c>
      <x:c r="P628" s="207" t="n">
        <x:v>3</x:v>
      </x:c>
      <x:c r="Q628" s="208" t="str">
        <x:v>Wave 2 (31–60 дней)</x:v>
      </x:c>
    </x:row>
    <x:row r="629">
      <x:c r="A629" s="206" t="str">
        <x:v>DEC-00625</x:v>
      </x:c>
      <x:c r="B629" s="207" t="str">
        <x:v>Operation</x:v>
      </x:c>
      <x:c r="C629" s="207" t="str">
        <x:v>OP-DRAFT-00238</x:v>
      </x:c>
      <x:c r="D629" s="207" t="str">
        <x:v>production_order_id; operation_type_id; planned_hours; actual_hours; output_qty; defect_qty; completion_status</x:v>
      </x:c>
      <x:c r="E629" s="207" t="str">
        <x:v>47-16 Казьмина</x:v>
      </x:c>
      <x:c r="F629" s="207" t="str">
        <x:v>Назначить production_order_id, operation_type, дату и факт часов</x:v>
      </x:c>
      <x:c r="G629" s="207" t="str">
        <x:v>Производство</x:v>
      </x:c>
      <x:c r="H629" s="207" t="str">
        <x:v>Высокий</x:v>
      </x:c>
      <x:c r="I629" s="207" t="str">
        <x:v>Загрузка; производительность; фактическая cost</x:v>
      </x:c>
      <x:c r="J629" s="207" t="str">
        <x:v>Планирование DZ22</x:v>
      </x:c>
      <x:c r="K629" s="207" t="str"/>
      <x:c r="L629" s="207" t="str"/>
      <x:c r="M629" s="207" t="str">
        <x:v>Не рассмотрено</x:v>
      </x:c>
      <x:c r="N629" s="207" t="str"/>
      <x:c r="O629" s="207" t="str">
        <x:v>17</x:v>
      </x:c>
      <x:c r="P629" s="207" t="n">
        <x:v>3</x:v>
      </x:c>
      <x:c r="Q629" s="208" t="str">
        <x:v>Wave 2 (31–60 дней)</x:v>
      </x:c>
    </x:row>
    <x:row r="630">
      <x:c r="A630" s="206" t="str">
        <x:v>DEC-00626</x:v>
      </x:c>
      <x:c r="B630" s="207" t="str">
        <x:v>Operation</x:v>
      </x:c>
      <x:c r="C630" s="207" t="str">
        <x:v>OP-DRAFT-00239</x:v>
      </x:c>
      <x:c r="D630" s="207" t="str">
        <x:v>production_order_id; operation_type_id; planned_hours; actual_hours; output_qty; defect_qty; completion_status</x:v>
      </x:c>
      <x:c r="E630" s="207" t="str">
        <x:v>47-16 Казьмина</x:v>
      </x:c>
      <x:c r="F630" s="207" t="str">
        <x:v>Назначить production_order_id, operation_type, дату и факт часов</x:v>
      </x:c>
      <x:c r="G630" s="207" t="str">
        <x:v>Производство</x:v>
      </x:c>
      <x:c r="H630" s="207" t="str">
        <x:v>Высокий</x:v>
      </x:c>
      <x:c r="I630" s="207" t="str">
        <x:v>Загрузка; производительность; фактическая cost</x:v>
      </x:c>
      <x:c r="J630" s="207" t="str">
        <x:v>Планирование EA22</x:v>
      </x:c>
      <x:c r="K630" s="207" t="str"/>
      <x:c r="L630" s="207" t="str"/>
      <x:c r="M630" s="207" t="str">
        <x:v>Не рассмотрено</x:v>
      </x:c>
      <x:c r="N630" s="207" t="str"/>
      <x:c r="O630" s="207" t="str">
        <x:v>17</x:v>
      </x:c>
      <x:c r="P630" s="207" t="n">
        <x:v>3</x:v>
      </x:c>
      <x:c r="Q630" s="208" t="str">
        <x:v>Wave 2 (31–60 дней)</x:v>
      </x:c>
    </x:row>
    <x:row r="631">
      <x:c r="A631" s="206" t="str">
        <x:v>DEC-00627</x:v>
      </x:c>
      <x:c r="B631" s="207" t="str">
        <x:v>Operation</x:v>
      </x:c>
      <x:c r="C631" s="207" t="str">
        <x:v>OP-DRAFT-00242</x:v>
      </x:c>
      <x:c r="D631" s="207" t="str">
        <x:v>model_id/canonical_sku; production_order_id; operation_type_id; planned_hours; actual_hours; output_qty; defect_qty; completion_status</x:v>
      </x:c>
      <x:c r="E631" s="207" t="str">
        <x:v>ПРИОСТАНОВЛЕНО</x:v>
      </x:c>
      <x:c r="F631" s="207" t="str">
        <x:v>Назначить production_order_id, operation_type, дату и факт часов</x:v>
      </x:c>
      <x:c r="G631" s="207" t="str">
        <x:v>Производство</x:v>
      </x:c>
      <x:c r="H631" s="207" t="str">
        <x:v>Высокий</x:v>
      </x:c>
      <x:c r="I631" s="207" t="str">
        <x:v>Загрузка; производительность; фактическая cost</x:v>
      </x:c>
      <x:c r="J631" s="207" t="str">
        <x:v>Планирование H23</x:v>
      </x:c>
      <x:c r="K631" s="207" t="str"/>
      <x:c r="L631" s="207" t="str"/>
      <x:c r="M631" s="207" t="str">
        <x:v>Не рассмотрено</x:v>
      </x:c>
      <x:c r="N631" s="207" t="str"/>
      <x:c r="O631" s="207" t="str">
        <x:v>17</x:v>
      </x:c>
      <x:c r="P631" s="207" t="n">
        <x:v>3</x:v>
      </x:c>
      <x:c r="Q631" s="208" t="str">
        <x:v>Wave 2 (31–60 дней)</x:v>
      </x:c>
    </x:row>
    <x:row r="632">
      <x:c r="A632" s="206" t="str">
        <x:v>DEC-00628</x:v>
      </x:c>
      <x:c r="B632" s="207" t="str">
        <x:v>Operation</x:v>
      </x:c>
      <x:c r="C632" s="207" t="str">
        <x:v>OP-DRAFT-00245</x:v>
      </x:c>
      <x:c r="D632" s="207" t="str">
        <x:v>model_id/canonical_sku; production_order_id; operation_type_id; planned_hours; actual_hours; output_qty; defect_qty; completion_status</x:v>
      </x:c>
      <x:c r="E632" s="207" t="str">
        <x:v>привезла</x:v>
      </x:c>
      <x:c r="F632" s="207" t="str">
        <x:v>Назначить production_order_id, operation_type, дату и факт часов</x:v>
      </x:c>
      <x:c r="G632" s="207" t="str">
        <x:v>Производство</x:v>
      </x:c>
      <x:c r="H632" s="207" t="str">
        <x:v>Высокий</x:v>
      </x:c>
      <x:c r="I632" s="207" t="str">
        <x:v>Загрузка; производительность; фактическая cost</x:v>
      </x:c>
      <x:c r="J632" s="207" t="str">
        <x:v>Планирование P23</x:v>
      </x:c>
      <x:c r="K632" s="207" t="str"/>
      <x:c r="L632" s="207" t="str"/>
      <x:c r="M632" s="207" t="str">
        <x:v>Не рассмотрено</x:v>
      </x:c>
      <x:c r="N632" s="207" t="str"/>
      <x:c r="O632" s="207" t="str">
        <x:v>17</x:v>
      </x:c>
      <x:c r="P632" s="207" t="n">
        <x:v>3</x:v>
      </x:c>
      <x:c r="Q632" s="208" t="str">
        <x:v>Wave 2 (31–60 дней)</x:v>
      </x:c>
    </x:row>
    <x:row r="633">
      <x:c r="A633" s="206" t="str">
        <x:v>DEC-00629</x:v>
      </x:c>
      <x:c r="B633" s="207" t="str">
        <x:v>Operation</x:v>
      </x:c>
      <x:c r="C633" s="207" t="str">
        <x:v>OP-DRAFT-00246</x:v>
      </x:c>
      <x:c r="D633" s="207" t="str">
        <x:v>production_order_id; operation_type_id; planned_hours; actual_hours; output_qty; defect_qty; completion_status</x:v>
      </x:c>
      <x:c r="E633" s="207" t="str">
        <x:v>47-15 Казьмина 75д сд 29.05</x:v>
      </x:c>
      <x:c r="F633" s="207" t="str">
        <x:v>Назначить production_order_id, operation_type, дату и факт часов</x:v>
      </x:c>
      <x:c r="G633" s="207" t="str">
        <x:v>Производство</x:v>
      </x:c>
      <x:c r="H633" s="207" t="str">
        <x:v>Высокий</x:v>
      </x:c>
      <x:c r="I633" s="207" t="str">
        <x:v>Загрузка; производительность; фактическая cost</x:v>
      </x:c>
      <x:c r="J633" s="207" t="str">
        <x:v>Планирование I24</x:v>
      </x:c>
      <x:c r="K633" s="207" t="str"/>
      <x:c r="L633" s="207" t="str"/>
      <x:c r="M633" s="207" t="str">
        <x:v>Не рассмотрено</x:v>
      </x:c>
      <x:c r="N633" s="207" t="str"/>
      <x:c r="O633" s="207" t="str">
        <x:v>17</x:v>
      </x:c>
      <x:c r="P633" s="207" t="n">
        <x:v>3</x:v>
      </x:c>
      <x:c r="Q633" s="208" t="str">
        <x:v>Wave 2 (31–60 дней)</x:v>
      </x:c>
    </x:row>
    <x:row r="634">
      <x:c r="A634" s="206" t="str">
        <x:v>DEC-00630</x:v>
      </x:c>
      <x:c r="B634" s="207" t="str">
        <x:v>Operation</x:v>
      </x:c>
      <x:c r="C634" s="207" t="str">
        <x:v>OP-DRAFT-00247</x:v>
      </x:c>
      <x:c r="D634" s="207" t="str">
        <x:v>model_id/canonical_sku; production_order_id; operation_type_id; planned_hours; actual_hours; output_qty; defect_qty; completion_status</x:v>
      </x:c>
      <x:c r="E634" s="207" t="str">
        <x:v>48я синие пайетки цветы</x:v>
      </x:c>
      <x:c r="F634" s="207" t="str">
        <x:v>Назначить production_order_id, operation_type, дату и факт часов</x:v>
      </x:c>
      <x:c r="G634" s="207" t="str">
        <x:v>Производство</x:v>
      </x:c>
      <x:c r="H634" s="207" t="str">
        <x:v>Высокий</x:v>
      </x:c>
      <x:c r="I634" s="207" t="str">
        <x:v>Загрузка; производительность; фактическая cost</x:v>
      </x:c>
      <x:c r="J634" s="207" t="str">
        <x:v>Планирование J25</x:v>
      </x:c>
      <x:c r="K634" s="207" t="str"/>
      <x:c r="L634" s="207" t="str"/>
      <x:c r="M634" s="207" t="str">
        <x:v>Не рассмотрено</x:v>
      </x:c>
      <x:c r="N634" s="207" t="str"/>
      <x:c r="O634" s="207" t="str">
        <x:v>17</x:v>
      </x:c>
      <x:c r="P634" s="207" t="n">
        <x:v>3</x:v>
      </x:c>
      <x:c r="Q634" s="208" t="str">
        <x:v>Wave 2 (31–60 дней)</x:v>
      </x:c>
    </x:row>
    <x:row r="635">
      <x:c r="A635" s="206" t="str">
        <x:v>DEC-00631</x:v>
      </x:c>
      <x:c r="B635" s="207" t="str">
        <x:v>Operation</x:v>
      </x:c>
      <x:c r="C635" s="207" t="str">
        <x:v>OP-DRAFT-00248</x:v>
      </x:c>
      <x:c r="D635" s="207" t="str">
        <x:v>production_order_id; operation_type_id; planned_hours; actual_hours; output_qty; defect_qty; completion_status</x:v>
      </x:c>
      <x:c r="E635" s="207" t="str">
        <x:v>47-30 Уланова 32д сд 25.05</x:v>
      </x:c>
      <x:c r="F635" s="207" t="str">
        <x:v>Назначить production_order_id, operation_type, дату и факт часов</x:v>
      </x:c>
      <x:c r="G635" s="207" t="str">
        <x:v>Производство</x:v>
      </x:c>
      <x:c r="H635" s="207" t="str">
        <x:v>Высокий</x:v>
      </x:c>
      <x:c r="I635" s="207" t="str">
        <x:v>Загрузка; производительность; фактическая cost</x:v>
      </x:c>
      <x:c r="J635" s="207" t="str">
        <x:v>Планирование C26</x:v>
      </x:c>
      <x:c r="K635" s="207" t="str"/>
      <x:c r="L635" s="207" t="str"/>
      <x:c r="M635" s="207" t="str">
        <x:v>Не рассмотрено</x:v>
      </x:c>
      <x:c r="N635" s="207" t="str"/>
      <x:c r="O635" s="207" t="str">
        <x:v>17</x:v>
      </x:c>
      <x:c r="P635" s="207" t="n">
        <x:v>3</x:v>
      </x:c>
      <x:c r="Q635" s="208" t="str">
        <x:v>Wave 2 (31–60 дней)</x:v>
      </x:c>
    </x:row>
    <x:row r="636">
      <x:c r="A636" s="206" t="str">
        <x:v>DEC-00632</x:v>
      </x:c>
      <x:c r="B636" s="207" t="str">
        <x:v>Operation</x:v>
      </x:c>
      <x:c r="C636" s="207" t="str">
        <x:v>OP-DRAFT-00249</x:v>
      </x:c>
      <x:c r="D636" s="207" t="str">
        <x:v>production_order_id; operation_type_id; planned_hours; actual_hours; output_qty; defect_qty; completion_status</x:v>
      </x:c>
      <x:c r="E636" s="207" t="str">
        <x:v>47-15 Казьмина 75д сд 29.05</x:v>
      </x:c>
      <x:c r="F636" s="207" t="str">
        <x:v>Назначить production_order_id, operation_type, дату и факт часов</x:v>
      </x:c>
      <x:c r="G636" s="207" t="str">
        <x:v>Производство</x:v>
      </x:c>
      <x:c r="H636" s="207" t="str">
        <x:v>Высокий</x:v>
      </x:c>
      <x:c r="I636" s="207" t="str">
        <x:v>Загрузка; производительность; фактическая cost</x:v>
      </x:c>
      <x:c r="J636" s="207" t="str">
        <x:v>Планирование I26</x:v>
      </x:c>
      <x:c r="K636" s="207" t="str"/>
      <x:c r="L636" s="207" t="str"/>
      <x:c r="M636" s="207" t="str">
        <x:v>Не рассмотрено</x:v>
      </x:c>
      <x:c r="N636" s="207" t="str"/>
      <x:c r="O636" s="207" t="str">
        <x:v>17</x:v>
      </x:c>
      <x:c r="P636" s="207" t="n">
        <x:v>3</x:v>
      </x:c>
      <x:c r="Q636" s="208" t="str">
        <x:v>Wave 2 (31–60 дней)</x:v>
      </x:c>
    </x:row>
    <x:row r="637">
      <x:c r="A637" s="206" t="str">
        <x:v>DEC-00633</x:v>
      </x:c>
      <x:c r="B637" s="207" t="str">
        <x:v>Operation</x:v>
      </x:c>
      <x:c r="C637" s="207" t="str">
        <x:v>OP-DRAFT-00250</x:v>
      </x:c>
      <x:c r="D637" s="207" t="str">
        <x:v>production_order_id; operation_type_id; planned_hours; actual_hours; output_qty; defect_qty; completion_status</x:v>
      </x:c>
      <x:c r="E637" s="207" t="str">
        <x:v>47-30 Уланова</x:v>
      </x:c>
      <x:c r="F637" s="207" t="str">
        <x:v>Назначить production_order_id, operation_type, дату и факт часов</x:v>
      </x:c>
      <x:c r="G637" s="207" t="str">
        <x:v>Производство</x:v>
      </x:c>
      <x:c r="H637" s="207" t="str">
        <x:v>Высокий</x:v>
      </x:c>
      <x:c r="I637" s="207" t="str">
        <x:v>Загрузка; производительность; фактическая cost</x:v>
      </x:c>
      <x:c r="J637" s="207" t="str">
        <x:v>Планирование L26</x:v>
      </x:c>
      <x:c r="K637" s="207" t="str"/>
      <x:c r="L637" s="207" t="str"/>
      <x:c r="M637" s="207" t="str">
        <x:v>Не рассмотрено</x:v>
      </x:c>
      <x:c r="N637" s="207" t="str"/>
      <x:c r="O637" s="207" t="str">
        <x:v>17</x:v>
      </x:c>
      <x:c r="P637" s="207" t="n">
        <x:v>3</x:v>
      </x:c>
      <x:c r="Q637" s="208" t="str">
        <x:v>Wave 2 (31–60 дней)</x:v>
      </x:c>
    </x:row>
    <x:row r="638">
      <x:c r="A638" s="206" t="str">
        <x:v>DEC-00634</x:v>
      </x:c>
      <x:c r="B638" s="207" t="str">
        <x:v>Operation</x:v>
      </x:c>
      <x:c r="C638" s="207" t="str">
        <x:v>OP-DRAFT-00251</x:v>
      </x:c>
      <x:c r="D638" s="207" t="str">
        <x:v>production_order_id; operation_type_id; planned_hours; actual_hours; output_qty; defect_qty; completion_status</x:v>
      </x:c>
      <x:c r="E638" s="207" t="str">
        <x:v>48-28 маки</x:v>
      </x:c>
      <x:c r="F638" s="207" t="str">
        <x:v>Назначить production_order_id, operation_type, дату и факт часов</x:v>
      </x:c>
      <x:c r="G638" s="207" t="str">
        <x:v>Производство</x:v>
      </x:c>
      <x:c r="H638" s="207" t="str">
        <x:v>Высокий</x:v>
      </x:c>
      <x:c r="I638" s="207" t="str">
        <x:v>Загрузка; производительность; фактическая cost</x:v>
      </x:c>
      <x:c r="J638" s="207" t="str">
        <x:v>Планирование O26</x:v>
      </x:c>
      <x:c r="K638" s="207" t="str"/>
      <x:c r="L638" s="207" t="str"/>
      <x:c r="M638" s="207" t="str">
        <x:v>Не рассмотрено</x:v>
      </x:c>
      <x:c r="N638" s="207" t="str"/>
      <x:c r="O638" s="207" t="str">
        <x:v>17</x:v>
      </x:c>
      <x:c r="P638" s="207" t="n">
        <x:v>3</x:v>
      </x:c>
      <x:c r="Q638" s="208" t="str">
        <x:v>Wave 2 (31–60 дней)</x:v>
      </x:c>
    </x:row>
    <x:row r="639">
      <x:c r="A639" s="206" t="str">
        <x:v>DEC-00635</x:v>
      </x:c>
      <x:c r="B639" s="207" t="str">
        <x:v>Operation</x:v>
      </x:c>
      <x:c r="C639" s="207" t="str">
        <x:v>OP-DRAFT-00253</x:v>
      </x:c>
      <x:c r="D639" s="207" t="str">
        <x:v>production_order_id; operation_type_id; planned_hours; actual_hours; output_qty; defect_qty; completion_status</x:v>
      </x:c>
      <x:c r="E639" s="207" t="str">
        <x:v>48-10</x:v>
      </x:c>
      <x:c r="F639" s="207" t="str">
        <x:v>Назначить production_order_id, operation_type, дату и факт часов</x:v>
      </x:c>
      <x:c r="G639" s="207" t="str">
        <x:v>Производство</x:v>
      </x:c>
      <x:c r="H639" s="207" t="str">
        <x:v>Высокий</x:v>
      </x:c>
      <x:c r="I639" s="207" t="str">
        <x:v>Загрузка; производительность; фактическая cost</x:v>
      </x:c>
      <x:c r="J639" s="207" t="str">
        <x:v>Планирование R26</x:v>
      </x:c>
      <x:c r="K639" s="207" t="str"/>
      <x:c r="L639" s="207" t="str"/>
      <x:c r="M639" s="207" t="str">
        <x:v>Не рассмотрено</x:v>
      </x:c>
      <x:c r="N639" s="207" t="str"/>
      <x:c r="O639" s="207" t="str">
        <x:v>17</x:v>
      </x:c>
      <x:c r="P639" s="207" t="n">
        <x:v>3</x:v>
      </x:c>
      <x:c r="Q639" s="208" t="str">
        <x:v>Wave 2 (31–60 дней)</x:v>
      </x:c>
    </x:row>
    <x:row r="640">
      <x:c r="A640" s="206" t="str">
        <x:v>DEC-00636</x:v>
      </x:c>
      <x:c r="B640" s="207" t="str">
        <x:v>Operation</x:v>
      </x:c>
      <x:c r="C640" s="207" t="str">
        <x:v>OP-DRAFT-00254</x:v>
      </x:c>
      <x:c r="D640" s="207" t="str">
        <x:v>production_order_id; operation_type_id; planned_hours; actual_hours; output_qty; defect_qty; completion_status</x:v>
      </x:c>
      <x:c r="E640" s="207" t="str">
        <x:v>48-08 веточки</x:v>
      </x:c>
      <x:c r="F640" s="207" t="str">
        <x:v>Назначить production_order_id, operation_type, дату и факт часов</x:v>
      </x:c>
      <x:c r="G640" s="207" t="str">
        <x:v>Производство</x:v>
      </x:c>
      <x:c r="H640" s="207" t="str">
        <x:v>Высокий</x:v>
      </x:c>
      <x:c r="I640" s="207" t="str">
        <x:v>Загрузка; производительность; фактическая cost</x:v>
      </x:c>
      <x:c r="J640" s="207" t="str">
        <x:v>Планирование V26</x:v>
      </x:c>
      <x:c r="K640" s="207" t="str"/>
      <x:c r="L640" s="207" t="str"/>
      <x:c r="M640" s="207" t="str">
        <x:v>Не рассмотрено</x:v>
      </x:c>
      <x:c r="N640" s="207" t="str"/>
      <x:c r="O640" s="207" t="str">
        <x:v>17</x:v>
      </x:c>
      <x:c r="P640" s="207" t="n">
        <x:v>3</x:v>
      </x:c>
      <x:c r="Q640" s="208" t="str">
        <x:v>Wave 2 (31–60 дней)</x:v>
      </x:c>
    </x:row>
    <x:row r="641">
      <x:c r="A641" s="206" t="str">
        <x:v>DEC-00637</x:v>
      </x:c>
      <x:c r="B641" s="207" t="str">
        <x:v>Operation</x:v>
      </x:c>
      <x:c r="C641" s="207" t="str">
        <x:v>OP-DRAFT-00255</x:v>
      </x:c>
      <x:c r="D641" s="207" t="str">
        <x:v>production_order_id; operation_type_id; planned_hours; actual_hours; output_qty; defect_qty; completion_status</x:v>
      </x:c>
      <x:c r="E641" s="207" t="str">
        <x:v>48-10 цветочки</x:v>
      </x:c>
      <x:c r="F641" s="207" t="str">
        <x:v>Назначить production_order_id, operation_type, дату и факт часов</x:v>
      </x:c>
      <x:c r="G641" s="207" t="str">
        <x:v>Производство</x:v>
      </x:c>
      <x:c r="H641" s="207" t="str">
        <x:v>Высокий</x:v>
      </x:c>
      <x:c r="I641" s="207" t="str">
        <x:v>Загрузка; производительность; фактическая cost</x:v>
      </x:c>
      <x:c r="J641" s="207" t="str">
        <x:v>Планирование W26</x:v>
      </x:c>
      <x:c r="K641" s="207" t="str"/>
      <x:c r="L641" s="207" t="str"/>
      <x:c r="M641" s="207" t="str">
        <x:v>Не рассмотрено</x:v>
      </x:c>
      <x:c r="N641" s="207" t="str"/>
      <x:c r="O641" s="207" t="str">
        <x:v>17</x:v>
      </x:c>
      <x:c r="P641" s="207" t="n">
        <x:v>3</x:v>
      </x:c>
      <x:c r="Q641" s="208" t="str">
        <x:v>Wave 2 (31–60 дней)</x:v>
      </x:c>
    </x:row>
    <x:row r="642">
      <x:c r="A642" s="206" t="str">
        <x:v>DEC-00638</x:v>
      </x:c>
      <x:c r="B642" s="207" t="str">
        <x:v>Operation</x:v>
      </x:c>
      <x:c r="C642" s="207" t="str">
        <x:v>OP-DRAFT-00256</x:v>
      </x:c>
      <x:c r="D642" s="207" t="str">
        <x:v>production_order_id; operation_type_id; planned_hours; actual_hours; output_qty; defect_qty; completion_status</x:v>
      </x:c>
      <x:c r="E642" s="207" t="str">
        <x:v>48-10 цветочки</x:v>
      </x:c>
      <x:c r="F642" s="207" t="str">
        <x:v>Назначить production_order_id, operation_type, дату и факт часов</x:v>
      </x:c>
      <x:c r="G642" s="207" t="str">
        <x:v>Производство</x:v>
      </x:c>
      <x:c r="H642" s="207" t="str">
        <x:v>Высокий</x:v>
      </x:c>
      <x:c r="I642" s="207" t="str">
        <x:v>Загрузка; производительность; фактическая cost</x:v>
      </x:c>
      <x:c r="J642" s="207" t="str">
        <x:v>Планирование X26</x:v>
      </x:c>
      <x:c r="K642" s="207" t="str"/>
      <x:c r="L642" s="207" t="str"/>
      <x:c r="M642" s="207" t="str">
        <x:v>Не рассмотрено</x:v>
      </x:c>
      <x:c r="N642" s="207" t="str"/>
      <x:c r="O642" s="207" t="str">
        <x:v>17</x:v>
      </x:c>
      <x:c r="P642" s="207" t="n">
        <x:v>3</x:v>
      </x:c>
      <x:c r="Q642" s="208" t="str">
        <x:v>Wave 2 (31–60 дней)</x:v>
      </x:c>
    </x:row>
    <x:row r="643">
      <x:c r="A643" s="206" t="str">
        <x:v>DEC-00639</x:v>
      </x:c>
      <x:c r="B643" s="207" t="str">
        <x:v>Operation</x:v>
      </x:c>
      <x:c r="C643" s="207" t="str">
        <x:v>OP-DRAFT-00257</x:v>
      </x:c>
      <x:c r="D643" s="207" t="str">
        <x:v>production_order_id; operation_type_id; planned_hours; actual_hours; output_qty; defect_qty; completion_status</x:v>
      </x:c>
      <x:c r="E643" s="207" t="str">
        <x:v>48-10 цветочки</x:v>
      </x:c>
      <x:c r="F643" s="207" t="str">
        <x:v>Назначить production_order_id, operation_type, дату и факт часов</x:v>
      </x:c>
      <x:c r="G643" s="207" t="str">
        <x:v>Производство</x:v>
      </x:c>
      <x:c r="H643" s="207" t="str">
        <x:v>Высокий</x:v>
      </x:c>
      <x:c r="I643" s="207" t="str">
        <x:v>Загрузка; производительность; фактическая cost</x:v>
      </x:c>
      <x:c r="J643" s="207" t="str">
        <x:v>Планирование Y26</x:v>
      </x:c>
      <x:c r="K643" s="207" t="str"/>
      <x:c r="L643" s="207" t="str"/>
      <x:c r="M643" s="207" t="str">
        <x:v>Не рассмотрено</x:v>
      </x:c>
      <x:c r="N643" s="207" t="str"/>
      <x:c r="O643" s="207" t="str">
        <x:v>17</x:v>
      </x:c>
      <x:c r="P643" s="207" t="n">
        <x:v>3</x:v>
      </x:c>
      <x:c r="Q643" s="208" t="str">
        <x:v>Wave 2 (31–60 дней)</x:v>
      </x:c>
    </x:row>
    <x:row r="644">
      <x:c r="A644" s="206" t="str">
        <x:v>DEC-00640</x:v>
      </x:c>
      <x:c r="B644" s="207" t="str">
        <x:v>Operation</x:v>
      </x:c>
      <x:c r="C644" s="207" t="str">
        <x:v>OP-DRAFT-00258</x:v>
      </x:c>
      <x:c r="D644" s="207" t="str">
        <x:v>production_order_id; operation_type_id; planned_hours; actual_hours; output_qty; defect_qty; completion_status</x:v>
      </x:c>
      <x:c r="E644" s="207" t="str">
        <x:v>48-10 цветочки</x:v>
      </x:c>
      <x:c r="F644" s="207" t="str">
        <x:v>Назначить production_order_id, operation_type, дату и факт часов</x:v>
      </x:c>
      <x:c r="G644" s="207" t="str">
        <x:v>Производство</x:v>
      </x:c>
      <x:c r="H644" s="207" t="str">
        <x:v>Высокий</x:v>
      </x:c>
      <x:c r="I644" s="207" t="str">
        <x:v>Загрузка; производительность; фактическая cost</x:v>
      </x:c>
      <x:c r="J644" s="207" t="str">
        <x:v>Планирование Z26</x:v>
      </x:c>
      <x:c r="K644" s="207" t="str"/>
      <x:c r="L644" s="207" t="str"/>
      <x:c r="M644" s="207" t="str">
        <x:v>Не рассмотрено</x:v>
      </x:c>
      <x:c r="N644" s="207" t="str"/>
      <x:c r="O644" s="207" t="str">
        <x:v>17</x:v>
      </x:c>
      <x:c r="P644" s="207" t="n">
        <x:v>3</x:v>
      </x:c>
      <x:c r="Q644" s="208" t="str">
        <x:v>Wave 2 (31–60 дней)</x:v>
      </x:c>
    </x:row>
    <x:row r="645">
      <x:c r="A645" s="206" t="str">
        <x:v>DEC-00641</x:v>
      </x:c>
      <x:c r="B645" s="207" t="str">
        <x:v>Operation</x:v>
      </x:c>
      <x:c r="C645" s="207" t="str">
        <x:v>OP-DRAFT-00259</x:v>
      </x:c>
      <x:c r="D645" s="207" t="str">
        <x:v>production_order_id; operation_type_id; planned_hours; actual_hours; output_qty; defect_qty; completion_status</x:v>
      </x:c>
      <x:c r="E645" s="207" t="str">
        <x:v>48-10 цветочки</x:v>
      </x:c>
      <x:c r="F645" s="207" t="str">
        <x:v>Назначить production_order_id, operation_type, дату и факт часов</x:v>
      </x:c>
      <x:c r="G645" s="207" t="str">
        <x:v>Производство</x:v>
      </x:c>
      <x:c r="H645" s="207" t="str">
        <x:v>Высокий</x:v>
      </x:c>
      <x:c r="I645" s="207" t="str">
        <x:v>Загрузка; производительность; фактическая cost</x:v>
      </x:c>
      <x:c r="J645" s="207" t="str">
        <x:v>Планирование AA26</x:v>
      </x:c>
      <x:c r="K645" s="207" t="str"/>
      <x:c r="L645" s="207" t="str"/>
      <x:c r="M645" s="207" t="str">
        <x:v>Не рассмотрено</x:v>
      </x:c>
      <x:c r="N645" s="207" t="str"/>
      <x:c r="O645" s="207" t="str">
        <x:v>17</x:v>
      </x:c>
      <x:c r="P645" s="207" t="n">
        <x:v>3</x:v>
      </x:c>
      <x:c r="Q645" s="208" t="str">
        <x:v>Wave 2 (31–60 дней)</x:v>
      </x:c>
    </x:row>
    <x:row r="646">
      <x:c r="A646" s="206" t="str">
        <x:v>DEC-00642</x:v>
      </x:c>
      <x:c r="B646" s="207" t="str">
        <x:v>Operation</x:v>
      </x:c>
      <x:c r="C646" s="207" t="str">
        <x:v>OP-DRAFT-00260</x:v>
      </x:c>
      <x:c r="D646" s="207" t="str">
        <x:v>production_order_id; operation_type_id; planned_hours; actual_hours; output_qty; defect_qty; completion_status</x:v>
      </x:c>
      <x:c r="E646" s="207" t="str">
        <x:v>48-25 кружево вырезка</x:v>
      </x:c>
      <x:c r="F646" s="207" t="str">
        <x:v>Назначить production_order_id, operation_type, дату и факт часов</x:v>
      </x:c>
      <x:c r="G646" s="207" t="str">
        <x:v>Производство</x:v>
      </x:c>
      <x:c r="H646" s="207" t="str">
        <x:v>Высокий</x:v>
      </x:c>
      <x:c r="I646" s="207" t="str">
        <x:v>Загрузка; производительность; фактическая cost</x:v>
      </x:c>
      <x:c r="J646" s="207" t="str">
        <x:v>Планирование AC26</x:v>
      </x:c>
      <x:c r="K646" s="207" t="str"/>
      <x:c r="L646" s="207" t="str"/>
      <x:c r="M646" s="207" t="str">
        <x:v>Не рассмотрено</x:v>
      </x:c>
      <x:c r="N646" s="207" t="str"/>
      <x:c r="O646" s="207" t="str">
        <x:v>17</x:v>
      </x:c>
      <x:c r="P646" s="207" t="n">
        <x:v>3</x:v>
      </x:c>
      <x:c r="Q646" s="208" t="str">
        <x:v>Wave 2 (31–60 дней)</x:v>
      </x:c>
    </x:row>
    <x:row r="647">
      <x:c r="A647" s="206" t="str">
        <x:v>DEC-00643</x:v>
      </x:c>
      <x:c r="B647" s="207" t="str">
        <x:v>Operation</x:v>
      </x:c>
      <x:c r="C647" s="207" t="str">
        <x:v>OP-DRAFT-00261</x:v>
      </x:c>
      <x:c r="D647" s="207" t="str">
        <x:v>production_order_id; operation_type_id; planned_hours; actual_hours; output_qty; defect_qty; completion_status</x:v>
      </x:c>
      <x:c r="E647" s="207" t="str">
        <x:v>48-04 расшивка</x:v>
      </x:c>
      <x:c r="F647" s="207" t="str">
        <x:v>Назначить production_order_id, operation_type, дату и факт часов</x:v>
      </x:c>
      <x:c r="G647" s="207" t="str">
        <x:v>Производство</x:v>
      </x:c>
      <x:c r="H647" s="207" t="str">
        <x:v>Высокий</x:v>
      </x:c>
      <x:c r="I647" s="207" t="str">
        <x:v>Загрузка; производительность; фактическая cost</x:v>
      </x:c>
      <x:c r="J647" s="207" t="str">
        <x:v>Планирование AD26</x:v>
      </x:c>
      <x:c r="K647" s="207" t="str"/>
      <x:c r="L647" s="207" t="str"/>
      <x:c r="M647" s="207" t="str">
        <x:v>Не рассмотрено</x:v>
      </x:c>
      <x:c r="N647" s="207" t="str"/>
      <x:c r="O647" s="207" t="str">
        <x:v>17</x:v>
      </x:c>
      <x:c r="P647" s="207" t="n">
        <x:v>3</x:v>
      </x:c>
      <x:c r="Q647" s="208" t="str">
        <x:v>Wave 2 (31–60 дней)</x:v>
      </x:c>
    </x:row>
    <x:row r="648">
      <x:c r="A648" s="206" t="str">
        <x:v>DEC-00644</x:v>
      </x:c>
      <x:c r="B648" s="207" t="str">
        <x:v>Operation</x:v>
      </x:c>
      <x:c r="C648" s="207" t="str">
        <x:v>OP-DRAFT-00262</x:v>
      </x:c>
      <x:c r="D648" s="207" t="str">
        <x:v>production_order_id; operation_type_id; planned_hours; actual_hours; output_qty; defect_qty; completion_status</x:v>
      </x:c>
      <x:c r="E648" s="207" t="str">
        <x:v>48-08</x:v>
      </x:c>
      <x:c r="F648" s="207" t="str">
        <x:v>Назначить production_order_id, operation_type, дату и факт часов</x:v>
      </x:c>
      <x:c r="G648" s="207" t="str">
        <x:v>Производство</x:v>
      </x:c>
      <x:c r="H648" s="207" t="str">
        <x:v>Высокий</x:v>
      </x:c>
      <x:c r="I648" s="207" t="str">
        <x:v>Загрузка; производительность; фактическая cost</x:v>
      </x:c>
      <x:c r="J648" s="207" t="str">
        <x:v>Планирование AE26</x:v>
      </x:c>
      <x:c r="K648" s="207" t="str"/>
      <x:c r="L648" s="207" t="str"/>
      <x:c r="M648" s="207" t="str">
        <x:v>Не рассмотрено</x:v>
      </x:c>
      <x:c r="N648" s="207" t="str"/>
      <x:c r="O648" s="207" t="str">
        <x:v>17</x:v>
      </x:c>
      <x:c r="P648" s="207" t="n">
        <x:v>3</x:v>
      </x:c>
      <x:c r="Q648" s="208" t="str">
        <x:v>Wave 2 (31–60 дней)</x:v>
      </x:c>
    </x:row>
    <x:row r="649">
      <x:c r="A649" s="206" t="str">
        <x:v>DEC-00645</x:v>
      </x:c>
      <x:c r="B649" s="207" t="str">
        <x:v>Operation</x:v>
      </x:c>
      <x:c r="C649" s="207" t="str">
        <x:v>OP-DRAFT-00263</x:v>
      </x:c>
      <x:c r="D649" s="207" t="str">
        <x:v>production_order_id; operation_type_id; planned_hours; actual_hours; output_qty; defect_qty; completion_status</x:v>
      </x:c>
      <x:c r="E649" s="207" t="str">
        <x:v>48-08</x:v>
      </x:c>
      <x:c r="F649" s="207" t="str">
        <x:v>Назначить production_order_id, operation_type, дату и факт часов</x:v>
      </x:c>
      <x:c r="G649" s="207" t="str">
        <x:v>Производство</x:v>
      </x:c>
      <x:c r="H649" s="207" t="str">
        <x:v>Высокий</x:v>
      </x:c>
      <x:c r="I649" s="207" t="str">
        <x:v>Загрузка; производительность; фактическая cost</x:v>
      </x:c>
      <x:c r="J649" s="207" t="str">
        <x:v>Планирование AF26</x:v>
      </x:c>
      <x:c r="K649" s="207" t="str"/>
      <x:c r="L649" s="207" t="str"/>
      <x:c r="M649" s="207" t="str">
        <x:v>Не рассмотрено</x:v>
      </x:c>
      <x:c r="N649" s="207" t="str"/>
      <x:c r="O649" s="207" t="str">
        <x:v>17</x:v>
      </x:c>
      <x:c r="P649" s="207" t="n">
        <x:v>3</x:v>
      </x:c>
      <x:c r="Q649" s="208" t="str">
        <x:v>Wave 2 (31–60 дней)</x:v>
      </x:c>
    </x:row>
    <x:row r="650">
      <x:c r="A650" s="206" t="str">
        <x:v>DEC-00646</x:v>
      </x:c>
      <x:c r="B650" s="207" t="str">
        <x:v>Operation</x:v>
      </x:c>
      <x:c r="C650" s="207" t="str">
        <x:v>OP-DRAFT-00264</x:v>
      </x:c>
      <x:c r="D650" s="207" t="str">
        <x:v>production_order_id; operation_type_id; planned_hours; actual_hours; output_qty; defect_qty; completion_status</x:v>
      </x:c>
      <x:c r="E650" s="207" t="str">
        <x:v>48-10</x:v>
      </x:c>
      <x:c r="F650" s="207" t="str">
        <x:v>Назначить production_order_id, operation_type, дату и факт часов</x:v>
      </x:c>
      <x:c r="G650" s="207" t="str">
        <x:v>Производство</x:v>
      </x:c>
      <x:c r="H650" s="207" t="str">
        <x:v>Высокий</x:v>
      </x:c>
      <x:c r="I650" s="207" t="str">
        <x:v>Загрузка; производительность; фактическая cost</x:v>
      </x:c>
      <x:c r="J650" s="207" t="str">
        <x:v>Планирование AG26</x:v>
      </x:c>
      <x:c r="K650" s="207" t="str"/>
      <x:c r="L650" s="207" t="str"/>
      <x:c r="M650" s="207" t="str">
        <x:v>Не рассмотрено</x:v>
      </x:c>
      <x:c r="N650" s="207" t="str"/>
      <x:c r="O650" s="207" t="str">
        <x:v>17</x:v>
      </x:c>
      <x:c r="P650" s="207" t="n">
        <x:v>3</x:v>
      </x:c>
      <x:c r="Q650" s="208" t="str">
        <x:v>Wave 2 (31–60 дней)</x:v>
      </x:c>
    </x:row>
    <x:row r="651">
      <x:c r="A651" s="206" t="str">
        <x:v>DEC-00647</x:v>
      </x:c>
      <x:c r="B651" s="207" t="str">
        <x:v>Operation</x:v>
      </x:c>
      <x:c r="C651" s="207" t="str">
        <x:v>OP-DRAFT-00265</x:v>
      </x:c>
      <x:c r="D651" s="207" t="str">
        <x:v>production_order_id; operation_type_id; planned_hours; actual_hours; output_qty; defect_qty; completion_status</x:v>
      </x:c>
      <x:c r="E651" s="207" t="str">
        <x:v>47-20 Шафикова</x:v>
      </x:c>
      <x:c r="F651" s="207" t="str">
        <x:v>Назначить production_order_id, operation_type, дату и факт часов</x:v>
      </x:c>
      <x:c r="G651" s="207" t="str">
        <x:v>Производство</x:v>
      </x:c>
      <x:c r="H651" s="207" t="str">
        <x:v>Высокий</x:v>
      </x:c>
      <x:c r="I651" s="207" t="str">
        <x:v>Загрузка; производительность; фактическая cost</x:v>
      </x:c>
      <x:c r="J651" s="207" t="str">
        <x:v>Планирование CG26</x:v>
      </x:c>
      <x:c r="K651" s="207" t="str"/>
      <x:c r="L651" s="207" t="str"/>
      <x:c r="M651" s="207" t="str">
        <x:v>Не рассмотрено</x:v>
      </x:c>
      <x:c r="N651" s="207" t="str"/>
      <x:c r="O651" s="207" t="str">
        <x:v>17</x:v>
      </x:c>
      <x:c r="P651" s="207" t="n">
        <x:v>3</x:v>
      </x:c>
      <x:c r="Q651" s="208" t="str">
        <x:v>Wave 2 (31–60 дней)</x:v>
      </x:c>
    </x:row>
    <x:row r="652">
      <x:c r="A652" s="206" t="str">
        <x:v>DEC-00648</x:v>
      </x:c>
      <x:c r="B652" s="207" t="str">
        <x:v>Operation</x:v>
      </x:c>
      <x:c r="C652" s="207" t="str">
        <x:v>OP-DRAFT-00266</x:v>
      </x:c>
      <x:c r="D652" s="207" t="str">
        <x:v>production_order_id; operation_type_id; planned_hours; actual_hours; output_qty; defect_qty; completion_status</x:v>
      </x:c>
      <x:c r="E652" s="207" t="str">
        <x:v>47-20 Шафикова</x:v>
      </x:c>
      <x:c r="F652" s="207" t="str">
        <x:v>Назначить production_order_id, operation_type, дату и факт часов</x:v>
      </x:c>
      <x:c r="G652" s="207" t="str">
        <x:v>Производство</x:v>
      </x:c>
      <x:c r="H652" s="207" t="str">
        <x:v>Высокий</x:v>
      </x:c>
      <x:c r="I652" s="207" t="str">
        <x:v>Загрузка; производительность; фактическая cost</x:v>
      </x:c>
      <x:c r="J652" s="207" t="str">
        <x:v>Планирование CH26</x:v>
      </x:c>
      <x:c r="K652" s="207" t="str"/>
      <x:c r="L652" s="207" t="str"/>
      <x:c r="M652" s="207" t="str">
        <x:v>Не рассмотрено</x:v>
      </x:c>
      <x:c r="N652" s="207" t="str"/>
      <x:c r="O652" s="207" t="str">
        <x:v>17</x:v>
      </x:c>
      <x:c r="P652" s="207" t="n">
        <x:v>3</x:v>
      </x:c>
      <x:c r="Q652" s="208" t="str">
        <x:v>Wave 2 (31–60 дней)</x:v>
      </x:c>
    </x:row>
    <x:row r="653">
      <x:c r="A653" s="206" t="str">
        <x:v>DEC-00649</x:v>
      </x:c>
      <x:c r="B653" s="207" t="str">
        <x:v>Operation</x:v>
      </x:c>
      <x:c r="C653" s="207" t="str">
        <x:v>OP-DRAFT-00267</x:v>
      </x:c>
      <x:c r="D653" s="207" t="str">
        <x:v>production_order_id; operation_type_id; planned_hours; actual_hours; output_qty; defect_qty; completion_status</x:v>
      </x:c>
      <x:c r="E653" s="207" t="str">
        <x:v>47-20 Шафикова</x:v>
      </x:c>
      <x:c r="F653" s="207" t="str">
        <x:v>Назначить production_order_id, operation_type, дату и факт часов</x:v>
      </x:c>
      <x:c r="G653" s="207" t="str">
        <x:v>Производство</x:v>
      </x:c>
      <x:c r="H653" s="207" t="str">
        <x:v>Высокий</x:v>
      </x:c>
      <x:c r="I653" s="207" t="str">
        <x:v>Загрузка; производительность; фактическая cost</x:v>
      </x:c>
      <x:c r="J653" s="207" t="str">
        <x:v>Планирование CI26</x:v>
      </x:c>
      <x:c r="K653" s="207" t="str"/>
      <x:c r="L653" s="207" t="str"/>
      <x:c r="M653" s="207" t="str">
        <x:v>Не рассмотрено</x:v>
      </x:c>
      <x:c r="N653" s="207" t="str"/>
      <x:c r="O653" s="207" t="str">
        <x:v>17</x:v>
      </x:c>
      <x:c r="P653" s="207" t="n">
        <x:v>3</x:v>
      </x:c>
      <x:c r="Q653" s="208" t="str">
        <x:v>Wave 2 (31–60 дней)</x:v>
      </x:c>
    </x:row>
    <x:row r="654">
      <x:c r="A654" s="206" t="str">
        <x:v>DEC-00650</x:v>
      </x:c>
      <x:c r="B654" s="207" t="str">
        <x:v>Operation</x:v>
      </x:c>
      <x:c r="C654" s="207" t="str">
        <x:v>OP-DRAFT-00268</x:v>
      </x:c>
      <x:c r="D654" s="207" t="str">
        <x:v>production_order_id; operation_type_id; planned_hours; actual_hours; output_qty; defect_qty; completion_status</x:v>
      </x:c>
      <x:c r="E654" s="207" t="str">
        <x:v>47-20 Шафикова</x:v>
      </x:c>
      <x:c r="F654" s="207" t="str">
        <x:v>Назначить production_order_id, operation_type, дату и факт часов</x:v>
      </x:c>
      <x:c r="G654" s="207" t="str">
        <x:v>Производство</x:v>
      </x:c>
      <x:c r="H654" s="207" t="str">
        <x:v>Высокий</x:v>
      </x:c>
      <x:c r="I654" s="207" t="str">
        <x:v>Загрузка; производительность; фактическая cost</x:v>
      </x:c>
      <x:c r="J654" s="207" t="str">
        <x:v>Планирование CJ26</x:v>
      </x:c>
      <x:c r="K654" s="207" t="str"/>
      <x:c r="L654" s="207" t="str"/>
      <x:c r="M654" s="207" t="str">
        <x:v>Не рассмотрено</x:v>
      </x:c>
      <x:c r="N654" s="207" t="str"/>
      <x:c r="O654" s="207" t="str">
        <x:v>17</x:v>
      </x:c>
      <x:c r="P654" s="207" t="n">
        <x:v>3</x:v>
      </x:c>
      <x:c r="Q654" s="208" t="str">
        <x:v>Wave 2 (31–60 дней)</x:v>
      </x:c>
    </x:row>
    <x:row r="655">
      <x:c r="A655" s="206" t="str">
        <x:v>DEC-00651</x:v>
      </x:c>
      <x:c r="B655" s="207" t="str">
        <x:v>Operation</x:v>
      </x:c>
      <x:c r="C655" s="207" t="str">
        <x:v>OP-DRAFT-00269</x:v>
      </x:c>
      <x:c r="D655" s="207" t="str">
        <x:v>production_order_id; operation_type_id; planned_hours; actual_hours; output_qty; defect_qty; completion_status</x:v>
      </x:c>
      <x:c r="E655" s="207" t="str">
        <x:v>47-20 Шафикова</x:v>
      </x:c>
      <x:c r="F655" s="207" t="str">
        <x:v>Назначить production_order_id, operation_type, дату и факт часов</x:v>
      </x:c>
      <x:c r="G655" s="207" t="str">
        <x:v>Производство</x:v>
      </x:c>
      <x:c r="H655" s="207" t="str">
        <x:v>Высокий</x:v>
      </x:c>
      <x:c r="I655" s="207" t="str">
        <x:v>Загрузка; производительность; фактическая cost</x:v>
      </x:c>
      <x:c r="J655" s="207" t="str">
        <x:v>Планирование CK26</x:v>
      </x:c>
      <x:c r="K655" s="207" t="str"/>
      <x:c r="L655" s="207" t="str"/>
      <x:c r="M655" s="207" t="str">
        <x:v>Не рассмотрено</x:v>
      </x:c>
      <x:c r="N655" s="207" t="str"/>
      <x:c r="O655" s="207" t="str">
        <x:v>17</x:v>
      </x:c>
      <x:c r="P655" s="207" t="n">
        <x:v>3</x:v>
      </x:c>
      <x:c r="Q655" s="208" t="str">
        <x:v>Wave 2 (31–60 дней)</x:v>
      </x:c>
    </x:row>
    <x:row r="656">
      <x:c r="A656" s="206" t="str">
        <x:v>DEC-00652</x:v>
      </x:c>
      <x:c r="B656" s="207" t="str">
        <x:v>Operation</x:v>
      </x:c>
      <x:c r="C656" s="207" t="str">
        <x:v>OP-DRAFT-00270</x:v>
      </x:c>
      <x:c r="D656" s="207" t="str">
        <x:v>production_order_id; operation_type_id; planned_hours; actual_hours; output_qty; defect_qty; completion_status</x:v>
      </x:c>
      <x:c r="E656" s="207" t="str">
        <x:v>47-20 Шафикова</x:v>
      </x:c>
      <x:c r="F656" s="207" t="str">
        <x:v>Назначить production_order_id, operation_type, дату и факт часов</x:v>
      </x:c>
      <x:c r="G656" s="207" t="str">
        <x:v>Производство</x:v>
      </x:c>
      <x:c r="H656" s="207" t="str">
        <x:v>Высокий</x:v>
      </x:c>
      <x:c r="I656" s="207" t="str">
        <x:v>Загрузка; производительность; фактическая cost</x:v>
      </x:c>
      <x:c r="J656" s="207" t="str">
        <x:v>Планирование CN26</x:v>
      </x:c>
      <x:c r="K656" s="207" t="str"/>
      <x:c r="L656" s="207" t="str"/>
      <x:c r="M656" s="207" t="str">
        <x:v>Не рассмотрено</x:v>
      </x:c>
      <x:c r="N656" s="207" t="str"/>
      <x:c r="O656" s="207" t="str">
        <x:v>17</x:v>
      </x:c>
      <x:c r="P656" s="207" t="n">
        <x:v>3</x:v>
      </x:c>
      <x:c r="Q656" s="208" t="str">
        <x:v>Wave 2 (31–60 дней)</x:v>
      </x:c>
    </x:row>
    <x:row r="657">
      <x:c r="A657" s="206" t="str">
        <x:v>DEC-00653</x:v>
      </x:c>
      <x:c r="B657" s="207" t="str">
        <x:v>Operation</x:v>
      </x:c>
      <x:c r="C657" s="207" t="str">
        <x:v>OP-DRAFT-00271</x:v>
      </x:c>
      <x:c r="D657" s="207" t="str">
        <x:v>production_order_id; operation_type_id; planned_hours; actual_hours; output_qty; defect_qty; completion_status</x:v>
      </x:c>
      <x:c r="E657" s="207" t="str">
        <x:v>47-20 Шафикова</x:v>
      </x:c>
      <x:c r="F657" s="207" t="str">
        <x:v>Назначить production_order_id, operation_type, дату и факт часов</x:v>
      </x:c>
      <x:c r="G657" s="207" t="str">
        <x:v>Производство</x:v>
      </x:c>
      <x:c r="H657" s="207" t="str">
        <x:v>Высокий</x:v>
      </x:c>
      <x:c r="I657" s="207" t="str">
        <x:v>Загрузка; производительность; фактическая cost</x:v>
      </x:c>
      <x:c r="J657" s="207" t="str">
        <x:v>Планирование CO26</x:v>
      </x:c>
      <x:c r="K657" s="207" t="str"/>
      <x:c r="L657" s="207" t="str"/>
      <x:c r="M657" s="207" t="str">
        <x:v>Не рассмотрено</x:v>
      </x:c>
      <x:c r="N657" s="207" t="str"/>
      <x:c r="O657" s="207" t="str">
        <x:v>17</x:v>
      </x:c>
      <x:c r="P657" s="207" t="n">
        <x:v>3</x:v>
      </x:c>
      <x:c r="Q657" s="208" t="str">
        <x:v>Wave 2 (31–60 дней)</x:v>
      </x:c>
    </x:row>
    <x:row r="658">
      <x:c r="A658" s="206" t="str">
        <x:v>DEC-00654</x:v>
      </x:c>
      <x:c r="B658" s="207" t="str">
        <x:v>Operation</x:v>
      </x:c>
      <x:c r="C658" s="207" t="str">
        <x:v>OP-DRAFT-00272</x:v>
      </x:c>
      <x:c r="D658" s="207" t="str">
        <x:v>production_order_id; operation_type_id; planned_hours; actual_hours; output_qty; defect_qty; completion_status</x:v>
      </x:c>
      <x:c r="E658" s="207" t="str">
        <x:v>47-20 Шафикова</x:v>
      </x:c>
      <x:c r="F658" s="207" t="str">
        <x:v>Назначить production_order_id, operation_type, дату и факт часов</x:v>
      </x:c>
      <x:c r="G658" s="207" t="str">
        <x:v>Производство</x:v>
      </x:c>
      <x:c r="H658" s="207" t="str">
        <x:v>Высокий</x:v>
      </x:c>
      <x:c r="I658" s="207" t="str">
        <x:v>Загрузка; производительность; фактическая cost</x:v>
      </x:c>
      <x:c r="J658" s="207" t="str">
        <x:v>Планирование CP26</x:v>
      </x:c>
      <x:c r="K658" s="207" t="str"/>
      <x:c r="L658" s="207" t="str"/>
      <x:c r="M658" s="207" t="str">
        <x:v>Не рассмотрено</x:v>
      </x:c>
      <x:c r="N658" s="207" t="str"/>
      <x:c r="O658" s="207" t="str">
        <x:v>17</x:v>
      </x:c>
      <x:c r="P658" s="207" t="n">
        <x:v>3</x:v>
      </x:c>
      <x:c r="Q658" s="208" t="str">
        <x:v>Wave 2 (31–60 дней)</x:v>
      </x:c>
    </x:row>
    <x:row r="659">
      <x:c r="A659" s="206" t="str">
        <x:v>DEC-00655</x:v>
      </x:c>
      <x:c r="B659" s="207" t="str">
        <x:v>Operation</x:v>
      </x:c>
      <x:c r="C659" s="207" t="str">
        <x:v>OP-DRAFT-00273</x:v>
      </x:c>
      <x:c r="D659" s="207" t="str">
        <x:v>production_order_id; operation_type_id; planned_hours; actual_hours; output_qty; defect_qty; completion_status</x:v>
      </x:c>
      <x:c r="E659" s="207" t="str">
        <x:v>47-20 Шафикова</x:v>
      </x:c>
      <x:c r="F659" s="207" t="str">
        <x:v>Назначить production_order_id, operation_type, дату и факт часов</x:v>
      </x:c>
      <x:c r="G659" s="207" t="str">
        <x:v>Производство</x:v>
      </x:c>
      <x:c r="H659" s="207" t="str">
        <x:v>Высокий</x:v>
      </x:c>
      <x:c r="I659" s="207" t="str">
        <x:v>Загрузка; производительность; фактическая cost</x:v>
      </x:c>
      <x:c r="J659" s="207" t="str">
        <x:v>Планирование CQ26</x:v>
      </x:c>
      <x:c r="K659" s="207" t="str"/>
      <x:c r="L659" s="207" t="str"/>
      <x:c r="M659" s="207" t="str">
        <x:v>Не рассмотрено</x:v>
      </x:c>
      <x:c r="N659" s="207" t="str"/>
      <x:c r="O659" s="207" t="str">
        <x:v>17</x:v>
      </x:c>
      <x:c r="P659" s="207" t="n">
        <x:v>3</x:v>
      </x:c>
      <x:c r="Q659" s="208" t="str">
        <x:v>Wave 2 (31–60 дней)</x:v>
      </x:c>
    </x:row>
    <x:row r="660">
      <x:c r="A660" s="206" t="str">
        <x:v>DEC-00656</x:v>
      </x:c>
      <x:c r="B660" s="207" t="str">
        <x:v>Operation</x:v>
      </x:c>
      <x:c r="C660" s="207" t="str">
        <x:v>OP-DRAFT-00274</x:v>
      </x:c>
      <x:c r="D660" s="207" t="str">
        <x:v>production_order_id; operation_type_id; planned_hours; actual_hours; output_qty; defect_qty; completion_status</x:v>
      </x:c>
      <x:c r="E660" s="207" t="str">
        <x:v>47-20 Шафикова</x:v>
      </x:c>
      <x:c r="F660" s="207" t="str">
        <x:v>Назначить production_order_id, operation_type, дату и факт часов</x:v>
      </x:c>
      <x:c r="G660" s="207" t="str">
        <x:v>Производство</x:v>
      </x:c>
      <x:c r="H660" s="207" t="str">
        <x:v>Высокий</x:v>
      </x:c>
      <x:c r="I660" s="207" t="str">
        <x:v>Загрузка; производительность; фактическая cost</x:v>
      </x:c>
      <x:c r="J660" s="207" t="str">
        <x:v>Планирование CR26</x:v>
      </x:c>
      <x:c r="K660" s="207" t="str"/>
      <x:c r="L660" s="207" t="str"/>
      <x:c r="M660" s="207" t="str">
        <x:v>Не рассмотрено</x:v>
      </x:c>
      <x:c r="N660" s="207" t="str"/>
      <x:c r="O660" s="207" t="str">
        <x:v>17</x:v>
      </x:c>
      <x:c r="P660" s="207" t="n">
        <x:v>3</x:v>
      </x:c>
      <x:c r="Q660" s="208" t="str">
        <x:v>Wave 2 (31–60 дней)</x:v>
      </x:c>
    </x:row>
    <x:row r="661">
      <x:c r="A661" s="206" t="str">
        <x:v>DEC-00657</x:v>
      </x:c>
      <x:c r="B661" s="207" t="str">
        <x:v>Operation</x:v>
      </x:c>
      <x:c r="C661" s="207" t="str">
        <x:v>OP-DRAFT-00275</x:v>
      </x:c>
      <x:c r="D661" s="207" t="str">
        <x:v>production_order_id; operation_type_id; planned_hours; actual_hours; output_qty; defect_qty; completion_status</x:v>
      </x:c>
      <x:c r="E661" s="207" t="str">
        <x:v>47-20 Шафикова</x:v>
      </x:c>
      <x:c r="F661" s="207" t="str">
        <x:v>Назначить production_order_id, operation_type, дату и факт часов</x:v>
      </x:c>
      <x:c r="G661" s="207" t="str">
        <x:v>Производство</x:v>
      </x:c>
      <x:c r="H661" s="207" t="str">
        <x:v>Высокий</x:v>
      </x:c>
      <x:c r="I661" s="207" t="str">
        <x:v>Загрузка; производительность; фактическая cost</x:v>
      </x:c>
      <x:c r="J661" s="207" t="str">
        <x:v>Планирование CU26</x:v>
      </x:c>
      <x:c r="K661" s="207" t="str"/>
      <x:c r="L661" s="207" t="str"/>
      <x:c r="M661" s="207" t="str">
        <x:v>Не рассмотрено</x:v>
      </x:c>
      <x:c r="N661" s="207" t="str"/>
      <x:c r="O661" s="207" t="str">
        <x:v>17</x:v>
      </x:c>
      <x:c r="P661" s="207" t="n">
        <x:v>3</x:v>
      </x:c>
      <x:c r="Q661" s="208" t="str">
        <x:v>Wave 2 (31–60 дней)</x:v>
      </x:c>
    </x:row>
    <x:row r="662">
      <x:c r="A662" s="206" t="str">
        <x:v>DEC-00658</x:v>
      </x:c>
      <x:c r="B662" s="207" t="str">
        <x:v>Operation</x:v>
      </x:c>
      <x:c r="C662" s="207" t="str">
        <x:v>OP-DRAFT-00276</x:v>
      </x:c>
      <x:c r="D662" s="207" t="str">
        <x:v>production_order_id; operation_type_id; planned_hours; actual_hours; output_qty; defect_qty; completion_status</x:v>
      </x:c>
      <x:c r="E662" s="207" t="str">
        <x:v>47-20 Шафикова</x:v>
      </x:c>
      <x:c r="F662" s="207" t="str">
        <x:v>Назначить production_order_id, operation_type, дату и факт часов</x:v>
      </x:c>
      <x:c r="G662" s="207" t="str">
        <x:v>Производство</x:v>
      </x:c>
      <x:c r="H662" s="207" t="str">
        <x:v>Высокий</x:v>
      </x:c>
      <x:c r="I662" s="207" t="str">
        <x:v>Загрузка; производительность; фактическая cost</x:v>
      </x:c>
      <x:c r="J662" s="207" t="str">
        <x:v>Планирование CV26</x:v>
      </x:c>
      <x:c r="K662" s="207" t="str"/>
      <x:c r="L662" s="207" t="str"/>
      <x:c r="M662" s="207" t="str">
        <x:v>Не рассмотрено</x:v>
      </x:c>
      <x:c r="N662" s="207" t="str"/>
      <x:c r="O662" s="207" t="str">
        <x:v>17</x:v>
      </x:c>
      <x:c r="P662" s="207" t="n">
        <x:v>3</x:v>
      </x:c>
      <x:c r="Q662" s="208" t="str">
        <x:v>Wave 2 (31–60 дней)</x:v>
      </x:c>
    </x:row>
    <x:row r="663">
      <x:c r="A663" s="206" t="str">
        <x:v>DEC-00659</x:v>
      </x:c>
      <x:c r="B663" s="207" t="str">
        <x:v>Operation</x:v>
      </x:c>
      <x:c r="C663" s="207" t="str">
        <x:v>OP-DRAFT-00277</x:v>
      </x:c>
      <x:c r="D663" s="207" t="str">
        <x:v>production_order_id; operation_type_id; planned_hours; actual_hours; output_qty; defect_qty; completion_status</x:v>
      </x:c>
      <x:c r="E663" s="207" t="str">
        <x:v>47-20 Шафикова</x:v>
      </x:c>
      <x:c r="F663" s="207" t="str">
        <x:v>Назначить production_order_id, operation_type, дату и факт часов</x:v>
      </x:c>
      <x:c r="G663" s="207" t="str">
        <x:v>Производство</x:v>
      </x:c>
      <x:c r="H663" s="207" t="str">
        <x:v>Высокий</x:v>
      </x:c>
      <x:c r="I663" s="207" t="str">
        <x:v>Загрузка; производительность; фактическая cost</x:v>
      </x:c>
      <x:c r="J663" s="207" t="str">
        <x:v>Планирование CW26</x:v>
      </x:c>
      <x:c r="K663" s="207" t="str"/>
      <x:c r="L663" s="207" t="str"/>
      <x:c r="M663" s="207" t="str">
        <x:v>Не рассмотрено</x:v>
      </x:c>
      <x:c r="N663" s="207" t="str"/>
      <x:c r="O663" s="207" t="str">
        <x:v>17</x:v>
      </x:c>
      <x:c r="P663" s="207" t="n">
        <x:v>3</x:v>
      </x:c>
      <x:c r="Q663" s="208" t="str">
        <x:v>Wave 2 (31–60 дней)</x:v>
      </x:c>
    </x:row>
    <x:row r="664">
      <x:c r="A664" s="206" t="str">
        <x:v>DEC-00660</x:v>
      </x:c>
      <x:c r="B664" s="207" t="str">
        <x:v>Operation</x:v>
      </x:c>
      <x:c r="C664" s="207" t="str">
        <x:v>OP-DRAFT-00278</x:v>
      </x:c>
      <x:c r="D664" s="207" t="str">
        <x:v>production_order_id; operation_type_id; planned_hours; actual_hours; output_qty; defect_qty; completion_status</x:v>
      </x:c>
      <x:c r="E664" s="207" t="str">
        <x:v>47-20 Шафикова</x:v>
      </x:c>
      <x:c r="F664" s="207" t="str">
        <x:v>Назначить production_order_id, operation_type, дату и факт часов</x:v>
      </x:c>
      <x:c r="G664" s="207" t="str">
        <x:v>Производство</x:v>
      </x:c>
      <x:c r="H664" s="207" t="str">
        <x:v>Высокий</x:v>
      </x:c>
      <x:c r="I664" s="207" t="str">
        <x:v>Загрузка; производительность; фактическая cost</x:v>
      </x:c>
      <x:c r="J664" s="207" t="str">
        <x:v>Планирование CX26</x:v>
      </x:c>
      <x:c r="K664" s="207" t="str"/>
      <x:c r="L664" s="207" t="str"/>
      <x:c r="M664" s="207" t="str">
        <x:v>Не рассмотрено</x:v>
      </x:c>
      <x:c r="N664" s="207" t="str"/>
      <x:c r="O664" s="207" t="str">
        <x:v>17</x:v>
      </x:c>
      <x:c r="P664" s="207" t="n">
        <x:v>3</x:v>
      </x:c>
      <x:c r="Q664" s="208" t="str">
        <x:v>Wave 2 (31–60 дней)</x:v>
      </x:c>
    </x:row>
    <x:row r="665">
      <x:c r="A665" s="206" t="str">
        <x:v>DEC-00661</x:v>
      </x:c>
      <x:c r="B665" s="207" t="str">
        <x:v>Operation</x:v>
      </x:c>
      <x:c r="C665" s="207" t="str">
        <x:v>OP-DRAFT-00279</x:v>
      </x:c>
      <x:c r="D665" s="207" t="str">
        <x:v>production_order_id; operation_type_id; planned_hours; actual_hours; output_qty; defect_qty; completion_status</x:v>
      </x:c>
      <x:c r="E665" s="207" t="str">
        <x:v>47-20 Шафикова</x:v>
      </x:c>
      <x:c r="F665" s="207" t="str">
        <x:v>Назначить production_order_id, operation_type, дату и факт часов</x:v>
      </x:c>
      <x:c r="G665" s="207" t="str">
        <x:v>Производство</x:v>
      </x:c>
      <x:c r="H665" s="207" t="str">
        <x:v>Высокий</x:v>
      </x:c>
      <x:c r="I665" s="207" t="str">
        <x:v>Загрузка; производительность; фактическая cost</x:v>
      </x:c>
      <x:c r="J665" s="207" t="str">
        <x:v>Планирование CY26</x:v>
      </x:c>
      <x:c r="K665" s="207" t="str"/>
      <x:c r="L665" s="207" t="str"/>
      <x:c r="M665" s="207" t="str">
        <x:v>Не рассмотрено</x:v>
      </x:c>
      <x:c r="N665" s="207" t="str"/>
      <x:c r="O665" s="207" t="str">
        <x:v>17</x:v>
      </x:c>
      <x:c r="P665" s="207" t="n">
        <x:v>3</x:v>
      </x:c>
      <x:c r="Q665" s="208" t="str">
        <x:v>Wave 2 (31–60 дней)</x:v>
      </x:c>
    </x:row>
    <x:row r="666">
      <x:c r="A666" s="206" t="str">
        <x:v>DEC-00662</x:v>
      </x:c>
      <x:c r="B666" s="207" t="str">
        <x:v>Operation</x:v>
      </x:c>
      <x:c r="C666" s="207" t="str">
        <x:v>OP-DRAFT-00280</x:v>
      </x:c>
      <x:c r="D666" s="207" t="str">
        <x:v>production_order_id; operation_type_id; planned_hours; actual_hours; output_qty; defect_qty; completion_status</x:v>
      </x:c>
      <x:c r="E666" s="207" t="str">
        <x:v>47-20 Шафикова</x:v>
      </x:c>
      <x:c r="F666" s="207" t="str">
        <x:v>Назначить production_order_id, operation_type, дату и факт часов</x:v>
      </x:c>
      <x:c r="G666" s="207" t="str">
        <x:v>Производство</x:v>
      </x:c>
      <x:c r="H666" s="207" t="str">
        <x:v>Высокий</x:v>
      </x:c>
      <x:c r="I666" s="207" t="str">
        <x:v>Загрузка; производительность; фактическая cost</x:v>
      </x:c>
      <x:c r="J666" s="207" t="str">
        <x:v>Планирование DB26</x:v>
      </x:c>
      <x:c r="K666" s="207" t="str"/>
      <x:c r="L666" s="207" t="str"/>
      <x:c r="M666" s="207" t="str">
        <x:v>Не рассмотрено</x:v>
      </x:c>
      <x:c r="N666" s="207" t="str"/>
      <x:c r="O666" s="207" t="str">
        <x:v>17</x:v>
      </x:c>
      <x:c r="P666" s="207" t="n">
        <x:v>3</x:v>
      </x:c>
      <x:c r="Q666" s="208" t="str">
        <x:v>Wave 2 (31–60 дней)</x:v>
      </x:c>
    </x:row>
    <x:row r="667">
      <x:c r="A667" s="206" t="str">
        <x:v>DEC-00663</x:v>
      </x:c>
      <x:c r="B667" s="207" t="str">
        <x:v>Operation</x:v>
      </x:c>
      <x:c r="C667" s="207" t="str">
        <x:v>OP-DRAFT-00281</x:v>
      </x:c>
      <x:c r="D667" s="207" t="str">
        <x:v>production_order_id; operation_type_id; planned_hours; actual_hours; output_qty; defect_qty; completion_status</x:v>
      </x:c>
      <x:c r="E667" s="207" t="str">
        <x:v>47-20 Шафикова</x:v>
      </x:c>
      <x:c r="F667" s="207" t="str">
        <x:v>Назначить production_order_id, operation_type, дату и факт часов</x:v>
      </x:c>
      <x:c r="G667" s="207" t="str">
        <x:v>Производство</x:v>
      </x:c>
      <x:c r="H667" s="207" t="str">
        <x:v>Высокий</x:v>
      </x:c>
      <x:c r="I667" s="207" t="str">
        <x:v>Загрузка; производительность; фактическая cost</x:v>
      </x:c>
      <x:c r="J667" s="207" t="str">
        <x:v>Планирование DC26</x:v>
      </x:c>
      <x:c r="K667" s="207" t="str"/>
      <x:c r="L667" s="207" t="str"/>
      <x:c r="M667" s="207" t="str">
        <x:v>Не рассмотрено</x:v>
      </x:c>
      <x:c r="N667" s="207" t="str"/>
      <x:c r="O667" s="207" t="str">
        <x:v>17</x:v>
      </x:c>
      <x:c r="P667" s="207" t="n">
        <x:v>3</x:v>
      </x:c>
      <x:c r="Q667" s="208" t="str">
        <x:v>Wave 2 (31–60 дней)</x:v>
      </x:c>
    </x:row>
    <x:row r="668">
      <x:c r="A668" s="206" t="str">
        <x:v>DEC-00664</x:v>
      </x:c>
      <x:c r="B668" s="207" t="str">
        <x:v>Operation</x:v>
      </x:c>
      <x:c r="C668" s="207" t="str">
        <x:v>OP-DRAFT-00282</x:v>
      </x:c>
      <x:c r="D668" s="207" t="str">
        <x:v>production_order_id; operation_type_id; planned_hours; actual_hours; output_qty; defect_qty; completion_status</x:v>
      </x:c>
      <x:c r="E668" s="207" t="str">
        <x:v>47-20 Шафикова</x:v>
      </x:c>
      <x:c r="F668" s="207" t="str">
        <x:v>Назначить production_order_id, operation_type, дату и факт часов</x:v>
      </x:c>
      <x:c r="G668" s="207" t="str">
        <x:v>Производство</x:v>
      </x:c>
      <x:c r="H668" s="207" t="str">
        <x:v>Высокий</x:v>
      </x:c>
      <x:c r="I668" s="207" t="str">
        <x:v>Загрузка; производительность; фактическая cost</x:v>
      </x:c>
      <x:c r="J668" s="207" t="str">
        <x:v>Планирование DD26</x:v>
      </x:c>
      <x:c r="K668" s="207" t="str"/>
      <x:c r="L668" s="207" t="str"/>
      <x:c r="M668" s="207" t="str">
        <x:v>Не рассмотрено</x:v>
      </x:c>
      <x:c r="N668" s="207" t="str"/>
      <x:c r="O668" s="207" t="str">
        <x:v>17</x:v>
      </x:c>
      <x:c r="P668" s="207" t="n">
        <x:v>3</x:v>
      </x:c>
      <x:c r="Q668" s="208" t="str">
        <x:v>Wave 2 (31–60 дней)</x:v>
      </x:c>
    </x:row>
    <x:row r="669">
      <x:c r="A669" s="206" t="str">
        <x:v>DEC-00665</x:v>
      </x:c>
      <x:c r="B669" s="207" t="str">
        <x:v>Operation</x:v>
      </x:c>
      <x:c r="C669" s="207" t="str">
        <x:v>OP-DRAFT-00283</x:v>
      </x:c>
      <x:c r="D669" s="207" t="str">
        <x:v>production_order_id; operation_type_id; planned_hours; actual_hours; output_qty; defect_qty; completion_status</x:v>
      </x:c>
      <x:c r="E669" s="207" t="str">
        <x:v>47-20 Шафикова</x:v>
      </x:c>
      <x:c r="F669" s="207" t="str">
        <x:v>Назначить production_order_id, operation_type, дату и факт часов</x:v>
      </x:c>
      <x:c r="G669" s="207" t="str">
        <x:v>Производство</x:v>
      </x:c>
      <x:c r="H669" s="207" t="str">
        <x:v>Высокий</x:v>
      </x:c>
      <x:c r="I669" s="207" t="str">
        <x:v>Загрузка; производительность; фактическая cost</x:v>
      </x:c>
      <x:c r="J669" s="207" t="str">
        <x:v>Планирование DE26</x:v>
      </x:c>
      <x:c r="K669" s="207" t="str"/>
      <x:c r="L669" s="207" t="str"/>
      <x:c r="M669" s="207" t="str">
        <x:v>Не рассмотрено</x:v>
      </x:c>
      <x:c r="N669" s="207" t="str"/>
      <x:c r="O669" s="207" t="str">
        <x:v>17</x:v>
      </x:c>
      <x:c r="P669" s="207" t="n">
        <x:v>3</x:v>
      </x:c>
      <x:c r="Q669" s="208" t="str">
        <x:v>Wave 2 (31–60 дней)</x:v>
      </x:c>
    </x:row>
    <x:row r="670">
      <x:c r="A670" s="206" t="str">
        <x:v>DEC-00666</x:v>
      </x:c>
      <x:c r="B670" s="207" t="str">
        <x:v>Operation</x:v>
      </x:c>
      <x:c r="C670" s="207" t="str">
        <x:v>OP-DRAFT-00284</x:v>
      </x:c>
      <x:c r="D670" s="207" t="str">
        <x:v>production_order_id; operation_type_id; planned_hours; actual_hours; output_qty; defect_qty; completion_status</x:v>
      </x:c>
      <x:c r="E670" s="207" t="str">
        <x:v>47-20 Шафикова</x:v>
      </x:c>
      <x:c r="F670" s="207" t="str">
        <x:v>Назначить production_order_id, operation_type, дату и факт часов</x:v>
      </x:c>
      <x:c r="G670" s="207" t="str">
        <x:v>Производство</x:v>
      </x:c>
      <x:c r="H670" s="207" t="str">
        <x:v>Высокий</x:v>
      </x:c>
      <x:c r="I670" s="207" t="str">
        <x:v>Загрузка; производительность; фактическая cost</x:v>
      </x:c>
      <x:c r="J670" s="207" t="str">
        <x:v>Планирование DF26</x:v>
      </x:c>
      <x:c r="K670" s="207" t="str"/>
      <x:c r="L670" s="207" t="str"/>
      <x:c r="M670" s="207" t="str">
        <x:v>Не рассмотрено</x:v>
      </x:c>
      <x:c r="N670" s="207" t="str"/>
      <x:c r="O670" s="207" t="str">
        <x:v>17</x:v>
      </x:c>
      <x:c r="P670" s="207" t="n">
        <x:v>3</x:v>
      </x:c>
      <x:c r="Q670" s="208" t="str">
        <x:v>Wave 2 (31–60 дней)</x:v>
      </x:c>
    </x:row>
    <x:row r="671">
      <x:c r="A671" s="206" t="str">
        <x:v>DEC-00667</x:v>
      </x:c>
      <x:c r="B671" s="207" t="str">
        <x:v>Operation</x:v>
      </x:c>
      <x:c r="C671" s="207" t="str">
        <x:v>OP-DRAFT-00285</x:v>
      </x:c>
      <x:c r="D671" s="207" t="str">
        <x:v>production_order_id; operation_type_id; planned_hours; actual_hours; output_qty; defect_qty; completion_status</x:v>
      </x:c>
      <x:c r="E671" s="207" t="str">
        <x:v>47-20 Шафикова</x:v>
      </x:c>
      <x:c r="F671" s="207" t="str">
        <x:v>Назначить production_order_id, operation_type, дату и факт часов</x:v>
      </x:c>
      <x:c r="G671" s="207" t="str">
        <x:v>Производство</x:v>
      </x:c>
      <x:c r="H671" s="207" t="str">
        <x:v>Высокий</x:v>
      </x:c>
      <x:c r="I671" s="207" t="str">
        <x:v>Загрузка; производительность; фактическая cost</x:v>
      </x:c>
      <x:c r="J671" s="207" t="str">
        <x:v>Планирование DI26</x:v>
      </x:c>
      <x:c r="K671" s="207" t="str"/>
      <x:c r="L671" s="207" t="str"/>
      <x:c r="M671" s="207" t="str">
        <x:v>Не рассмотрено</x:v>
      </x:c>
      <x:c r="N671" s="207" t="str"/>
      <x:c r="O671" s="207" t="str">
        <x:v>17</x:v>
      </x:c>
      <x:c r="P671" s="207" t="n">
        <x:v>3</x:v>
      </x:c>
      <x:c r="Q671" s="208" t="str">
        <x:v>Wave 2 (31–60 дней)</x:v>
      </x:c>
    </x:row>
    <x:row r="672">
      <x:c r="A672" s="206" t="str">
        <x:v>DEC-00668</x:v>
      </x:c>
      <x:c r="B672" s="207" t="str">
        <x:v>Operation</x:v>
      </x:c>
      <x:c r="C672" s="207" t="str">
        <x:v>OP-DRAFT-00286</x:v>
      </x:c>
      <x:c r="D672" s="207" t="str">
        <x:v>production_order_id; operation_type_id; planned_hours; actual_hours; output_qty; defect_qty; completion_status</x:v>
      </x:c>
      <x:c r="E672" s="207" t="str">
        <x:v>47-20 Шафикова</x:v>
      </x:c>
      <x:c r="F672" s="207" t="str">
        <x:v>Назначить production_order_id, operation_type, дату и факт часов</x:v>
      </x:c>
      <x:c r="G672" s="207" t="str">
        <x:v>Производство</x:v>
      </x:c>
      <x:c r="H672" s="207" t="str">
        <x:v>Высокий</x:v>
      </x:c>
      <x:c r="I672" s="207" t="str">
        <x:v>Загрузка; производительность; фактическая cost</x:v>
      </x:c>
      <x:c r="J672" s="207" t="str">
        <x:v>Планирование DJ26</x:v>
      </x:c>
      <x:c r="K672" s="207" t="str"/>
      <x:c r="L672" s="207" t="str"/>
      <x:c r="M672" s="207" t="str">
        <x:v>Не рассмотрено</x:v>
      </x:c>
      <x:c r="N672" s="207" t="str"/>
      <x:c r="O672" s="207" t="str">
        <x:v>17</x:v>
      </x:c>
      <x:c r="P672" s="207" t="n">
        <x:v>3</x:v>
      </x:c>
      <x:c r="Q672" s="208" t="str">
        <x:v>Wave 2 (31–60 дней)</x:v>
      </x:c>
    </x:row>
    <x:row r="673">
      <x:c r="A673" s="206" t="str">
        <x:v>DEC-00669</x:v>
      </x:c>
      <x:c r="B673" s="207" t="str">
        <x:v>Operation</x:v>
      </x:c>
      <x:c r="C673" s="207" t="str">
        <x:v>OP-DRAFT-00287</x:v>
      </x:c>
      <x:c r="D673" s="207" t="str">
        <x:v>production_order_id; operation_type_id; planned_hours; actual_hours; output_qty; defect_qty; completion_status</x:v>
      </x:c>
      <x:c r="E673" s="207" t="str">
        <x:v>47-20 Шафикова</x:v>
      </x:c>
      <x:c r="F673" s="207" t="str">
        <x:v>Назначить production_order_id, operation_type, дату и факт часов</x:v>
      </x:c>
      <x:c r="G673" s="207" t="str">
        <x:v>Производство</x:v>
      </x:c>
      <x:c r="H673" s="207" t="str">
        <x:v>Высокий</x:v>
      </x:c>
      <x:c r="I673" s="207" t="str">
        <x:v>Загрузка; производительность; фактическая cost</x:v>
      </x:c>
      <x:c r="J673" s="207" t="str">
        <x:v>Планирование DK26</x:v>
      </x:c>
      <x:c r="K673" s="207" t="str"/>
      <x:c r="L673" s="207" t="str"/>
      <x:c r="M673" s="207" t="str">
        <x:v>Не рассмотрено</x:v>
      </x:c>
      <x:c r="N673" s="207" t="str"/>
      <x:c r="O673" s="207" t="str">
        <x:v>17</x:v>
      </x:c>
      <x:c r="P673" s="207" t="n">
        <x:v>3</x:v>
      </x:c>
      <x:c r="Q673" s="208" t="str">
        <x:v>Wave 2 (31–60 дней)</x:v>
      </x:c>
    </x:row>
    <x:row r="674">
      <x:c r="A674" s="206" t="str">
        <x:v>DEC-00670</x:v>
      </x:c>
      <x:c r="B674" s="207" t="str">
        <x:v>Operation</x:v>
      </x:c>
      <x:c r="C674" s="207" t="str">
        <x:v>OP-DRAFT-00288</x:v>
      </x:c>
      <x:c r="D674" s="207" t="str">
        <x:v>production_order_id; operation_type_id; planned_hours; actual_hours; output_qty; defect_qty; completion_status</x:v>
      </x:c>
      <x:c r="E674" s="207" t="str">
        <x:v>47-20 Шафикова</x:v>
      </x:c>
      <x:c r="F674" s="207" t="str">
        <x:v>Назначить production_order_id, operation_type, дату и факт часов</x:v>
      </x:c>
      <x:c r="G674" s="207" t="str">
        <x:v>Производство</x:v>
      </x:c>
      <x:c r="H674" s="207" t="str">
        <x:v>Высокий</x:v>
      </x:c>
      <x:c r="I674" s="207" t="str">
        <x:v>Загрузка; производительность; фактическая cost</x:v>
      </x:c>
      <x:c r="J674" s="207" t="str">
        <x:v>Планирование DL26</x:v>
      </x:c>
      <x:c r="K674" s="207" t="str"/>
      <x:c r="L674" s="207" t="str"/>
      <x:c r="M674" s="207" t="str">
        <x:v>Не рассмотрено</x:v>
      </x:c>
      <x:c r="N674" s="207" t="str"/>
      <x:c r="O674" s="207" t="str">
        <x:v>17</x:v>
      </x:c>
      <x:c r="P674" s="207" t="n">
        <x:v>3</x:v>
      </x:c>
      <x:c r="Q674" s="208" t="str">
        <x:v>Wave 2 (31–60 дней)</x:v>
      </x:c>
    </x:row>
    <x:row r="675">
      <x:c r="A675" s="206" t="str">
        <x:v>DEC-00671</x:v>
      </x:c>
      <x:c r="B675" s="207" t="str">
        <x:v>Operation</x:v>
      </x:c>
      <x:c r="C675" s="207" t="str">
        <x:v>OP-DRAFT-00289</x:v>
      </x:c>
      <x:c r="D675" s="207" t="str">
        <x:v>production_order_id; operation_type_id; planned_hours; actual_hours; output_qty; defect_qty; completion_status</x:v>
      </x:c>
      <x:c r="E675" s="207" t="str">
        <x:v>47-20 Шафикова</x:v>
      </x:c>
      <x:c r="F675" s="207" t="str">
        <x:v>Назначить production_order_id, operation_type, дату и факт часов</x:v>
      </x:c>
      <x:c r="G675" s="207" t="str">
        <x:v>Производство</x:v>
      </x:c>
      <x:c r="H675" s="207" t="str">
        <x:v>Высокий</x:v>
      </x:c>
      <x:c r="I675" s="207" t="str">
        <x:v>Загрузка; производительность; фактическая cost</x:v>
      </x:c>
      <x:c r="J675" s="207" t="str">
        <x:v>Планирование DM26</x:v>
      </x:c>
      <x:c r="K675" s="207" t="str"/>
      <x:c r="L675" s="207" t="str"/>
      <x:c r="M675" s="207" t="str">
        <x:v>Не рассмотрено</x:v>
      </x:c>
      <x:c r="N675" s="207" t="str"/>
      <x:c r="O675" s="207" t="str">
        <x:v>17</x:v>
      </x:c>
      <x:c r="P675" s="207" t="n">
        <x:v>3</x:v>
      </x:c>
      <x:c r="Q675" s="208" t="str">
        <x:v>Wave 2 (31–60 дней)</x:v>
      </x:c>
    </x:row>
    <x:row r="676">
      <x:c r="A676" s="206" t="str">
        <x:v>DEC-00672</x:v>
      </x:c>
      <x:c r="B676" s="207" t="str">
        <x:v>Operation</x:v>
      </x:c>
      <x:c r="C676" s="207" t="str">
        <x:v>OP-DRAFT-00290</x:v>
      </x:c>
      <x:c r="D676" s="207" t="str">
        <x:v>production_order_id; operation_type_id; planned_hours; actual_hours; output_qty; defect_qty; completion_status</x:v>
      </x:c>
      <x:c r="E676" s="207" t="str">
        <x:v>47-27 Кислова 22д, сд 8.06</x:v>
      </x:c>
      <x:c r="F676" s="207" t="str">
        <x:v>Назначить production_order_id, operation_type, дату и факт часов</x:v>
      </x:c>
      <x:c r="G676" s="207" t="str">
        <x:v>Производство</x:v>
      </x:c>
      <x:c r="H676" s="207" t="str">
        <x:v>Высокий</x:v>
      </x:c>
      <x:c r="I676" s="207" t="str">
        <x:v>Загрузка; производительность; фактическая cost</x:v>
      </x:c>
      <x:c r="J676" s="207" t="str">
        <x:v>Планирование C27</x:v>
      </x:c>
      <x:c r="K676" s="207" t="str"/>
      <x:c r="L676" s="207" t="str"/>
      <x:c r="M676" s="207" t="str">
        <x:v>Не рассмотрено</x:v>
      </x:c>
      <x:c r="N676" s="207" t="str"/>
      <x:c r="O676" s="207" t="str">
        <x:v>17</x:v>
      </x:c>
      <x:c r="P676" s="207" t="n">
        <x:v>3</x:v>
      </x:c>
      <x:c r="Q676" s="208" t="str">
        <x:v>Wave 2 (31–60 дней)</x:v>
      </x:c>
    </x:row>
    <x:row r="677">
      <x:c r="A677" s="206" t="str">
        <x:v>DEC-00673</x:v>
      </x:c>
      <x:c r="B677" s="207" t="str">
        <x:v>Operation</x:v>
      </x:c>
      <x:c r="C677" s="207" t="str">
        <x:v>OP-DRAFT-00291</x:v>
      </x:c>
      <x:c r="D677" s="207" t="str">
        <x:v>production_order_id; operation_type_id; planned_hours; actual_hours; output_qty; defect_qty; completion_status</x:v>
      </x:c>
      <x:c r="E677" s="207" t="str">
        <x:v>Кислова 47-27 сд 8.06</x:v>
      </x:c>
      <x:c r="F677" s="207" t="str">
        <x:v>Назначить production_order_id, operation_type, дату и факт часов</x:v>
      </x:c>
      <x:c r="G677" s="207" t="str">
        <x:v>Производство</x:v>
      </x:c>
      <x:c r="H677" s="207" t="str">
        <x:v>Высокий</x:v>
      </x:c>
      <x:c r="I677" s="207" t="str">
        <x:v>Загрузка; производительность; фактическая cost</x:v>
      </x:c>
      <x:c r="J677" s="207" t="str">
        <x:v>Планирование O27</x:v>
      </x:c>
      <x:c r="K677" s="207" t="str"/>
      <x:c r="L677" s="207" t="str"/>
      <x:c r="M677" s="207" t="str">
        <x:v>Не рассмотрено</x:v>
      </x:c>
      <x:c r="N677" s="207" t="str"/>
      <x:c r="O677" s="207" t="str">
        <x:v>17</x:v>
      </x:c>
      <x:c r="P677" s="207" t="n">
        <x:v>3</x:v>
      </x:c>
      <x:c r="Q677" s="208" t="str">
        <x:v>Wave 2 (31–60 дней)</x:v>
      </x:c>
    </x:row>
    <x:row r="678">
      <x:c r="A678" s="206" t="str">
        <x:v>DEC-00674</x:v>
      </x:c>
      <x:c r="B678" s="207" t="str">
        <x:v>Operation</x:v>
      </x:c>
      <x:c r="C678" s="207" t="str">
        <x:v>OP-DRAFT-00292</x:v>
      </x:c>
      <x:c r="D678" s="207" t="str">
        <x:v>production_order_id; operation_type_id; planned_hours; actual_hours; output_qty; defect_qty; completion_status</x:v>
      </x:c>
      <x:c r="E678" s="207" t="str">
        <x:v>47-27 Кислова</x:v>
      </x:c>
      <x:c r="F678" s="207" t="str">
        <x:v>Назначить production_order_id, operation_type, дату и факт часов</x:v>
      </x:c>
      <x:c r="G678" s="207" t="str">
        <x:v>Производство</x:v>
      </x:c>
      <x:c r="H678" s="207" t="str">
        <x:v>Высокий</x:v>
      </x:c>
      <x:c r="I678" s="207" t="str">
        <x:v>Загрузка; производительность; фактическая cost</x:v>
      </x:c>
      <x:c r="J678" s="207" t="str">
        <x:v>Планирование V27</x:v>
      </x:c>
      <x:c r="K678" s="207" t="str"/>
      <x:c r="L678" s="207" t="str"/>
      <x:c r="M678" s="207" t="str">
        <x:v>Не рассмотрено</x:v>
      </x:c>
      <x:c r="N678" s="207" t="str"/>
      <x:c r="O678" s="207" t="str">
        <x:v>17</x:v>
      </x:c>
      <x:c r="P678" s="207" t="n">
        <x:v>3</x:v>
      </x:c>
      <x:c r="Q678" s="208" t="str">
        <x:v>Wave 2 (31–60 дней)</x:v>
      </x:c>
    </x:row>
    <x:row r="679">
      <x:c r="A679" s="206" t="str">
        <x:v>DEC-00675</x:v>
      </x:c>
      <x:c r="B679" s="207" t="str">
        <x:v>Operation</x:v>
      </x:c>
      <x:c r="C679" s="207" t="str">
        <x:v>OP-DRAFT-00293</x:v>
      </x:c>
      <x:c r="D679" s="207" t="str">
        <x:v>production_order_id; operation_type_id; planned_hours; actual_hours; output_qty; defect_qty; completion_status</x:v>
      </x:c>
      <x:c r="E679" s="207" t="str">
        <x:v>47-27 Кислова</x:v>
      </x:c>
      <x:c r="F679" s="207" t="str">
        <x:v>Назначить production_order_id, operation_type, дату и факт часов</x:v>
      </x:c>
      <x:c r="G679" s="207" t="str">
        <x:v>Производство</x:v>
      </x:c>
      <x:c r="H679" s="207" t="str">
        <x:v>Высокий</x:v>
      </x:c>
      <x:c r="I679" s="207" t="str">
        <x:v>Загрузка; производительность; фактическая cost</x:v>
      </x:c>
      <x:c r="J679" s="207" t="str">
        <x:v>Планирование W27</x:v>
      </x:c>
      <x:c r="K679" s="207" t="str"/>
      <x:c r="L679" s="207" t="str"/>
      <x:c r="M679" s="207" t="str">
        <x:v>Не рассмотрено</x:v>
      </x:c>
      <x:c r="N679" s="207" t="str"/>
      <x:c r="O679" s="207" t="str">
        <x:v>17</x:v>
      </x:c>
      <x:c r="P679" s="207" t="n">
        <x:v>3</x:v>
      </x:c>
      <x:c r="Q679" s="208" t="str">
        <x:v>Wave 2 (31–60 дней)</x:v>
      </x:c>
    </x:row>
    <x:row r="680">
      <x:c r="A680" s="206" t="str">
        <x:v>DEC-00676</x:v>
      </x:c>
      <x:c r="B680" s="207" t="str">
        <x:v>Operation</x:v>
      </x:c>
      <x:c r="C680" s="207" t="str">
        <x:v>OP-DRAFT-00294</x:v>
      </x:c>
      <x:c r="D680" s="207" t="str">
        <x:v>production_order_id; operation_type_id; planned_hours; actual_hours; output_qty; defect_qty; completion_status</x:v>
      </x:c>
      <x:c r="E680" s="207" t="str">
        <x:v>48-26</x:v>
      </x:c>
      <x:c r="F680" s="207" t="str">
        <x:v>Назначить production_order_id, operation_type, дату и факт часов</x:v>
      </x:c>
      <x:c r="G680" s="207" t="str">
        <x:v>Производство</x:v>
      </x:c>
      <x:c r="H680" s="207" t="str">
        <x:v>Высокий</x:v>
      </x:c>
      <x:c r="I680" s="207" t="str">
        <x:v>Загрузка; производительность; фактическая cost</x:v>
      </x:c>
      <x:c r="J680" s="207" t="str">
        <x:v>Планирование X27</x:v>
      </x:c>
      <x:c r="K680" s="207" t="str"/>
      <x:c r="L680" s="207" t="str"/>
      <x:c r="M680" s="207" t="str">
        <x:v>Не рассмотрено</x:v>
      </x:c>
      <x:c r="N680" s="207" t="str"/>
      <x:c r="O680" s="207" t="str">
        <x:v>17</x:v>
      </x:c>
      <x:c r="P680" s="207" t="n">
        <x:v>3</x:v>
      </x:c>
      <x:c r="Q680" s="208" t="str">
        <x:v>Wave 2 (31–60 дней)</x:v>
      </x:c>
    </x:row>
    <x:row r="681">
      <x:c r="A681" s="206" t="str">
        <x:v>DEC-00677</x:v>
      </x:c>
      <x:c r="B681" s="207" t="str">
        <x:v>Operation</x:v>
      </x:c>
      <x:c r="C681" s="207" t="str">
        <x:v>OP-DRAFT-00295</x:v>
      </x:c>
      <x:c r="D681" s="207" t="str">
        <x:v>production_order_id; operation_type_id; planned_hours; actual_hours; output_qty; defect_qty; completion_status</x:v>
      </x:c>
      <x:c r="E681" s="207" t="str">
        <x:v>48-06</x:v>
      </x:c>
      <x:c r="F681" s="207" t="str">
        <x:v>Назначить production_order_id, operation_type, дату и факт часов</x:v>
      </x:c>
      <x:c r="G681" s="207" t="str">
        <x:v>Производство</x:v>
      </x:c>
      <x:c r="H681" s="207" t="str">
        <x:v>Высокий</x:v>
      </x:c>
      <x:c r="I681" s="207" t="str">
        <x:v>Загрузка; производительность; фактическая cost</x:v>
      </x:c>
      <x:c r="J681" s="207" t="str">
        <x:v>Планирование Y27</x:v>
      </x:c>
      <x:c r="K681" s="207" t="str"/>
      <x:c r="L681" s="207" t="str"/>
      <x:c r="M681" s="207" t="str">
        <x:v>Не рассмотрено</x:v>
      </x:c>
      <x:c r="N681" s="207" t="str"/>
      <x:c r="O681" s="207" t="str">
        <x:v>17</x:v>
      </x:c>
      <x:c r="P681" s="207" t="n">
        <x:v>3</x:v>
      </x:c>
      <x:c r="Q681" s="208" t="str">
        <x:v>Wave 2 (31–60 дней)</x:v>
      </x:c>
    </x:row>
    <x:row r="682">
      <x:c r="A682" s="206" t="str">
        <x:v>DEC-00678</x:v>
      </x:c>
      <x:c r="B682" s="207" t="str">
        <x:v>Operation</x:v>
      </x:c>
      <x:c r="C682" s="207" t="str">
        <x:v>OP-DRAFT-00296</x:v>
      </x:c>
      <x:c r="D682" s="207" t="str">
        <x:v>production_order_id; operation_type_id; planned_hours; actual_hours; output_qty; defect_qty; completion_status</x:v>
      </x:c>
      <x:c r="E682" s="207" t="str">
        <x:v>48-06</x:v>
      </x:c>
      <x:c r="F682" s="207" t="str">
        <x:v>Назначить production_order_id, operation_type, дату и факт часов</x:v>
      </x:c>
      <x:c r="G682" s="207" t="str">
        <x:v>Производство</x:v>
      </x:c>
      <x:c r="H682" s="207" t="str">
        <x:v>Высокий</x:v>
      </x:c>
      <x:c r="I682" s="207" t="str">
        <x:v>Загрузка; производительность; фактическая cost</x:v>
      </x:c>
      <x:c r="J682" s="207" t="str">
        <x:v>Планирование Z27</x:v>
      </x:c>
      <x:c r="K682" s="207" t="str"/>
      <x:c r="L682" s="207" t="str"/>
      <x:c r="M682" s="207" t="str">
        <x:v>Не рассмотрено</x:v>
      </x:c>
      <x:c r="N682" s="207" t="str"/>
      <x:c r="O682" s="207" t="str">
        <x:v>17</x:v>
      </x:c>
      <x:c r="P682" s="207" t="n">
        <x:v>3</x:v>
      </x:c>
      <x:c r="Q682" s="208" t="str">
        <x:v>Wave 2 (31–60 дней)</x:v>
      </x:c>
    </x:row>
    <x:row r="683">
      <x:c r="A683" s="206" t="str">
        <x:v>DEC-00679</x:v>
      </x:c>
      <x:c r="B683" s="207" t="str">
        <x:v>Operation</x:v>
      </x:c>
      <x:c r="C683" s="207" t="str">
        <x:v>OP-DRAFT-00297</x:v>
      </x:c>
      <x:c r="D683" s="207" t="str">
        <x:v>production_order_id; operation_type_id; planned_hours; actual_hours; output_qty; defect_qty; completion_status</x:v>
      </x:c>
      <x:c r="E683" s="207" t="str">
        <x:v>48-06</x:v>
      </x:c>
      <x:c r="F683" s="207" t="str">
        <x:v>Назначить production_order_id, operation_type, дату и факт часов</x:v>
      </x:c>
      <x:c r="G683" s="207" t="str">
        <x:v>Производство</x:v>
      </x:c>
      <x:c r="H683" s="207" t="str">
        <x:v>Высокий</x:v>
      </x:c>
      <x:c r="I683" s="207" t="str">
        <x:v>Загрузка; производительность; фактическая cost</x:v>
      </x:c>
      <x:c r="J683" s="207" t="str">
        <x:v>Планирование AA27</x:v>
      </x:c>
      <x:c r="K683" s="207" t="str"/>
      <x:c r="L683" s="207" t="str"/>
      <x:c r="M683" s="207" t="str">
        <x:v>Не рассмотрено</x:v>
      </x:c>
      <x:c r="N683" s="207" t="str"/>
      <x:c r="O683" s="207" t="str">
        <x:v>17</x:v>
      </x:c>
      <x:c r="P683" s="207" t="n">
        <x:v>3</x:v>
      </x:c>
      <x:c r="Q683" s="208" t="str">
        <x:v>Wave 2 (31–60 дней)</x:v>
      </x:c>
    </x:row>
    <x:row r="684">
      <x:c r="A684" s="206" t="str">
        <x:v>DEC-00680</x:v>
      </x:c>
      <x:c r="B684" s="207" t="str">
        <x:v>Operation</x:v>
      </x:c>
      <x:c r="C684" s="207" t="str">
        <x:v>OP-DRAFT-00298</x:v>
      </x:c>
      <x:c r="D684" s="207" t="str">
        <x:v>production_order_id; operation_type_id; planned_hours; actual_hours; output_qty; defect_qty; completion_status</x:v>
      </x:c>
      <x:c r="E684" s="207" t="str">
        <x:v>48-08 веточки</x:v>
      </x:c>
      <x:c r="F684" s="207" t="str">
        <x:v>Назначить production_order_id, operation_type, дату и факт часов</x:v>
      </x:c>
      <x:c r="G684" s="207" t="str">
        <x:v>Производство</x:v>
      </x:c>
      <x:c r="H684" s="207" t="str">
        <x:v>Высокий</x:v>
      </x:c>
      <x:c r="I684" s="207" t="str">
        <x:v>Загрузка; производительность; фактическая cost</x:v>
      </x:c>
      <x:c r="J684" s="207" t="str">
        <x:v>Планирование AC27</x:v>
      </x:c>
      <x:c r="K684" s="207" t="str"/>
      <x:c r="L684" s="207" t="str"/>
      <x:c r="M684" s="207" t="str">
        <x:v>Не рассмотрено</x:v>
      </x:c>
      <x:c r="N684" s="207" t="str"/>
      <x:c r="O684" s="207" t="str">
        <x:v>17</x:v>
      </x:c>
      <x:c r="P684" s="207" t="n">
        <x:v>3</x:v>
      </x:c>
      <x:c r="Q684" s="208" t="str">
        <x:v>Wave 2 (31–60 дней)</x:v>
      </x:c>
    </x:row>
    <x:row r="685">
      <x:c r="A685" s="206" t="str">
        <x:v>DEC-00681</x:v>
      </x:c>
      <x:c r="B685" s="207" t="str">
        <x:v>Operation</x:v>
      </x:c>
      <x:c r="C685" s="207" t="str">
        <x:v>OP-DRAFT-00299</x:v>
      </x:c>
      <x:c r="D685" s="207" t="str">
        <x:v>production_order_id; operation_type_id; planned_hours; actual_hours; output_qty; defect_qty; completion_status</x:v>
      </x:c>
      <x:c r="E685" s="207" t="str">
        <x:v>48-08 веточки</x:v>
      </x:c>
      <x:c r="F685" s="207" t="str">
        <x:v>Назначить production_order_id, operation_type, дату и факт часов</x:v>
      </x:c>
      <x:c r="G685" s="207" t="str">
        <x:v>Производство</x:v>
      </x:c>
      <x:c r="H685" s="207" t="str">
        <x:v>Высокий</x:v>
      </x:c>
      <x:c r="I685" s="207" t="str">
        <x:v>Загрузка; производительность; фактическая cost</x:v>
      </x:c>
      <x:c r="J685" s="207" t="str">
        <x:v>Планирование AD27</x:v>
      </x:c>
      <x:c r="K685" s="207" t="str"/>
      <x:c r="L685" s="207" t="str"/>
      <x:c r="M685" s="207" t="str">
        <x:v>Не рассмотрено</x:v>
      </x:c>
      <x:c r="N685" s="207" t="str"/>
      <x:c r="O685" s="207" t="str">
        <x:v>17</x:v>
      </x:c>
      <x:c r="P685" s="207" t="n">
        <x:v>3</x:v>
      </x:c>
      <x:c r="Q685" s="208" t="str">
        <x:v>Wave 2 (31–60 дней)</x:v>
      </x:c>
    </x:row>
    <x:row r="686">
      <x:c r="A686" s="206" t="str">
        <x:v>DEC-00682</x:v>
      </x:c>
      <x:c r="B686" s="207" t="str">
        <x:v>Operation</x:v>
      </x:c>
      <x:c r="C686" s="207" t="str">
        <x:v>OP-DRAFT-00301</x:v>
      </x:c>
      <x:c r="D686" s="207" t="str">
        <x:v>production_order_id; operation_type_id; planned_hours; actual_hours; output_qty; defect_qty; completion_status</x:v>
      </x:c>
      <x:c r="E686" s="207" t="str">
        <x:v>48-26</x:v>
      </x:c>
      <x:c r="F686" s="207" t="str">
        <x:v>Назначить production_order_id, operation_type, дату и факт часов</x:v>
      </x:c>
      <x:c r="G686" s="207" t="str">
        <x:v>Производство</x:v>
      </x:c>
      <x:c r="H686" s="207" t="str">
        <x:v>Высокий</x:v>
      </x:c>
      <x:c r="I686" s="207" t="str">
        <x:v>Загрузка; производительность; фактическая cost</x:v>
      </x:c>
      <x:c r="J686" s="207" t="str">
        <x:v>Планирование AF27</x:v>
      </x:c>
      <x:c r="K686" s="207" t="str"/>
      <x:c r="L686" s="207" t="str"/>
      <x:c r="M686" s="207" t="str">
        <x:v>Не рассмотрено</x:v>
      </x:c>
      <x:c r="N686" s="207" t="str"/>
      <x:c r="O686" s="207" t="str">
        <x:v>17</x:v>
      </x:c>
      <x:c r="P686" s="207" t="n">
        <x:v>3</x:v>
      </x:c>
      <x:c r="Q686" s="208" t="str">
        <x:v>Wave 2 (31–60 дней)</x:v>
      </x:c>
    </x:row>
    <x:row r="687">
      <x:c r="A687" s="206" t="str">
        <x:v>DEC-00683</x:v>
      </x:c>
      <x:c r="B687" s="207" t="str">
        <x:v>Operation</x:v>
      </x:c>
      <x:c r="C687" s="207" t="str">
        <x:v>OP-DRAFT-00302</x:v>
      </x:c>
      <x:c r="D687" s="207" t="str">
        <x:v>production_order_id; operation_type_id; planned_hours; actual_hours; output_qty; defect_qty; completion_status</x:v>
      </x:c>
      <x:c r="E687" s="207" t="str">
        <x:v>48-29</x:v>
      </x:c>
      <x:c r="F687" s="207" t="str">
        <x:v>Назначить production_order_id, operation_type, дату и факт часов</x:v>
      </x:c>
      <x:c r="G687" s="207" t="str">
        <x:v>Производство</x:v>
      </x:c>
      <x:c r="H687" s="207" t="str">
        <x:v>Высокий</x:v>
      </x:c>
      <x:c r="I687" s="207" t="str">
        <x:v>Загрузка; производительность; фактическая cost</x:v>
      </x:c>
      <x:c r="J687" s="207" t="str">
        <x:v>Планирование AG27</x:v>
      </x:c>
      <x:c r="K687" s="207" t="str"/>
      <x:c r="L687" s="207" t="str"/>
      <x:c r="M687" s="207" t="str">
        <x:v>Не рассмотрено</x:v>
      </x:c>
      <x:c r="N687" s="207" t="str"/>
      <x:c r="O687" s="207" t="str">
        <x:v>17</x:v>
      </x:c>
      <x:c r="P687" s="207" t="n">
        <x:v>3</x:v>
      </x:c>
      <x:c r="Q687" s="208" t="str">
        <x:v>Wave 2 (31–60 дней)</x:v>
      </x:c>
    </x:row>
    <x:row r="688">
      <x:c r="A688" s="206" t="str">
        <x:v>DEC-00684</x:v>
      </x:c>
      <x:c r="B688" s="207" t="str">
        <x:v>Operation</x:v>
      </x:c>
      <x:c r="C688" s="207" t="str">
        <x:v>OP-DRAFT-00303</x:v>
      </x:c>
      <x:c r="D688" s="207" t="str">
        <x:v>production_order_id; operation_type_id; planned_hours; actual_hours; output_qty; defect_qty; completion_status</x:v>
      </x:c>
      <x:c r="E688" s="207" t="str">
        <x:v>47-20 Борисевич 21д, сд 26.05</x:v>
      </x:c>
      <x:c r="F688" s="207" t="str">
        <x:v>Назначить production_order_id, operation_type, дату и факт часов</x:v>
      </x:c>
      <x:c r="G688" s="207" t="str">
        <x:v>Производство</x:v>
      </x:c>
      <x:c r="H688" s="207" t="str">
        <x:v>Высокий</x:v>
      </x:c>
      <x:c r="I688" s="207" t="str">
        <x:v>Загрузка; производительность; фактическая cost</x:v>
      </x:c>
      <x:c r="J688" s="207" t="str">
        <x:v>Планирование C28</x:v>
      </x:c>
      <x:c r="K688" s="207" t="str"/>
      <x:c r="L688" s="207" t="str"/>
      <x:c r="M688" s="207" t="str">
        <x:v>Не рассмотрено</x:v>
      </x:c>
      <x:c r="N688" s="207" t="str"/>
      <x:c r="O688" s="207" t="str">
        <x:v>17</x:v>
      </x:c>
      <x:c r="P688" s="207" t="n">
        <x:v>3</x:v>
      </x:c>
      <x:c r="Q688" s="208" t="str">
        <x:v>Wave 2 (31–60 дней)</x:v>
      </x:c>
    </x:row>
    <x:row r="689">
      <x:c r="A689" s="206" t="str">
        <x:v>DEC-00685</x:v>
      </x:c>
      <x:c r="B689" s="207" t="str">
        <x:v>Operation</x:v>
      </x:c>
      <x:c r="C689" s="207" t="str">
        <x:v>OP-DRAFT-00305</x:v>
      </x:c>
      <x:c r="D689" s="207" t="str">
        <x:v>production_order_id; operation_type_id; planned_hours; actual_hours; output_qty; defect_qty; completion_status</x:v>
      </x:c>
      <x:c r="E689" s="207" t="str">
        <x:v>48-27 лосины</x:v>
      </x:c>
      <x:c r="F689" s="207" t="str">
        <x:v>Назначить production_order_id, operation_type, дату и факт часов</x:v>
      </x:c>
      <x:c r="G689" s="207" t="str">
        <x:v>Производство</x:v>
      </x:c>
      <x:c r="H689" s="207" t="str">
        <x:v>Высокий</x:v>
      </x:c>
      <x:c r="I689" s="207" t="str">
        <x:v>Загрузка; производительность; фактическая cost</x:v>
      </x:c>
      <x:c r="J689" s="207" t="str">
        <x:v>Планирование O28</x:v>
      </x:c>
      <x:c r="K689" s="207" t="str"/>
      <x:c r="L689" s="207" t="str"/>
      <x:c r="M689" s="207" t="str">
        <x:v>Не рассмотрено</x:v>
      </x:c>
      <x:c r="N689" s="207" t="str"/>
      <x:c r="O689" s="207" t="str">
        <x:v>17</x:v>
      </x:c>
      <x:c r="P689" s="207" t="n">
        <x:v>3</x:v>
      </x:c>
      <x:c r="Q689" s="208" t="str">
        <x:v>Wave 2 (31–60 дней)</x:v>
      </x:c>
    </x:row>
    <x:row r="690">
      <x:c r="A690" s="206" t="str">
        <x:v>DEC-00686</x:v>
      </x:c>
      <x:c r="B690" s="207" t="str">
        <x:v>Operation</x:v>
      </x:c>
      <x:c r="C690" s="207" t="str">
        <x:v>OP-DRAFT-00306</x:v>
      </x:c>
      <x:c r="D690" s="207" t="str">
        <x:v>production_order_id; operation_type_id; planned_hours; actual_hours; output_qty; defect_qty; completion_status</x:v>
      </x:c>
      <x:c r="E690" s="207" t="str">
        <x:v>48-27 лосины</x:v>
      </x:c>
      <x:c r="F690" s="207" t="str">
        <x:v>Назначить production_order_id, operation_type, дату и факт часов</x:v>
      </x:c>
      <x:c r="G690" s="207" t="str">
        <x:v>Производство</x:v>
      </x:c>
      <x:c r="H690" s="207" t="str">
        <x:v>Высокий</x:v>
      </x:c>
      <x:c r="I690" s="207" t="str">
        <x:v>Загрузка; производительность; фактическая cost</x:v>
      </x:c>
      <x:c r="J690" s="207" t="str">
        <x:v>Планирование V28</x:v>
      </x:c>
      <x:c r="K690" s="207" t="str"/>
      <x:c r="L690" s="207" t="str"/>
      <x:c r="M690" s="207" t="str">
        <x:v>Не рассмотрено</x:v>
      </x:c>
      <x:c r="N690" s="207" t="str"/>
      <x:c r="O690" s="207" t="str">
        <x:v>17</x:v>
      </x:c>
      <x:c r="P690" s="207" t="n">
        <x:v>3</x:v>
      </x:c>
      <x:c r="Q690" s="208" t="str">
        <x:v>Wave 2 (31–60 дней)</x:v>
      </x:c>
    </x:row>
    <x:row r="691">
      <x:c r="A691" s="206" t="str">
        <x:v>DEC-00687</x:v>
      </x:c>
      <x:c r="B691" s="207" t="str">
        <x:v>Operation</x:v>
      </x:c>
      <x:c r="C691" s="207" t="str">
        <x:v>OP-DRAFT-00307</x:v>
      </x:c>
      <x:c r="D691" s="207" t="str">
        <x:v>production_order_id; operation_type_id; planned_hours; actual_hours; output_qty; defect_qty; completion_status</x:v>
      </x:c>
      <x:c r="E691" s="207" t="str">
        <x:v>48-27 Лосины</x:v>
      </x:c>
      <x:c r="F691" s="207" t="str">
        <x:v>Назначить production_order_id, operation_type, дату и факт часов</x:v>
      </x:c>
      <x:c r="G691" s="207" t="str">
        <x:v>Производство</x:v>
      </x:c>
      <x:c r="H691" s="207" t="str">
        <x:v>Высокий</x:v>
      </x:c>
      <x:c r="I691" s="207" t="str">
        <x:v>Загрузка; производительность; фактическая cost</x:v>
      </x:c>
      <x:c r="J691" s="207" t="str">
        <x:v>Планирование AC28</x:v>
      </x:c>
      <x:c r="K691" s="207" t="str"/>
      <x:c r="L691" s="207" t="str"/>
      <x:c r="M691" s="207" t="str">
        <x:v>Не рассмотрено</x:v>
      </x:c>
      <x:c r="N691" s="207" t="str"/>
      <x:c r="O691" s="207" t="str">
        <x:v>17</x:v>
      </x:c>
      <x:c r="P691" s="207" t="n">
        <x:v>3</x:v>
      </x:c>
      <x:c r="Q691" s="208" t="str">
        <x:v>Wave 2 (31–60 дней)</x:v>
      </x:c>
    </x:row>
    <x:row r="692">
      <x:c r="A692" s="206" t="str">
        <x:v>DEC-00688</x:v>
      </x:c>
      <x:c r="B692" s="207" t="str">
        <x:v>Operation</x:v>
      </x:c>
      <x:c r="C692" s="207" t="str">
        <x:v>OP-DRAFT-00308</x:v>
      </x:c>
      <x:c r="D692" s="207" t="str">
        <x:v>production_order_id; operation_type_id; planned_hours; actual_hours; output_qty; defect_qty; completion_status</x:v>
      </x:c>
      <x:c r="E692" s="207" t="str">
        <x:v>48-08 веточки</x:v>
      </x:c>
      <x:c r="F692" s="207" t="str">
        <x:v>Назначить production_order_id, operation_type, дату и факт часов</x:v>
      </x:c>
      <x:c r="G692" s="207" t="str">
        <x:v>Производство</x:v>
      </x:c>
      <x:c r="H692" s="207" t="str">
        <x:v>Высокий</x:v>
      </x:c>
      <x:c r="I692" s="207" t="str">
        <x:v>Загрузка; производительность; фактическая cost</x:v>
      </x:c>
      <x:c r="J692" s="207" t="str">
        <x:v>Планирование AD28</x:v>
      </x:c>
      <x:c r="K692" s="207" t="str"/>
      <x:c r="L692" s="207" t="str"/>
      <x:c r="M692" s="207" t="str">
        <x:v>Не рассмотрено</x:v>
      </x:c>
      <x:c r="N692" s="207" t="str"/>
      <x:c r="O692" s="207" t="str">
        <x:v>17</x:v>
      </x:c>
      <x:c r="P692" s="207" t="n">
        <x:v>3</x:v>
      </x:c>
      <x:c r="Q692" s="208" t="str">
        <x:v>Wave 2 (31–60 дней)</x:v>
      </x:c>
    </x:row>
    <x:row r="693">
      <x:c r="A693" s="206" t="str">
        <x:v>DEC-00689</x:v>
      </x:c>
      <x:c r="B693" s="207" t="str">
        <x:v>Operation</x:v>
      </x:c>
      <x:c r="C693" s="207" t="str">
        <x:v>OP-DRAFT-00309</x:v>
      </x:c>
      <x:c r="D693" s="207" t="str">
        <x:v>production_order_id; operation_type_id; planned_hours; actual_hours; output_qty; defect_qty; completion_status</x:v>
      </x:c>
      <x:c r="E693" s="207" t="str">
        <x:v>48-27 юбка</x:v>
      </x:c>
      <x:c r="F693" s="207" t="str">
        <x:v>Назначить production_order_id, operation_type, дату и факт часов</x:v>
      </x:c>
      <x:c r="G693" s="207" t="str">
        <x:v>Производство</x:v>
      </x:c>
      <x:c r="H693" s="207" t="str">
        <x:v>Высокий</x:v>
      </x:c>
      <x:c r="I693" s="207" t="str">
        <x:v>Загрузка; производительность; фактическая cost</x:v>
      </x:c>
      <x:c r="J693" s="207" t="str">
        <x:v>Планирование AE28</x:v>
      </x:c>
      <x:c r="K693" s="207" t="str"/>
      <x:c r="L693" s="207" t="str"/>
      <x:c r="M693" s="207" t="str">
        <x:v>Не рассмотрено</x:v>
      </x:c>
      <x:c r="N693" s="207" t="str"/>
      <x:c r="O693" s="207" t="str">
        <x:v>17</x:v>
      </x:c>
      <x:c r="P693" s="207" t="n">
        <x:v>3</x:v>
      </x:c>
      <x:c r="Q693" s="208" t="str">
        <x:v>Wave 2 (31–60 дней)</x:v>
      </x:c>
    </x:row>
    <x:row r="694">
      <x:c r="A694" s="206" t="str">
        <x:v>DEC-00690</x:v>
      </x:c>
      <x:c r="B694" s="207" t="str">
        <x:v>Operation</x:v>
      </x:c>
      <x:c r="C694" s="207" t="str">
        <x:v>OP-DRAFT-00310</x:v>
      </x:c>
      <x:c r="D694" s="207" t="str">
        <x:v>production_order_id; operation_type_id; planned_hours; actual_hours; output_qty; defect_qty; completion_status</x:v>
      </x:c>
      <x:c r="E694" s="207" t="str">
        <x:v>48-22 шорты подготовка к вышивке</x:v>
      </x:c>
      <x:c r="F694" s="207" t="str">
        <x:v>Назначить production_order_id, operation_type, дату и факт часов</x:v>
      </x:c>
      <x:c r="G694" s="207" t="str">
        <x:v>Производство</x:v>
      </x:c>
      <x:c r="H694" s="207" t="str">
        <x:v>Высокий</x:v>
      </x:c>
      <x:c r="I694" s="207" t="str">
        <x:v>Загрузка; производительность; фактическая cost</x:v>
      </x:c>
      <x:c r="J694" s="207" t="str">
        <x:v>Планирование AF28</x:v>
      </x:c>
      <x:c r="K694" s="207" t="str"/>
      <x:c r="L694" s="207" t="str"/>
      <x:c r="M694" s="207" t="str">
        <x:v>Не рассмотрено</x:v>
      </x:c>
      <x:c r="N694" s="207" t="str"/>
      <x:c r="O694" s="207" t="str">
        <x:v>17</x:v>
      </x:c>
      <x:c r="P694" s="207" t="n">
        <x:v>3</x:v>
      </x:c>
      <x:c r="Q694" s="208" t="str">
        <x:v>Wave 2 (31–60 дней)</x:v>
      </x:c>
    </x:row>
    <x:row r="695">
      <x:c r="A695" s="206" t="str">
        <x:v>DEC-00691</x:v>
      </x:c>
      <x:c r="B695" s="207" t="str">
        <x:v>Operation</x:v>
      </x:c>
      <x:c r="C695" s="207" t="str">
        <x:v>OP-DRAFT-00311</x:v>
      </x:c>
      <x:c r="D695" s="207" t="str">
        <x:v>production_order_id; operation_type_id; planned_hours; actual_hours; output_qty; defect_qty; completion_status</x:v>
      </x:c>
      <x:c r="E695" s="207" t="str">
        <x:v>48-27 юбка</x:v>
      </x:c>
      <x:c r="F695" s="207" t="str">
        <x:v>Назначить production_order_id, operation_type, дату и факт часов</x:v>
      </x:c>
      <x:c r="G695" s="207" t="str">
        <x:v>Производство</x:v>
      </x:c>
      <x:c r="H695" s="207" t="str">
        <x:v>Высокий</x:v>
      </x:c>
      <x:c r="I695" s="207" t="str">
        <x:v>Загрузка; производительность; фактическая cost</x:v>
      </x:c>
      <x:c r="J695" s="207" t="str">
        <x:v>Планирование AG28</x:v>
      </x:c>
      <x:c r="K695" s="207" t="str"/>
      <x:c r="L695" s="207" t="str"/>
      <x:c r="M695" s="207" t="str">
        <x:v>Не рассмотрено</x:v>
      </x:c>
      <x:c r="N695" s="207" t="str"/>
      <x:c r="O695" s="207" t="str">
        <x:v>17</x:v>
      </x:c>
      <x:c r="P695" s="207" t="n">
        <x:v>3</x:v>
      </x:c>
      <x:c r="Q695" s="208" t="str">
        <x:v>Wave 2 (31–60 дней)</x:v>
      </x:c>
    </x:row>
    <x:row r="696">
      <x:c r="A696" s="206" t="str">
        <x:v>DEC-00692</x:v>
      </x:c>
      <x:c r="B696" s="207" t="str">
        <x:v>Operation</x:v>
      </x:c>
      <x:c r="C696" s="207" t="str">
        <x:v>OP-DRAFT-00312</x:v>
      </x:c>
      <x:c r="D696" s="207" t="str">
        <x:v>production_order_id; operation_type_id; planned_hours; actual_hours; output_qty; defect_qty; completion_status</x:v>
      </x:c>
      <x:c r="E696" s="207" t="str">
        <x:v>47-20 Ляззат</x:v>
      </x:c>
      <x:c r="F696" s="207" t="str">
        <x:v>Назначить production_order_id, operation_type, дату и факт часов</x:v>
      </x:c>
      <x:c r="G696" s="207" t="str">
        <x:v>Производство</x:v>
      </x:c>
      <x:c r="H696" s="207" t="str">
        <x:v>Высокий</x:v>
      </x:c>
      <x:c r="I696" s="207" t="str">
        <x:v>Загрузка; производительность; фактическая cost</x:v>
      </x:c>
      <x:c r="J696" s="207" t="str">
        <x:v>Планирование AS28</x:v>
      </x:c>
      <x:c r="K696" s="207" t="str"/>
      <x:c r="L696" s="207" t="str"/>
      <x:c r="M696" s="207" t="str">
        <x:v>Не рассмотрено</x:v>
      </x:c>
      <x:c r="N696" s="207" t="str"/>
      <x:c r="O696" s="207" t="str">
        <x:v>17</x:v>
      </x:c>
      <x:c r="P696" s="207" t="n">
        <x:v>3</x:v>
      </x:c>
      <x:c r="Q696" s="208" t="str">
        <x:v>Wave 2 (31–60 дней)</x:v>
      </x:c>
    </x:row>
    <x:row r="697">
      <x:c r="A697" s="206" t="str">
        <x:v>DEC-00693</x:v>
      </x:c>
      <x:c r="B697" s="207" t="str">
        <x:v>Operation</x:v>
      </x:c>
      <x:c r="C697" s="207" t="str">
        <x:v>OP-DRAFT-00313</x:v>
      </x:c>
      <x:c r="D697" s="207" t="str">
        <x:v>production_order_id; operation_type_id; planned_hours; actual_hours; output_qty; defect_qty; completion_status</x:v>
      </x:c>
      <x:c r="E697" s="207" t="str">
        <x:v>47-20 Ляззат</x:v>
      </x:c>
      <x:c r="F697" s="207" t="str">
        <x:v>Назначить production_order_id, operation_type, дату и факт часов</x:v>
      </x:c>
      <x:c r="G697" s="207" t="str">
        <x:v>Производство</x:v>
      </x:c>
      <x:c r="H697" s="207" t="str">
        <x:v>Высокий</x:v>
      </x:c>
      <x:c r="I697" s="207" t="str">
        <x:v>Загрузка; производительность; фактическая cost</x:v>
      </x:c>
      <x:c r="J697" s="207" t="str">
        <x:v>Планирование AT28</x:v>
      </x:c>
      <x:c r="K697" s="207" t="str"/>
      <x:c r="L697" s="207" t="str"/>
      <x:c r="M697" s="207" t="str">
        <x:v>Не рассмотрено</x:v>
      </x:c>
      <x:c r="N697" s="207" t="str"/>
      <x:c r="O697" s="207" t="str">
        <x:v>17</x:v>
      </x:c>
      <x:c r="P697" s="207" t="n">
        <x:v>3</x:v>
      </x:c>
      <x:c r="Q697" s="208" t="str">
        <x:v>Wave 2 (31–60 дней)</x:v>
      </x:c>
    </x:row>
    <x:row r="698">
      <x:c r="A698" s="206" t="str">
        <x:v>DEC-00694</x:v>
      </x:c>
      <x:c r="B698" s="207" t="str">
        <x:v>Operation</x:v>
      </x:c>
      <x:c r="C698" s="207" t="str">
        <x:v>OP-DRAFT-00314</x:v>
      </x:c>
      <x:c r="D698" s="207" t="str">
        <x:v>production_order_id; operation_type_id; planned_hours; actual_hours; output_qty; defect_qty; completion_status</x:v>
      </x:c>
      <x:c r="E698" s="207" t="str">
        <x:v>47-20 Ляззат</x:v>
      </x:c>
      <x:c r="F698" s="207" t="str">
        <x:v>Назначить production_order_id, operation_type, дату и факт часов</x:v>
      </x:c>
      <x:c r="G698" s="207" t="str">
        <x:v>Производство</x:v>
      </x:c>
      <x:c r="H698" s="207" t="str">
        <x:v>Высокий</x:v>
      </x:c>
      <x:c r="I698" s="207" t="str">
        <x:v>Загрузка; производительность; фактическая cost</x:v>
      </x:c>
      <x:c r="J698" s="207" t="str">
        <x:v>Планирование AU28</x:v>
      </x:c>
      <x:c r="K698" s="207" t="str"/>
      <x:c r="L698" s="207" t="str"/>
      <x:c r="M698" s="207" t="str">
        <x:v>Не рассмотрено</x:v>
      </x:c>
      <x:c r="N698" s="207" t="str"/>
      <x:c r="O698" s="207" t="str">
        <x:v>17</x:v>
      </x:c>
      <x:c r="P698" s="207" t="n">
        <x:v>3</x:v>
      </x:c>
      <x:c r="Q698" s="208" t="str">
        <x:v>Wave 2 (31–60 дней)</x:v>
      </x:c>
    </x:row>
    <x:row r="699">
      <x:c r="A699" s="206" t="str">
        <x:v>DEC-00695</x:v>
      </x:c>
      <x:c r="B699" s="207" t="str">
        <x:v>Operation</x:v>
      </x:c>
      <x:c r="C699" s="207" t="str">
        <x:v>OP-DRAFT-00315</x:v>
      </x:c>
      <x:c r="D699" s="207" t="str">
        <x:v>production_order_id; operation_type_id; planned_hours; actual_hours; output_qty; defect_qty; completion_status</x:v>
      </x:c>
      <x:c r="E699" s="207" t="str">
        <x:v>47-20 Ляззат</x:v>
      </x:c>
      <x:c r="F699" s="207" t="str">
        <x:v>Назначить production_order_id, operation_type, дату и факт часов</x:v>
      </x:c>
      <x:c r="G699" s="207" t="str">
        <x:v>Производство</x:v>
      </x:c>
      <x:c r="H699" s="207" t="str">
        <x:v>Высокий</x:v>
      </x:c>
      <x:c r="I699" s="207" t="str">
        <x:v>Загрузка; производительность; фактическая cost</x:v>
      </x:c>
      <x:c r="J699" s="207" t="str">
        <x:v>Планирование AX28</x:v>
      </x:c>
      <x:c r="K699" s="207" t="str"/>
      <x:c r="L699" s="207" t="str"/>
      <x:c r="M699" s="207" t="str">
        <x:v>Не рассмотрено</x:v>
      </x:c>
      <x:c r="N699" s="207" t="str"/>
      <x:c r="O699" s="207" t="str">
        <x:v>17</x:v>
      </x:c>
      <x:c r="P699" s="207" t="n">
        <x:v>3</x:v>
      </x:c>
      <x:c r="Q699" s="208" t="str">
        <x:v>Wave 2 (31–60 дней)</x:v>
      </x:c>
    </x:row>
    <x:row r="700">
      <x:c r="A700" s="206" t="str">
        <x:v>DEC-00696</x:v>
      </x:c>
      <x:c r="B700" s="207" t="str">
        <x:v>Operation</x:v>
      </x:c>
      <x:c r="C700" s="207" t="str">
        <x:v>OP-DRAFT-00316</x:v>
      </x:c>
      <x:c r="D700" s="207" t="str">
        <x:v>production_order_id; operation_type_id; planned_hours; actual_hours; output_qty; defect_qty; completion_status</x:v>
      </x:c>
      <x:c r="E700" s="207" t="str">
        <x:v>47-20 Ляззат</x:v>
      </x:c>
      <x:c r="F700" s="207" t="str">
        <x:v>Назначить production_order_id, operation_type, дату и факт часов</x:v>
      </x:c>
      <x:c r="G700" s="207" t="str">
        <x:v>Производство</x:v>
      </x:c>
      <x:c r="H700" s="207" t="str">
        <x:v>Высокий</x:v>
      </x:c>
      <x:c r="I700" s="207" t="str">
        <x:v>Загрузка; производительность; фактическая cost</x:v>
      </x:c>
      <x:c r="J700" s="207" t="str">
        <x:v>Планирование AY28</x:v>
      </x:c>
      <x:c r="K700" s="207" t="str"/>
      <x:c r="L700" s="207" t="str"/>
      <x:c r="M700" s="207" t="str">
        <x:v>Не рассмотрено</x:v>
      </x:c>
      <x:c r="N700" s="207" t="str"/>
      <x:c r="O700" s="207" t="str">
        <x:v>17</x:v>
      </x:c>
      <x:c r="P700" s="207" t="n">
        <x:v>3</x:v>
      </x:c>
      <x:c r="Q700" s="208" t="str">
        <x:v>Wave 2 (31–60 дней)</x:v>
      </x:c>
    </x:row>
    <x:row r="701">
      <x:c r="A701" s="206" t="str">
        <x:v>DEC-00697</x:v>
      </x:c>
      <x:c r="B701" s="207" t="str">
        <x:v>Operation</x:v>
      </x:c>
      <x:c r="C701" s="207" t="str">
        <x:v>OP-DRAFT-00317</x:v>
      </x:c>
      <x:c r="D701" s="207" t="str">
        <x:v>production_order_id; operation_type_id; planned_hours; actual_hours; output_qty; defect_qty; completion_status</x:v>
      </x:c>
      <x:c r="E701" s="207" t="str">
        <x:v>47-20 Ляззат</x:v>
      </x:c>
      <x:c r="F701" s="207" t="str">
        <x:v>Назначить production_order_id, operation_type, дату и факт часов</x:v>
      </x:c>
      <x:c r="G701" s="207" t="str">
        <x:v>Производство</x:v>
      </x:c>
      <x:c r="H701" s="207" t="str">
        <x:v>Высокий</x:v>
      </x:c>
      <x:c r="I701" s="207" t="str">
        <x:v>Загрузка; производительность; фактическая cost</x:v>
      </x:c>
      <x:c r="J701" s="207" t="str">
        <x:v>Планирование AZ28</x:v>
      </x:c>
      <x:c r="K701" s="207" t="str"/>
      <x:c r="L701" s="207" t="str"/>
      <x:c r="M701" s="207" t="str">
        <x:v>Не рассмотрено</x:v>
      </x:c>
      <x:c r="N701" s="207" t="str"/>
      <x:c r="O701" s="207" t="str">
        <x:v>17</x:v>
      </x:c>
      <x:c r="P701" s="207" t="n">
        <x:v>3</x:v>
      </x:c>
      <x:c r="Q701" s="208" t="str">
        <x:v>Wave 2 (31–60 дней)</x:v>
      </x:c>
    </x:row>
    <x:row r="702">
      <x:c r="A702" s="206" t="str">
        <x:v>DEC-00698</x:v>
      </x:c>
      <x:c r="B702" s="207" t="str">
        <x:v>Operation</x:v>
      </x:c>
      <x:c r="C702" s="207" t="str">
        <x:v>OP-DRAFT-00318</x:v>
      </x:c>
      <x:c r="D702" s="207" t="str">
        <x:v>production_order_id; operation_type_id; planned_hours; actual_hours; output_qty; defect_qty; completion_status</x:v>
      </x:c>
      <x:c r="E702" s="207" t="str">
        <x:v>47-20 Ляззат</x:v>
      </x:c>
      <x:c r="F702" s="207" t="str">
        <x:v>Назначить production_order_id, operation_type, дату и факт часов</x:v>
      </x:c>
      <x:c r="G702" s="207" t="str">
        <x:v>Производство</x:v>
      </x:c>
      <x:c r="H702" s="207" t="str">
        <x:v>Высокий</x:v>
      </x:c>
      <x:c r="I702" s="207" t="str">
        <x:v>Загрузка; производительность; фактическая cost</x:v>
      </x:c>
      <x:c r="J702" s="207" t="str">
        <x:v>Планирование BA28</x:v>
      </x:c>
      <x:c r="K702" s="207" t="str"/>
      <x:c r="L702" s="207" t="str"/>
      <x:c r="M702" s="207" t="str">
        <x:v>Не рассмотрено</x:v>
      </x:c>
      <x:c r="N702" s="207" t="str"/>
      <x:c r="O702" s="207" t="str">
        <x:v>17</x:v>
      </x:c>
      <x:c r="P702" s="207" t="n">
        <x:v>3</x:v>
      </x:c>
      <x:c r="Q702" s="208" t="str">
        <x:v>Wave 2 (31–60 дней)</x:v>
      </x:c>
    </x:row>
    <x:row r="703">
      <x:c r="A703" s="206" t="str">
        <x:v>DEC-00699</x:v>
      </x:c>
      <x:c r="B703" s="207" t="str">
        <x:v>Operation</x:v>
      </x:c>
      <x:c r="C703" s="207" t="str">
        <x:v>OP-DRAFT-00319</x:v>
      </x:c>
      <x:c r="D703" s="207" t="str">
        <x:v>production_order_id; operation_type_id; planned_hours; actual_hours; output_qty; defect_qty; completion_status</x:v>
      </x:c>
      <x:c r="E703" s="207" t="str">
        <x:v>47-20 Ляззат</x:v>
      </x:c>
      <x:c r="F703" s="207" t="str">
        <x:v>Назначить production_order_id, operation_type, дату и факт часов</x:v>
      </x:c>
      <x:c r="G703" s="207" t="str">
        <x:v>Производство</x:v>
      </x:c>
      <x:c r="H703" s="207" t="str">
        <x:v>Высокий</x:v>
      </x:c>
      <x:c r="I703" s="207" t="str">
        <x:v>Загрузка; производительность; фактическая cost</x:v>
      </x:c>
      <x:c r="J703" s="207" t="str">
        <x:v>Планирование BB28</x:v>
      </x:c>
      <x:c r="K703" s="207" t="str"/>
      <x:c r="L703" s="207" t="str"/>
      <x:c r="M703" s="207" t="str">
        <x:v>Не рассмотрено</x:v>
      </x:c>
      <x:c r="N703" s="207" t="str"/>
      <x:c r="O703" s="207" t="str">
        <x:v>17</x:v>
      </x:c>
      <x:c r="P703" s="207" t="n">
        <x:v>3</x:v>
      </x:c>
      <x:c r="Q703" s="208" t="str">
        <x:v>Wave 2 (31–60 дней)</x:v>
      </x:c>
    </x:row>
    <x:row r="704">
      <x:c r="A704" s="206" t="str">
        <x:v>DEC-00700</x:v>
      </x:c>
      <x:c r="B704" s="207" t="str">
        <x:v>Operation</x:v>
      </x:c>
      <x:c r="C704" s="207" t="str">
        <x:v>OP-DRAFT-00320</x:v>
      </x:c>
      <x:c r="D704" s="207" t="str">
        <x:v>production_order_id; operation_type_id; planned_hours; actual_hours; output_qty; defect_qty; completion_status</x:v>
      </x:c>
      <x:c r="E704" s="207" t="str">
        <x:v>47-20 Ляззат</x:v>
      </x:c>
      <x:c r="F704" s="207" t="str">
        <x:v>Назначить production_order_id, operation_type, дату и факт часов</x:v>
      </x:c>
      <x:c r="G704" s="207" t="str">
        <x:v>Производство</x:v>
      </x:c>
      <x:c r="H704" s="207" t="str">
        <x:v>Высокий</x:v>
      </x:c>
      <x:c r="I704" s="207" t="str">
        <x:v>Загрузка; производительность; фактическая cost</x:v>
      </x:c>
      <x:c r="J704" s="207" t="str">
        <x:v>Планирование BE28</x:v>
      </x:c>
      <x:c r="K704" s="207" t="str"/>
      <x:c r="L704" s="207" t="str"/>
      <x:c r="M704" s="207" t="str">
        <x:v>Не рассмотрено</x:v>
      </x:c>
      <x:c r="N704" s="207" t="str"/>
      <x:c r="O704" s="207" t="str">
        <x:v>17</x:v>
      </x:c>
      <x:c r="P704" s="207" t="n">
        <x:v>3</x:v>
      </x:c>
      <x:c r="Q704" s="208" t="str">
        <x:v>Wave 2 (31–60 дней)</x:v>
      </x:c>
    </x:row>
    <x:row r="705">
      <x:c r="A705" s="206" t="str">
        <x:v>DEC-00701</x:v>
      </x:c>
      <x:c r="B705" s="207" t="str">
        <x:v>Operation</x:v>
      </x:c>
      <x:c r="C705" s="207" t="str">
        <x:v>OP-DRAFT-00321</x:v>
      </x:c>
      <x:c r="D705" s="207" t="str">
        <x:v>production_order_id; operation_type_id; planned_hours; actual_hours; output_qty; defect_qty; completion_status</x:v>
      </x:c>
      <x:c r="E705" s="207" t="str">
        <x:v>47-20 Ляззат</x:v>
      </x:c>
      <x:c r="F705" s="207" t="str">
        <x:v>Назначить production_order_id, operation_type, дату и факт часов</x:v>
      </x:c>
      <x:c r="G705" s="207" t="str">
        <x:v>Производство</x:v>
      </x:c>
      <x:c r="H705" s="207" t="str">
        <x:v>Высокий</x:v>
      </x:c>
      <x:c r="I705" s="207" t="str">
        <x:v>Загрузка; производительность; фактическая cost</x:v>
      </x:c>
      <x:c r="J705" s="207" t="str">
        <x:v>Планирование BF28</x:v>
      </x:c>
      <x:c r="K705" s="207" t="str"/>
      <x:c r="L705" s="207" t="str"/>
      <x:c r="M705" s="207" t="str">
        <x:v>Не рассмотрено</x:v>
      </x:c>
      <x:c r="N705" s="207" t="str"/>
      <x:c r="O705" s="207" t="str">
        <x:v>17</x:v>
      </x:c>
      <x:c r="P705" s="207" t="n">
        <x:v>3</x:v>
      </x:c>
      <x:c r="Q705" s="208" t="str">
        <x:v>Wave 2 (31–60 дней)</x:v>
      </x:c>
    </x:row>
    <x:row r="706">
      <x:c r="A706" s="206" t="str">
        <x:v>DEC-00702</x:v>
      </x:c>
      <x:c r="B706" s="207" t="str">
        <x:v>Operation</x:v>
      </x:c>
      <x:c r="C706" s="207" t="str">
        <x:v>OP-DRAFT-00322</x:v>
      </x:c>
      <x:c r="D706" s="207" t="str">
        <x:v>production_order_id; operation_type_id; planned_hours; actual_hours; output_qty; defect_qty; completion_status</x:v>
      </x:c>
      <x:c r="E706" s="207" t="str">
        <x:v>47-20 Ляззат</x:v>
      </x:c>
      <x:c r="F706" s="207" t="str">
        <x:v>Назначить production_order_id, operation_type, дату и факт часов</x:v>
      </x:c>
      <x:c r="G706" s="207" t="str">
        <x:v>Производство</x:v>
      </x:c>
      <x:c r="H706" s="207" t="str">
        <x:v>Высокий</x:v>
      </x:c>
      <x:c r="I706" s="207" t="str">
        <x:v>Загрузка; производительность; фактическая cost</x:v>
      </x:c>
      <x:c r="J706" s="207" t="str">
        <x:v>Планирование BG28</x:v>
      </x:c>
      <x:c r="K706" s="207" t="str"/>
      <x:c r="L706" s="207" t="str"/>
      <x:c r="M706" s="207" t="str">
        <x:v>Не рассмотрено</x:v>
      </x:c>
      <x:c r="N706" s="207" t="str"/>
      <x:c r="O706" s="207" t="str">
        <x:v>17</x:v>
      </x:c>
      <x:c r="P706" s="207" t="n">
        <x:v>3</x:v>
      </x:c>
      <x:c r="Q706" s="208" t="str">
        <x:v>Wave 2 (31–60 дней)</x:v>
      </x:c>
    </x:row>
    <x:row r="707">
      <x:c r="A707" s="206" t="str">
        <x:v>DEC-00703</x:v>
      </x:c>
      <x:c r="B707" s="207" t="str">
        <x:v>Operation</x:v>
      </x:c>
      <x:c r="C707" s="207" t="str">
        <x:v>OP-DRAFT-00323</x:v>
      </x:c>
      <x:c r="D707" s="207" t="str">
        <x:v>production_order_id; operation_type_id; planned_hours; actual_hours; output_qty; defect_qty; completion_status</x:v>
      </x:c>
      <x:c r="E707" s="207" t="str">
        <x:v>47-20 Ляззат</x:v>
      </x:c>
      <x:c r="F707" s="207" t="str">
        <x:v>Назначить production_order_id, operation_type, дату и факт часов</x:v>
      </x:c>
      <x:c r="G707" s="207" t="str">
        <x:v>Производство</x:v>
      </x:c>
      <x:c r="H707" s="207" t="str">
        <x:v>Высокий</x:v>
      </x:c>
      <x:c r="I707" s="207" t="str">
        <x:v>Загрузка; производительность; фактическая cost</x:v>
      </x:c>
      <x:c r="J707" s="207" t="str">
        <x:v>Планирование BH28</x:v>
      </x:c>
      <x:c r="K707" s="207" t="str"/>
      <x:c r="L707" s="207" t="str"/>
      <x:c r="M707" s="207" t="str">
        <x:v>Не рассмотрено</x:v>
      </x:c>
      <x:c r="N707" s="207" t="str"/>
      <x:c r="O707" s="207" t="str">
        <x:v>17</x:v>
      </x:c>
      <x:c r="P707" s="207" t="n">
        <x:v>3</x:v>
      </x:c>
      <x:c r="Q707" s="208" t="str">
        <x:v>Wave 2 (31–60 дней)</x:v>
      </x:c>
    </x:row>
    <x:row r="708">
      <x:c r="A708" s="206" t="str">
        <x:v>DEC-00704</x:v>
      </x:c>
      <x:c r="B708" s="207" t="str">
        <x:v>Operation</x:v>
      </x:c>
      <x:c r="C708" s="207" t="str">
        <x:v>OP-DRAFT-00324</x:v>
      </x:c>
      <x:c r="D708" s="207" t="str">
        <x:v>production_order_id; operation_type_id; planned_hours; actual_hours; output_qty; defect_qty; completion_status</x:v>
      </x:c>
      <x:c r="E708" s="207" t="str">
        <x:v>47-20 Ляззат</x:v>
      </x:c>
      <x:c r="F708" s="207" t="str">
        <x:v>Назначить production_order_id, operation_type, дату и факт часов</x:v>
      </x:c>
      <x:c r="G708" s="207" t="str">
        <x:v>Производство</x:v>
      </x:c>
      <x:c r="H708" s="207" t="str">
        <x:v>Высокий</x:v>
      </x:c>
      <x:c r="I708" s="207" t="str">
        <x:v>Загрузка; производительность; фактическая cost</x:v>
      </x:c>
      <x:c r="J708" s="207" t="str">
        <x:v>Планирование BI28</x:v>
      </x:c>
      <x:c r="K708" s="207" t="str"/>
      <x:c r="L708" s="207" t="str"/>
      <x:c r="M708" s="207" t="str">
        <x:v>Не рассмотрено</x:v>
      </x:c>
      <x:c r="N708" s="207" t="str"/>
      <x:c r="O708" s="207" t="str">
        <x:v>17</x:v>
      </x:c>
      <x:c r="P708" s="207" t="n">
        <x:v>3</x:v>
      </x:c>
      <x:c r="Q708" s="208" t="str">
        <x:v>Wave 2 (31–60 дней)</x:v>
      </x:c>
    </x:row>
    <x:row r="709">
      <x:c r="A709" s="206" t="str">
        <x:v>DEC-00705</x:v>
      </x:c>
      <x:c r="B709" s="207" t="str">
        <x:v>Operation</x:v>
      </x:c>
      <x:c r="C709" s="207" t="str">
        <x:v>OP-DRAFT-00325</x:v>
      </x:c>
      <x:c r="D709" s="207" t="str">
        <x:v>model_id/canonical_sku; production_order_id; operation_type_id; planned_hours; actual_hours; output_qty; defect_qty; completion_status</x:v>
      </x:c>
      <x:c r="E709" s="207" t="str">
        <x:v>Анастасисия пояс Колосья</x:v>
      </x:c>
      <x:c r="F709" s="207" t="str">
        <x:v>Назначить production_order_id, operation_type, дату и факт часов</x:v>
      </x:c>
      <x:c r="G709" s="207" t="str">
        <x:v>Производство</x:v>
      </x:c>
      <x:c r="H709" s="207" t="str">
        <x:v>Высокий</x:v>
      </x:c>
      <x:c r="I709" s="207" t="str">
        <x:v>Загрузка; производительность; фактическая cost</x:v>
      </x:c>
      <x:c r="J709" s="207" t="str">
        <x:v>Планирование BL28</x:v>
      </x:c>
      <x:c r="K709" s="207" t="str"/>
      <x:c r="L709" s="207" t="str"/>
      <x:c r="M709" s="207" t="str">
        <x:v>Не рассмотрено</x:v>
      </x:c>
      <x:c r="N709" s="207" t="str"/>
      <x:c r="O709" s="207" t="str">
        <x:v>17</x:v>
      </x:c>
      <x:c r="P709" s="207" t="n">
        <x:v>3</x:v>
      </x:c>
      <x:c r="Q709" s="208" t="str">
        <x:v>Wave 2 (31–60 дней)</x:v>
      </x:c>
    </x:row>
    <x:row r="710">
      <x:c r="A710" s="206" t="str">
        <x:v>DEC-00706</x:v>
      </x:c>
      <x:c r="B710" s="207" t="str">
        <x:v>Operation</x:v>
      </x:c>
      <x:c r="C710" s="207" t="str">
        <x:v>OP-DRAFT-00326</x:v>
      </x:c>
      <x:c r="D710" s="207" t="str">
        <x:v>model_id/canonical_sku; production_order_id; operation_type_id; planned_hours; actual_hours; output_qty; defect_qty; completion_status</x:v>
      </x:c>
      <x:c r="E710" s="207" t="str">
        <x:v>Анастасисия пояс Колосья</x:v>
      </x:c>
      <x:c r="F710" s="207" t="str">
        <x:v>Назначить production_order_id, operation_type, дату и факт часов</x:v>
      </x:c>
      <x:c r="G710" s="207" t="str">
        <x:v>Производство</x:v>
      </x:c>
      <x:c r="H710" s="207" t="str">
        <x:v>Высокий</x:v>
      </x:c>
      <x:c r="I710" s="207" t="str">
        <x:v>Загрузка; производительность; фактическая cost</x:v>
      </x:c>
      <x:c r="J710" s="207" t="str">
        <x:v>Планирование BM28</x:v>
      </x:c>
      <x:c r="K710" s="207" t="str"/>
      <x:c r="L710" s="207" t="str"/>
      <x:c r="M710" s="207" t="str">
        <x:v>Не рассмотрено</x:v>
      </x:c>
      <x:c r="N710" s="207" t="str"/>
      <x:c r="O710" s="207" t="str">
        <x:v>17</x:v>
      </x:c>
      <x:c r="P710" s="207" t="n">
        <x:v>3</x:v>
      </x:c>
      <x:c r="Q710" s="208" t="str">
        <x:v>Wave 2 (31–60 дней)</x:v>
      </x:c>
    </x:row>
    <x:row r="711">
      <x:c r="A711" s="206" t="str">
        <x:v>DEC-00707</x:v>
      </x:c>
      <x:c r="B711" s="207" t="str">
        <x:v>Operation</x:v>
      </x:c>
      <x:c r="C711" s="207" t="str">
        <x:v>OP-DRAFT-00327</x:v>
      </x:c>
      <x:c r="D711" s="207" t="str">
        <x:v>model_id/canonical_sku; production_order_id; operation_type_id; planned_hours; actual_hours; output_qty; defect_qty; completion_status</x:v>
      </x:c>
      <x:c r="E711" s="207" t="str">
        <x:v>Анастасисия пояс Колосья</x:v>
      </x:c>
      <x:c r="F711" s="207" t="str">
        <x:v>Назначить production_order_id, operation_type, дату и факт часов</x:v>
      </x:c>
      <x:c r="G711" s="207" t="str">
        <x:v>Производство</x:v>
      </x:c>
      <x:c r="H711" s="207" t="str">
        <x:v>Высокий</x:v>
      </x:c>
      <x:c r="I711" s="207" t="str">
        <x:v>Загрузка; производительность; фактическая cost</x:v>
      </x:c>
      <x:c r="J711" s="207" t="str">
        <x:v>Планирование BN28</x:v>
      </x:c>
      <x:c r="K711" s="207" t="str"/>
      <x:c r="L711" s="207" t="str"/>
      <x:c r="M711" s="207" t="str">
        <x:v>Не рассмотрено</x:v>
      </x:c>
      <x:c r="N711" s="207" t="str"/>
      <x:c r="O711" s="207" t="str">
        <x:v>17</x:v>
      </x:c>
      <x:c r="P711" s="207" t="n">
        <x:v>3</x:v>
      </x:c>
      <x:c r="Q711" s="208" t="str">
        <x:v>Wave 2 (31–60 дней)</x:v>
      </x:c>
    </x:row>
    <x:row r="712">
      <x:c r="A712" s="206" t="str">
        <x:v>DEC-00708</x:v>
      </x:c>
      <x:c r="B712" s="207" t="str">
        <x:v>Operation</x:v>
      </x:c>
      <x:c r="C712" s="207" t="str">
        <x:v>OP-DRAFT-00328</x:v>
      </x:c>
      <x:c r="D712" s="207" t="str">
        <x:v>model_id/canonical_sku; production_order_id; operation_type_id; planned_hours; actual_hours; output_qty; defect_qty; completion_status</x:v>
      </x:c>
      <x:c r="E712" s="207" t="str">
        <x:v>Анастасисия пояс Колосья</x:v>
      </x:c>
      <x:c r="F712" s="207" t="str">
        <x:v>Назначить production_order_id, operation_type, дату и факт часов</x:v>
      </x:c>
      <x:c r="G712" s="207" t="str">
        <x:v>Производство</x:v>
      </x:c>
      <x:c r="H712" s="207" t="str">
        <x:v>Высокий</x:v>
      </x:c>
      <x:c r="I712" s="207" t="str">
        <x:v>Загрузка; производительность; фактическая cost</x:v>
      </x:c>
      <x:c r="J712" s="207" t="str">
        <x:v>Планирование BO28</x:v>
      </x:c>
      <x:c r="K712" s="207" t="str"/>
      <x:c r="L712" s="207" t="str"/>
      <x:c r="M712" s="207" t="str">
        <x:v>Не рассмотрено</x:v>
      </x:c>
      <x:c r="N712" s="207" t="str"/>
      <x:c r="O712" s="207" t="str">
        <x:v>17</x:v>
      </x:c>
      <x:c r="P712" s="207" t="n">
        <x:v>3</x:v>
      </x:c>
      <x:c r="Q712" s="208" t="str">
        <x:v>Wave 2 (31–60 дней)</x:v>
      </x:c>
    </x:row>
    <x:row r="713">
      <x:c r="A713" s="206" t="str">
        <x:v>DEC-00709</x:v>
      </x:c>
      <x:c r="B713" s="207" t="str">
        <x:v>Operation</x:v>
      </x:c>
      <x:c r="C713" s="207" t="str">
        <x:v>OP-DRAFT-00329</x:v>
      </x:c>
      <x:c r="D713" s="207" t="str">
        <x:v>model_id/canonical_sku; production_order_id; operation_type_id; planned_hours; actual_hours; output_qty; defect_qty; completion_status</x:v>
      </x:c>
      <x:c r="E713" s="207" t="str">
        <x:v>Анастасисия пояс Колосья</x:v>
      </x:c>
      <x:c r="F713" s="207" t="str">
        <x:v>Назначить production_order_id, operation_type, дату и факт часов</x:v>
      </x:c>
      <x:c r="G713" s="207" t="str">
        <x:v>Производство</x:v>
      </x:c>
      <x:c r="H713" s="207" t="str">
        <x:v>Высокий</x:v>
      </x:c>
      <x:c r="I713" s="207" t="str">
        <x:v>Загрузка; производительность; фактическая cost</x:v>
      </x:c>
      <x:c r="J713" s="207" t="str">
        <x:v>Планирование BP28</x:v>
      </x:c>
      <x:c r="K713" s="207" t="str"/>
      <x:c r="L713" s="207" t="str"/>
      <x:c r="M713" s="207" t="str">
        <x:v>Не рассмотрено</x:v>
      </x:c>
      <x:c r="N713" s="207" t="str"/>
      <x:c r="O713" s="207" t="str">
        <x:v>17</x:v>
      </x:c>
      <x:c r="P713" s="207" t="n">
        <x:v>3</x:v>
      </x:c>
      <x:c r="Q713" s="208" t="str">
        <x:v>Wave 2 (31–60 дней)</x:v>
      </x:c>
    </x:row>
    <x:row r="714">
      <x:c r="A714" s="206" t="str">
        <x:v>DEC-00710</x:v>
      </x:c>
      <x:c r="B714" s="207" t="str">
        <x:v>Operation</x:v>
      </x:c>
      <x:c r="C714" s="207" t="str">
        <x:v>OP-DRAFT-00330</x:v>
      </x:c>
      <x:c r="D714" s="207" t="str">
        <x:v>model_id/canonical_sku; production_order_id; operation_type_id; planned_hours; actual_hours; output_qty; defect_qty; completion_status</x:v>
      </x:c>
      <x:c r="E714" s="207" t="str">
        <x:v>Анастасисия пояс Колосья</x:v>
      </x:c>
      <x:c r="F714" s="207" t="str">
        <x:v>Назначить production_order_id, operation_type, дату и факт часов</x:v>
      </x:c>
      <x:c r="G714" s="207" t="str">
        <x:v>Производство</x:v>
      </x:c>
      <x:c r="H714" s="207" t="str">
        <x:v>Высокий</x:v>
      </x:c>
      <x:c r="I714" s="207" t="str">
        <x:v>Загрузка; производительность; фактическая cost</x:v>
      </x:c>
      <x:c r="J714" s="207" t="str">
        <x:v>Планирование BS28</x:v>
      </x:c>
      <x:c r="K714" s="207" t="str"/>
      <x:c r="L714" s="207" t="str"/>
      <x:c r="M714" s="207" t="str">
        <x:v>Не рассмотрено</x:v>
      </x:c>
      <x:c r="N714" s="207" t="str"/>
      <x:c r="O714" s="207" t="str">
        <x:v>17</x:v>
      </x:c>
      <x:c r="P714" s="207" t="n">
        <x:v>3</x:v>
      </x:c>
      <x:c r="Q714" s="208" t="str">
        <x:v>Wave 2 (31–60 дней)</x:v>
      </x:c>
    </x:row>
    <x:row r="715">
      <x:c r="A715" s="206" t="str">
        <x:v>DEC-00711</x:v>
      </x:c>
      <x:c r="B715" s="207" t="str">
        <x:v>Operation</x:v>
      </x:c>
      <x:c r="C715" s="207" t="str">
        <x:v>OP-DRAFT-00331</x:v>
      </x:c>
      <x:c r="D715" s="207" t="str">
        <x:v>model_id/canonical_sku; production_order_id; operation_type_id; planned_hours; actual_hours; output_qty; defect_qty; completion_status</x:v>
      </x:c>
      <x:c r="E715" s="207" t="str">
        <x:v>Анастасисия пояс Колосья</x:v>
      </x:c>
      <x:c r="F715" s="207" t="str">
        <x:v>Назначить production_order_id, operation_type, дату и факт часов</x:v>
      </x:c>
      <x:c r="G715" s="207" t="str">
        <x:v>Производство</x:v>
      </x:c>
      <x:c r="H715" s="207" t="str">
        <x:v>Высокий</x:v>
      </x:c>
      <x:c r="I715" s="207" t="str">
        <x:v>Загрузка; производительность; фактическая cost</x:v>
      </x:c>
      <x:c r="J715" s="207" t="str">
        <x:v>Планирование BT28</x:v>
      </x:c>
      <x:c r="K715" s="207" t="str"/>
      <x:c r="L715" s="207" t="str"/>
      <x:c r="M715" s="207" t="str">
        <x:v>Не рассмотрено</x:v>
      </x:c>
      <x:c r="N715" s="207" t="str"/>
      <x:c r="O715" s="207" t="str">
        <x:v>17</x:v>
      </x:c>
      <x:c r="P715" s="207" t="n">
        <x:v>3</x:v>
      </x:c>
      <x:c r="Q715" s="208" t="str">
        <x:v>Wave 2 (31–60 дней)</x:v>
      </x:c>
    </x:row>
    <x:row r="716">
      <x:c r="A716" s="206" t="str">
        <x:v>DEC-00712</x:v>
      </x:c>
      <x:c r="B716" s="207" t="str">
        <x:v>Operation</x:v>
      </x:c>
      <x:c r="C716" s="207" t="str">
        <x:v>OP-DRAFT-00332</x:v>
      </x:c>
      <x:c r="D716" s="207" t="str">
        <x:v>model_id/canonical_sku; production_order_id; operation_type_id; planned_hours; actual_hours; output_qty; defect_qty; completion_status</x:v>
      </x:c>
      <x:c r="E716" s="207" t="str">
        <x:v>Анастасисия пояс Колосья</x:v>
      </x:c>
      <x:c r="F716" s="207" t="str">
        <x:v>Назначить production_order_id, operation_type, дату и факт часов</x:v>
      </x:c>
      <x:c r="G716" s="207" t="str">
        <x:v>Производство</x:v>
      </x:c>
      <x:c r="H716" s="207" t="str">
        <x:v>Высокий</x:v>
      </x:c>
      <x:c r="I716" s="207" t="str">
        <x:v>Загрузка; производительность; фактическая cost</x:v>
      </x:c>
      <x:c r="J716" s="207" t="str">
        <x:v>Планирование BU28</x:v>
      </x:c>
      <x:c r="K716" s="207" t="str"/>
      <x:c r="L716" s="207" t="str"/>
      <x:c r="M716" s="207" t="str">
        <x:v>Не рассмотрено</x:v>
      </x:c>
      <x:c r="N716" s="207" t="str"/>
      <x:c r="O716" s="207" t="str">
        <x:v>17</x:v>
      </x:c>
      <x:c r="P716" s="207" t="n">
        <x:v>3</x:v>
      </x:c>
      <x:c r="Q716" s="208" t="str">
        <x:v>Wave 2 (31–60 дней)</x:v>
      </x:c>
    </x:row>
    <x:row r="717">
      <x:c r="A717" s="206" t="str">
        <x:v>DEC-00713</x:v>
      </x:c>
      <x:c r="B717" s="207" t="str">
        <x:v>Operation</x:v>
      </x:c>
      <x:c r="C717" s="207" t="str">
        <x:v>OP-DRAFT-00333</x:v>
      </x:c>
      <x:c r="D717" s="207" t="str">
        <x:v>model_id/canonical_sku; production_order_id; operation_type_id; planned_hours; actual_hours; output_qty; defect_qty; completion_status</x:v>
      </x:c>
      <x:c r="E717" s="207" t="str">
        <x:v>Анастасисия пояс Колосья</x:v>
      </x:c>
      <x:c r="F717" s="207" t="str">
        <x:v>Назначить production_order_id, operation_type, дату и факт часов</x:v>
      </x:c>
      <x:c r="G717" s="207" t="str">
        <x:v>Производство</x:v>
      </x:c>
      <x:c r="H717" s="207" t="str">
        <x:v>Высокий</x:v>
      </x:c>
      <x:c r="I717" s="207" t="str">
        <x:v>Загрузка; производительность; фактическая cost</x:v>
      </x:c>
      <x:c r="J717" s="207" t="str">
        <x:v>Планирование BV28</x:v>
      </x:c>
      <x:c r="K717" s="207" t="str"/>
      <x:c r="L717" s="207" t="str"/>
      <x:c r="M717" s="207" t="str">
        <x:v>Не рассмотрено</x:v>
      </x:c>
      <x:c r="N717" s="207" t="str"/>
      <x:c r="O717" s="207" t="str">
        <x:v>17</x:v>
      </x:c>
      <x:c r="P717" s="207" t="n">
        <x:v>3</x:v>
      </x:c>
      <x:c r="Q717" s="208" t="str">
        <x:v>Wave 2 (31–60 дней)</x:v>
      </x:c>
    </x:row>
    <x:row r="718">
      <x:c r="A718" s="206" t="str">
        <x:v>DEC-00714</x:v>
      </x:c>
      <x:c r="B718" s="207" t="str">
        <x:v>Operation</x:v>
      </x:c>
      <x:c r="C718" s="207" t="str">
        <x:v>OP-DRAFT-00334</x:v>
      </x:c>
      <x:c r="D718" s="207" t="str">
        <x:v>model_id/canonical_sku; production_order_id; operation_type_id; planned_hours; actual_hours; output_qty; defect_qty; completion_status</x:v>
      </x:c>
      <x:c r="E718" s="207" t="str">
        <x:v>Анастасисия пояс Колосья</x:v>
      </x:c>
      <x:c r="F718" s="207" t="str">
        <x:v>Назначить production_order_id, operation_type, дату и факт часов</x:v>
      </x:c>
      <x:c r="G718" s="207" t="str">
        <x:v>Производство</x:v>
      </x:c>
      <x:c r="H718" s="207" t="str">
        <x:v>Высокий</x:v>
      </x:c>
      <x:c r="I718" s="207" t="str">
        <x:v>Загрузка; производительность; фактическая cost</x:v>
      </x:c>
      <x:c r="J718" s="207" t="str">
        <x:v>Планирование BW28</x:v>
      </x:c>
      <x:c r="K718" s="207" t="str"/>
      <x:c r="L718" s="207" t="str"/>
      <x:c r="M718" s="207" t="str">
        <x:v>Не рассмотрено</x:v>
      </x:c>
      <x:c r="N718" s="207" t="str"/>
      <x:c r="O718" s="207" t="str">
        <x:v>17</x:v>
      </x:c>
      <x:c r="P718" s="207" t="n">
        <x:v>3</x:v>
      </x:c>
      <x:c r="Q718" s="208" t="str">
        <x:v>Wave 2 (31–60 дней)</x:v>
      </x:c>
    </x:row>
    <x:row r="719">
      <x:c r="A719" s="206" t="str">
        <x:v>DEC-00715</x:v>
      </x:c>
      <x:c r="B719" s="207" t="str">
        <x:v>Operation</x:v>
      </x:c>
      <x:c r="C719" s="207" t="str">
        <x:v>OP-DRAFT-00335</x:v>
      </x:c>
      <x:c r="D719" s="207" t="str">
        <x:v>production_order_id; operation_type_id; planned_hours; actual_hours; output_qty; defect_qty; completion_status</x:v>
      </x:c>
      <x:c r="E719" s="207" t="str">
        <x:v>47-16 Казьмина</x:v>
      </x:c>
      <x:c r="F719" s="207" t="str">
        <x:v>Назначить production_order_id, operation_type, дату и факт часов</x:v>
      </x:c>
      <x:c r="G719" s="207" t="str">
        <x:v>Производство</x:v>
      </x:c>
      <x:c r="H719" s="207" t="str">
        <x:v>Высокий</x:v>
      </x:c>
      <x:c r="I719" s="207" t="str">
        <x:v>Загрузка; производительность; фактическая cost</x:v>
      </x:c>
      <x:c r="J719" s="207" t="str">
        <x:v>Планирование DB28</x:v>
      </x:c>
      <x:c r="K719" s="207" t="str"/>
      <x:c r="L719" s="207" t="str"/>
      <x:c r="M719" s="207" t="str">
        <x:v>Не рассмотрено</x:v>
      </x:c>
      <x:c r="N719" s="207" t="str"/>
      <x:c r="O719" s="207" t="str">
        <x:v>17</x:v>
      </x:c>
      <x:c r="P719" s="207" t="n">
        <x:v>3</x:v>
      </x:c>
      <x:c r="Q719" s="208" t="str">
        <x:v>Wave 2 (31–60 дней)</x:v>
      </x:c>
    </x:row>
    <x:row r="720">
      <x:c r="A720" s="206" t="str">
        <x:v>DEC-00716</x:v>
      </x:c>
      <x:c r="B720" s="207" t="str">
        <x:v>Operation</x:v>
      </x:c>
      <x:c r="C720" s="207" t="str">
        <x:v>OP-DRAFT-00336</x:v>
      </x:c>
      <x:c r="D720" s="207" t="str">
        <x:v>production_order_id; operation_type_id; planned_hours; actual_hours; output_qty; defect_qty; completion_status</x:v>
      </x:c>
      <x:c r="E720" s="207" t="str">
        <x:v>47-16 Казьмина</x:v>
      </x:c>
      <x:c r="F720" s="207" t="str">
        <x:v>Назначить production_order_id, operation_type, дату и факт часов</x:v>
      </x:c>
      <x:c r="G720" s="207" t="str">
        <x:v>Производство</x:v>
      </x:c>
      <x:c r="H720" s="207" t="str">
        <x:v>Высокий</x:v>
      </x:c>
      <x:c r="I720" s="207" t="str">
        <x:v>Загрузка; производительность; фактическая cost</x:v>
      </x:c>
      <x:c r="J720" s="207" t="str">
        <x:v>Планирование DC28</x:v>
      </x:c>
      <x:c r="K720" s="207" t="str"/>
      <x:c r="L720" s="207" t="str"/>
      <x:c r="M720" s="207" t="str">
        <x:v>Не рассмотрено</x:v>
      </x:c>
      <x:c r="N720" s="207" t="str"/>
      <x:c r="O720" s="207" t="str">
        <x:v>17</x:v>
      </x:c>
      <x:c r="P720" s="207" t="n">
        <x:v>3</x:v>
      </x:c>
      <x:c r="Q720" s="208" t="str">
        <x:v>Wave 2 (31–60 дней)</x:v>
      </x:c>
    </x:row>
    <x:row r="721">
      <x:c r="A721" s="206" t="str">
        <x:v>DEC-00717</x:v>
      </x:c>
      <x:c r="B721" s="207" t="str">
        <x:v>Operation</x:v>
      </x:c>
      <x:c r="C721" s="207" t="str">
        <x:v>OP-DRAFT-00337</x:v>
      </x:c>
      <x:c r="D721" s="207" t="str">
        <x:v>production_order_id; operation_type_id; planned_hours; actual_hours; output_qty; defect_qty; completion_status</x:v>
      </x:c>
      <x:c r="E721" s="207" t="str">
        <x:v>47-16 Казьмина</x:v>
      </x:c>
      <x:c r="F721" s="207" t="str">
        <x:v>Назначить production_order_id, operation_type, дату и факт часов</x:v>
      </x:c>
      <x:c r="G721" s="207" t="str">
        <x:v>Производство</x:v>
      </x:c>
      <x:c r="H721" s="207" t="str">
        <x:v>Высокий</x:v>
      </x:c>
      <x:c r="I721" s="207" t="str">
        <x:v>Загрузка; производительность; фактическая cost</x:v>
      </x:c>
      <x:c r="J721" s="207" t="str">
        <x:v>Планирование DD28</x:v>
      </x:c>
      <x:c r="K721" s="207" t="str"/>
      <x:c r="L721" s="207" t="str"/>
      <x:c r="M721" s="207" t="str">
        <x:v>Не рассмотрено</x:v>
      </x:c>
      <x:c r="N721" s="207" t="str"/>
      <x:c r="O721" s="207" t="str">
        <x:v>17</x:v>
      </x:c>
      <x:c r="P721" s="207" t="n">
        <x:v>3</x:v>
      </x:c>
      <x:c r="Q721" s="208" t="str">
        <x:v>Wave 2 (31–60 дней)</x:v>
      </x:c>
    </x:row>
    <x:row r="722">
      <x:c r="A722" s="206" t="str">
        <x:v>DEC-00718</x:v>
      </x:c>
      <x:c r="B722" s="207" t="str">
        <x:v>Operation</x:v>
      </x:c>
      <x:c r="C722" s="207" t="str">
        <x:v>OP-DRAFT-00338</x:v>
      </x:c>
      <x:c r="D722" s="207" t="str">
        <x:v>production_order_id; operation_type_id; planned_hours; actual_hours; output_qty; defect_qty; completion_status</x:v>
      </x:c>
      <x:c r="E722" s="207" t="str">
        <x:v>47-16 Казьмина</x:v>
      </x:c>
      <x:c r="F722" s="207" t="str">
        <x:v>Назначить production_order_id, operation_type, дату и факт часов</x:v>
      </x:c>
      <x:c r="G722" s="207" t="str">
        <x:v>Производство</x:v>
      </x:c>
      <x:c r="H722" s="207" t="str">
        <x:v>Высокий</x:v>
      </x:c>
      <x:c r="I722" s="207" t="str">
        <x:v>Загрузка; производительность; фактическая cost</x:v>
      </x:c>
      <x:c r="J722" s="207" t="str">
        <x:v>Планирование DE28</x:v>
      </x:c>
      <x:c r="K722" s="207" t="str"/>
      <x:c r="L722" s="207" t="str"/>
      <x:c r="M722" s="207" t="str">
        <x:v>Не рассмотрено</x:v>
      </x:c>
      <x:c r="N722" s="207" t="str"/>
      <x:c r="O722" s="207" t="str">
        <x:v>17</x:v>
      </x:c>
      <x:c r="P722" s="207" t="n">
        <x:v>3</x:v>
      </x:c>
      <x:c r="Q722" s="208" t="str">
        <x:v>Wave 2 (31–60 дней)</x:v>
      </x:c>
    </x:row>
    <x:row r="723">
      <x:c r="A723" s="206" t="str">
        <x:v>DEC-00719</x:v>
      </x:c>
      <x:c r="B723" s="207" t="str">
        <x:v>Operation</x:v>
      </x:c>
      <x:c r="C723" s="207" t="str">
        <x:v>OP-DRAFT-00339</x:v>
      </x:c>
      <x:c r="D723" s="207" t="str">
        <x:v>production_order_id; operation_type_id; planned_hours; actual_hours; output_qty; defect_qty; completion_status</x:v>
      </x:c>
      <x:c r="E723" s="207" t="str">
        <x:v>47-16 Казьмина</x:v>
      </x:c>
      <x:c r="F723" s="207" t="str">
        <x:v>Назначить production_order_id, operation_type, дату и факт часов</x:v>
      </x:c>
      <x:c r="G723" s="207" t="str">
        <x:v>Производство</x:v>
      </x:c>
      <x:c r="H723" s="207" t="str">
        <x:v>Высокий</x:v>
      </x:c>
      <x:c r="I723" s="207" t="str">
        <x:v>Загрузка; производительность; фактическая cost</x:v>
      </x:c>
      <x:c r="J723" s="207" t="str">
        <x:v>Планирование DF28</x:v>
      </x:c>
      <x:c r="K723" s="207" t="str"/>
      <x:c r="L723" s="207" t="str"/>
      <x:c r="M723" s="207" t="str">
        <x:v>Не рассмотрено</x:v>
      </x:c>
      <x:c r="N723" s="207" t="str"/>
      <x:c r="O723" s="207" t="str">
        <x:v>17</x:v>
      </x:c>
      <x:c r="P723" s="207" t="n">
        <x:v>3</x:v>
      </x:c>
      <x:c r="Q723" s="208" t="str">
        <x:v>Wave 2 (31–60 дней)</x:v>
      </x:c>
    </x:row>
    <x:row r="724">
      <x:c r="A724" s="206" t="str">
        <x:v>DEC-00720</x:v>
      </x:c>
      <x:c r="B724" s="207" t="str">
        <x:v>Operation</x:v>
      </x:c>
      <x:c r="C724" s="207" t="str">
        <x:v>OP-DRAFT-00340</x:v>
      </x:c>
      <x:c r="D724" s="207" t="str">
        <x:v>production_order_id; operation_type_id; planned_hours; actual_hours; output_qty; defect_qty; completion_status</x:v>
      </x:c>
      <x:c r="E724" s="207" t="str">
        <x:v>47-16 Казьмина</x:v>
      </x:c>
      <x:c r="F724" s="207" t="str">
        <x:v>Назначить production_order_id, operation_type, дату и факт часов</x:v>
      </x:c>
      <x:c r="G724" s="207" t="str">
        <x:v>Производство</x:v>
      </x:c>
      <x:c r="H724" s="207" t="str">
        <x:v>Высокий</x:v>
      </x:c>
      <x:c r="I724" s="207" t="str">
        <x:v>Загрузка; производительность; фактическая cost</x:v>
      </x:c>
      <x:c r="J724" s="207" t="str">
        <x:v>Планирование DI28</x:v>
      </x:c>
      <x:c r="K724" s="207" t="str"/>
      <x:c r="L724" s="207" t="str"/>
      <x:c r="M724" s="207" t="str">
        <x:v>Не рассмотрено</x:v>
      </x:c>
      <x:c r="N724" s="207" t="str"/>
      <x:c r="O724" s="207" t="str">
        <x:v>17</x:v>
      </x:c>
      <x:c r="P724" s="207" t="n">
        <x:v>3</x:v>
      </x:c>
      <x:c r="Q724" s="208" t="str">
        <x:v>Wave 2 (31–60 дней)</x:v>
      </x:c>
    </x:row>
    <x:row r="725">
      <x:c r="A725" s="206" t="str">
        <x:v>DEC-00721</x:v>
      </x:c>
      <x:c r="B725" s="207" t="str">
        <x:v>Operation</x:v>
      </x:c>
      <x:c r="C725" s="207" t="str">
        <x:v>OP-DRAFT-00341</x:v>
      </x:c>
      <x:c r="D725" s="207" t="str">
        <x:v>production_order_id; operation_type_id; planned_hours; actual_hours; output_qty; defect_qty; completion_status</x:v>
      </x:c>
      <x:c r="E725" s="207" t="str">
        <x:v>47-16 Казьмина</x:v>
      </x:c>
      <x:c r="F725" s="207" t="str">
        <x:v>Назначить production_order_id, operation_type, дату и факт часов</x:v>
      </x:c>
      <x:c r="G725" s="207" t="str">
        <x:v>Производство</x:v>
      </x:c>
      <x:c r="H725" s="207" t="str">
        <x:v>Высокий</x:v>
      </x:c>
      <x:c r="I725" s="207" t="str">
        <x:v>Загрузка; производительность; фактическая cost</x:v>
      </x:c>
      <x:c r="J725" s="207" t="str">
        <x:v>Планирование DJ28</x:v>
      </x:c>
      <x:c r="K725" s="207" t="str"/>
      <x:c r="L725" s="207" t="str"/>
      <x:c r="M725" s="207" t="str">
        <x:v>Не рассмотрено</x:v>
      </x:c>
      <x:c r="N725" s="207" t="str"/>
      <x:c r="O725" s="207" t="str">
        <x:v>17</x:v>
      </x:c>
      <x:c r="P725" s="207" t="n">
        <x:v>3</x:v>
      </x:c>
      <x:c r="Q725" s="208" t="str">
        <x:v>Wave 2 (31–60 дней)</x:v>
      </x:c>
    </x:row>
    <x:row r="726">
      <x:c r="A726" s="206" t="str">
        <x:v>DEC-00722</x:v>
      </x:c>
      <x:c r="B726" s="207" t="str">
        <x:v>Operation</x:v>
      </x:c>
      <x:c r="C726" s="207" t="str">
        <x:v>OP-DRAFT-00342</x:v>
      </x:c>
      <x:c r="D726" s="207" t="str">
        <x:v>production_order_id; operation_type_id; planned_hours; actual_hours; output_qty; defect_qty; completion_status</x:v>
      </x:c>
      <x:c r="E726" s="207" t="str">
        <x:v>47-16 Казьмина</x:v>
      </x:c>
      <x:c r="F726" s="207" t="str">
        <x:v>Назначить production_order_id, operation_type, дату и факт часов</x:v>
      </x:c>
      <x:c r="G726" s="207" t="str">
        <x:v>Производство</x:v>
      </x:c>
      <x:c r="H726" s="207" t="str">
        <x:v>Высокий</x:v>
      </x:c>
      <x:c r="I726" s="207" t="str">
        <x:v>Загрузка; производительность; фактическая cost</x:v>
      </x:c>
      <x:c r="J726" s="207" t="str">
        <x:v>Планирование DK28</x:v>
      </x:c>
      <x:c r="K726" s="207" t="str"/>
      <x:c r="L726" s="207" t="str"/>
      <x:c r="M726" s="207" t="str">
        <x:v>Не рассмотрено</x:v>
      </x:c>
      <x:c r="N726" s="207" t="str"/>
      <x:c r="O726" s="207" t="str">
        <x:v>17</x:v>
      </x:c>
      <x:c r="P726" s="207" t="n">
        <x:v>3</x:v>
      </x:c>
      <x:c r="Q726" s="208" t="str">
        <x:v>Wave 2 (31–60 дней)</x:v>
      </x:c>
    </x:row>
    <x:row r="727">
      <x:c r="A727" s="206" t="str">
        <x:v>DEC-00723</x:v>
      </x:c>
      <x:c r="B727" s="207" t="str">
        <x:v>Operation</x:v>
      </x:c>
      <x:c r="C727" s="207" t="str">
        <x:v>OP-DRAFT-00343</x:v>
      </x:c>
      <x:c r="D727" s="207" t="str">
        <x:v>production_order_id; operation_type_id; planned_hours; actual_hours; output_qty; defect_qty; completion_status</x:v>
      </x:c>
      <x:c r="E727" s="207" t="str">
        <x:v>47-16 Казьмина</x:v>
      </x:c>
      <x:c r="F727" s="207" t="str">
        <x:v>Назначить production_order_id, operation_type, дату и факт часов</x:v>
      </x:c>
      <x:c r="G727" s="207" t="str">
        <x:v>Производство</x:v>
      </x:c>
      <x:c r="H727" s="207" t="str">
        <x:v>Высокий</x:v>
      </x:c>
      <x:c r="I727" s="207" t="str">
        <x:v>Загрузка; производительность; фактическая cost</x:v>
      </x:c>
      <x:c r="J727" s="207" t="str">
        <x:v>Планирование DL28</x:v>
      </x:c>
      <x:c r="K727" s="207" t="str"/>
      <x:c r="L727" s="207" t="str"/>
      <x:c r="M727" s="207" t="str">
        <x:v>Не рассмотрено</x:v>
      </x:c>
      <x:c r="N727" s="207" t="str"/>
      <x:c r="O727" s="207" t="str">
        <x:v>17</x:v>
      </x:c>
      <x:c r="P727" s="207" t="n">
        <x:v>3</x:v>
      </x:c>
      <x:c r="Q727" s="208" t="str">
        <x:v>Wave 2 (31–60 дней)</x:v>
      </x:c>
    </x:row>
    <x:row r="728">
      <x:c r="A728" s="206" t="str">
        <x:v>DEC-00724</x:v>
      </x:c>
      <x:c r="B728" s="207" t="str">
        <x:v>Operation</x:v>
      </x:c>
      <x:c r="C728" s="207" t="str">
        <x:v>OP-DRAFT-00344</x:v>
      </x:c>
      <x:c r="D728" s="207" t="str">
        <x:v>production_order_id; operation_type_id; planned_hours; actual_hours; output_qty; defect_qty; completion_status</x:v>
      </x:c>
      <x:c r="E728" s="207" t="str">
        <x:v>47-16 Казьмина</x:v>
      </x:c>
      <x:c r="F728" s="207" t="str">
        <x:v>Назначить production_order_id, operation_type, дату и факт часов</x:v>
      </x:c>
      <x:c r="G728" s="207" t="str">
        <x:v>Производство</x:v>
      </x:c>
      <x:c r="H728" s="207" t="str">
        <x:v>Высокий</x:v>
      </x:c>
      <x:c r="I728" s="207" t="str">
        <x:v>Загрузка; производительность; фактическая cost</x:v>
      </x:c>
      <x:c r="J728" s="207" t="str">
        <x:v>Планирование DM28</x:v>
      </x:c>
      <x:c r="K728" s="207" t="str"/>
      <x:c r="L728" s="207" t="str"/>
      <x:c r="M728" s="207" t="str">
        <x:v>Не рассмотрено</x:v>
      </x:c>
      <x:c r="N728" s="207" t="str"/>
      <x:c r="O728" s="207" t="str">
        <x:v>17</x:v>
      </x:c>
      <x:c r="P728" s="207" t="n">
        <x:v>3</x:v>
      </x:c>
      <x:c r="Q728" s="208" t="str">
        <x:v>Wave 2 (31–60 дней)</x:v>
      </x:c>
    </x:row>
    <x:row r="729">
      <x:c r="A729" s="206" t="str">
        <x:v>DEC-00725</x:v>
      </x:c>
      <x:c r="B729" s="207" t="str">
        <x:v>Operation</x:v>
      </x:c>
      <x:c r="C729" s="207" t="str">
        <x:v>OP-DRAFT-00345</x:v>
      </x:c>
      <x:c r="D729" s="207" t="str">
        <x:v>production_order_id; operation_type_id; planned_hours; actual_hours; output_qty; defect_qty; completion_status</x:v>
      </x:c>
      <x:c r="E729" s="207" t="str">
        <x:v>47-16 Казьмина</x:v>
      </x:c>
      <x:c r="F729" s="207" t="str">
        <x:v>Назначить production_order_id, operation_type, дату и факт часов</x:v>
      </x:c>
      <x:c r="G729" s="207" t="str">
        <x:v>Производство</x:v>
      </x:c>
      <x:c r="H729" s="207" t="str">
        <x:v>Высокий</x:v>
      </x:c>
      <x:c r="I729" s="207" t="str">
        <x:v>Загрузка; производительность; фактическая cost</x:v>
      </x:c>
      <x:c r="J729" s="207" t="str">
        <x:v>Планирование DP28</x:v>
      </x:c>
      <x:c r="K729" s="207" t="str"/>
      <x:c r="L729" s="207" t="str"/>
      <x:c r="M729" s="207" t="str">
        <x:v>Не рассмотрено</x:v>
      </x:c>
      <x:c r="N729" s="207" t="str"/>
      <x:c r="O729" s="207" t="str">
        <x:v>17</x:v>
      </x:c>
      <x:c r="P729" s="207" t="n">
        <x:v>3</x:v>
      </x:c>
      <x:c r="Q729" s="208" t="str">
        <x:v>Wave 2 (31–60 дней)</x:v>
      </x:c>
    </x:row>
    <x:row r="730">
      <x:c r="A730" s="206" t="str">
        <x:v>DEC-00726</x:v>
      </x:c>
      <x:c r="B730" s="207" t="str">
        <x:v>Operation</x:v>
      </x:c>
      <x:c r="C730" s="207" t="str">
        <x:v>OP-DRAFT-00346</x:v>
      </x:c>
      <x:c r="D730" s="207" t="str">
        <x:v>production_order_id; operation_type_id; planned_hours; actual_hours; output_qty; defect_qty; completion_status</x:v>
      </x:c>
      <x:c r="E730" s="207" t="str">
        <x:v>47-16 Казьмина</x:v>
      </x:c>
      <x:c r="F730" s="207" t="str">
        <x:v>Назначить production_order_id, operation_type, дату и факт часов</x:v>
      </x:c>
      <x:c r="G730" s="207" t="str">
        <x:v>Производство</x:v>
      </x:c>
      <x:c r="H730" s="207" t="str">
        <x:v>Высокий</x:v>
      </x:c>
      <x:c r="I730" s="207" t="str">
        <x:v>Загрузка; производительность; фактическая cost</x:v>
      </x:c>
      <x:c r="J730" s="207" t="str">
        <x:v>Планирование DQ28</x:v>
      </x:c>
      <x:c r="K730" s="207" t="str"/>
      <x:c r="L730" s="207" t="str"/>
      <x:c r="M730" s="207" t="str">
        <x:v>Не рассмотрено</x:v>
      </x:c>
      <x:c r="N730" s="207" t="str"/>
      <x:c r="O730" s="207" t="str">
        <x:v>17</x:v>
      </x:c>
      <x:c r="P730" s="207" t="n">
        <x:v>3</x:v>
      </x:c>
      <x:c r="Q730" s="208" t="str">
        <x:v>Wave 2 (31–60 дней)</x:v>
      </x:c>
    </x:row>
    <x:row r="731">
      <x:c r="A731" s="206" t="str">
        <x:v>DEC-00727</x:v>
      </x:c>
      <x:c r="B731" s="207" t="str">
        <x:v>Operation</x:v>
      </x:c>
      <x:c r="C731" s="207" t="str">
        <x:v>OP-DRAFT-00347</x:v>
      </x:c>
      <x:c r="D731" s="207" t="str">
        <x:v>production_order_id; operation_type_id; planned_hours; actual_hours; output_qty; defect_qty; completion_status</x:v>
      </x:c>
      <x:c r="E731" s="207" t="str">
        <x:v>47-16 Казьмина</x:v>
      </x:c>
      <x:c r="F731" s="207" t="str">
        <x:v>Назначить production_order_id, operation_type, дату и факт часов</x:v>
      </x:c>
      <x:c r="G731" s="207" t="str">
        <x:v>Производство</x:v>
      </x:c>
      <x:c r="H731" s="207" t="str">
        <x:v>Высокий</x:v>
      </x:c>
      <x:c r="I731" s="207" t="str">
        <x:v>Загрузка; производительность; фактическая cost</x:v>
      </x:c>
      <x:c r="J731" s="207" t="str">
        <x:v>Планирование DR28</x:v>
      </x:c>
      <x:c r="K731" s="207" t="str"/>
      <x:c r="L731" s="207" t="str"/>
      <x:c r="M731" s="207" t="str">
        <x:v>Не рассмотрено</x:v>
      </x:c>
      <x:c r="N731" s="207" t="str"/>
      <x:c r="O731" s="207" t="str">
        <x:v>17</x:v>
      </x:c>
      <x:c r="P731" s="207" t="n">
        <x:v>3</x:v>
      </x:c>
      <x:c r="Q731" s="208" t="str">
        <x:v>Wave 2 (31–60 дней)</x:v>
      </x:c>
    </x:row>
    <x:row r="732">
      <x:c r="A732" s="206" t="str">
        <x:v>DEC-00728</x:v>
      </x:c>
      <x:c r="B732" s="207" t="str">
        <x:v>Operation</x:v>
      </x:c>
      <x:c r="C732" s="207" t="str">
        <x:v>OP-DRAFT-00348</x:v>
      </x:c>
      <x:c r="D732" s="207" t="str">
        <x:v>production_order_id; operation_type_id; planned_hours; actual_hours; output_qty; defect_qty; completion_status</x:v>
      </x:c>
      <x:c r="E732" s="207" t="str">
        <x:v>47-16 Казьмина</x:v>
      </x:c>
      <x:c r="F732" s="207" t="str">
        <x:v>Назначить production_order_id, operation_type, дату и факт часов</x:v>
      </x:c>
      <x:c r="G732" s="207" t="str">
        <x:v>Производство</x:v>
      </x:c>
      <x:c r="H732" s="207" t="str">
        <x:v>Высокий</x:v>
      </x:c>
      <x:c r="I732" s="207" t="str">
        <x:v>Загрузка; производительность; фактическая cost</x:v>
      </x:c>
      <x:c r="J732" s="207" t="str">
        <x:v>Планирование DS28</x:v>
      </x:c>
      <x:c r="K732" s="207" t="str"/>
      <x:c r="L732" s="207" t="str"/>
      <x:c r="M732" s="207" t="str">
        <x:v>Не рассмотрено</x:v>
      </x:c>
      <x:c r="N732" s="207" t="str"/>
      <x:c r="O732" s="207" t="str">
        <x:v>17</x:v>
      </x:c>
      <x:c r="P732" s="207" t="n">
        <x:v>3</x:v>
      </x:c>
      <x:c r="Q732" s="208" t="str">
        <x:v>Wave 2 (31–60 дней)</x:v>
      </x:c>
    </x:row>
    <x:row r="733">
      <x:c r="A733" s="206" t="str">
        <x:v>DEC-00729</x:v>
      </x:c>
      <x:c r="B733" s="207" t="str">
        <x:v>Operation</x:v>
      </x:c>
      <x:c r="C733" s="207" t="str">
        <x:v>OP-DRAFT-00349</x:v>
      </x:c>
      <x:c r="D733" s="207" t="str">
        <x:v>production_order_id; operation_type_id; planned_hours; actual_hours; output_qty; defect_qty; completion_status</x:v>
      </x:c>
      <x:c r="E733" s="207" t="str">
        <x:v>47-16 Казьмина</x:v>
      </x:c>
      <x:c r="F733" s="207" t="str">
        <x:v>Назначить production_order_id, operation_type, дату и факт часов</x:v>
      </x:c>
      <x:c r="G733" s="207" t="str">
        <x:v>Производство</x:v>
      </x:c>
      <x:c r="H733" s="207" t="str">
        <x:v>Высокий</x:v>
      </x:c>
      <x:c r="I733" s="207" t="str">
        <x:v>Загрузка; производительность; фактическая cost</x:v>
      </x:c>
      <x:c r="J733" s="207" t="str">
        <x:v>Планирование DT28</x:v>
      </x:c>
      <x:c r="K733" s="207" t="str"/>
      <x:c r="L733" s="207" t="str"/>
      <x:c r="M733" s="207" t="str">
        <x:v>Не рассмотрено</x:v>
      </x:c>
      <x:c r="N733" s="207" t="str"/>
      <x:c r="O733" s="207" t="str">
        <x:v>17</x:v>
      </x:c>
      <x:c r="P733" s="207" t="n">
        <x:v>3</x:v>
      </x:c>
      <x:c r="Q733" s="208" t="str">
        <x:v>Wave 2 (31–60 дней)</x:v>
      </x:c>
    </x:row>
    <x:row r="734">
      <x:c r="A734" s="206" t="str">
        <x:v>DEC-00730</x:v>
      </x:c>
      <x:c r="B734" s="207" t="str">
        <x:v>Operation</x:v>
      </x:c>
      <x:c r="C734" s="207" t="str">
        <x:v>OP-DRAFT-00350</x:v>
      </x:c>
      <x:c r="D734" s="207" t="str">
        <x:v>production_order_id; operation_type_id; planned_hours; actual_hours; output_qty; defect_qty; completion_status</x:v>
      </x:c>
      <x:c r="E734" s="207" t="str">
        <x:v>47-16 Казьмина</x:v>
      </x:c>
      <x:c r="F734" s="207" t="str">
        <x:v>Назначить production_order_id, operation_type, дату и факт часов</x:v>
      </x:c>
      <x:c r="G734" s="207" t="str">
        <x:v>Производство</x:v>
      </x:c>
      <x:c r="H734" s="207" t="str">
        <x:v>Высокий</x:v>
      </x:c>
      <x:c r="I734" s="207" t="str">
        <x:v>Загрузка; производительность; фактическая cost</x:v>
      </x:c>
      <x:c r="J734" s="207" t="str">
        <x:v>Планирование DW28</x:v>
      </x:c>
      <x:c r="K734" s="207" t="str"/>
      <x:c r="L734" s="207" t="str"/>
      <x:c r="M734" s="207" t="str">
        <x:v>Не рассмотрено</x:v>
      </x:c>
      <x:c r="N734" s="207" t="str"/>
      <x:c r="O734" s="207" t="str">
        <x:v>17</x:v>
      </x:c>
      <x:c r="P734" s="207" t="n">
        <x:v>3</x:v>
      </x:c>
      <x:c r="Q734" s="208" t="str">
        <x:v>Wave 2 (31–60 дней)</x:v>
      </x:c>
    </x:row>
    <x:row r="735">
      <x:c r="A735" s="206" t="str">
        <x:v>DEC-00731</x:v>
      </x:c>
      <x:c r="B735" s="207" t="str">
        <x:v>Operation</x:v>
      </x:c>
      <x:c r="C735" s="207" t="str">
        <x:v>OP-DRAFT-00351</x:v>
      </x:c>
      <x:c r="D735" s="207" t="str">
        <x:v>production_order_id; operation_type_id; planned_hours; actual_hours; output_qty; defect_qty; completion_status</x:v>
      </x:c>
      <x:c r="E735" s="207" t="str">
        <x:v>47-16 Казьмина</x:v>
      </x:c>
      <x:c r="F735" s="207" t="str">
        <x:v>Назначить production_order_id, operation_type, дату и факт часов</x:v>
      </x:c>
      <x:c r="G735" s="207" t="str">
        <x:v>Производство</x:v>
      </x:c>
      <x:c r="H735" s="207" t="str">
        <x:v>Высокий</x:v>
      </x:c>
      <x:c r="I735" s="207" t="str">
        <x:v>Загрузка; производительность; фактическая cost</x:v>
      </x:c>
      <x:c r="J735" s="207" t="str">
        <x:v>Планирование DX28</x:v>
      </x:c>
      <x:c r="K735" s="207" t="str"/>
      <x:c r="L735" s="207" t="str"/>
      <x:c r="M735" s="207" t="str">
        <x:v>Не рассмотрено</x:v>
      </x:c>
      <x:c r="N735" s="207" t="str"/>
      <x:c r="O735" s="207" t="str">
        <x:v>17</x:v>
      </x:c>
      <x:c r="P735" s="207" t="n">
        <x:v>3</x:v>
      </x:c>
      <x:c r="Q735" s="208" t="str">
        <x:v>Wave 2 (31–60 дней)</x:v>
      </x:c>
    </x:row>
    <x:row r="736">
      <x:c r="A736" s="206" t="str">
        <x:v>DEC-00732</x:v>
      </x:c>
      <x:c r="B736" s="207" t="str">
        <x:v>Operation</x:v>
      </x:c>
      <x:c r="C736" s="207" t="str">
        <x:v>OP-DRAFT-00352</x:v>
      </x:c>
      <x:c r="D736" s="207" t="str">
        <x:v>production_order_id; operation_type_id; planned_hours; actual_hours; output_qty; defect_qty; completion_status</x:v>
      </x:c>
      <x:c r="E736" s="207" t="str">
        <x:v>47-16 Казьмина</x:v>
      </x:c>
      <x:c r="F736" s="207" t="str">
        <x:v>Назначить production_order_id, operation_type, дату и факт часов</x:v>
      </x:c>
      <x:c r="G736" s="207" t="str">
        <x:v>Производство</x:v>
      </x:c>
      <x:c r="H736" s="207" t="str">
        <x:v>Высокий</x:v>
      </x:c>
      <x:c r="I736" s="207" t="str">
        <x:v>Загрузка; производительность; фактическая cost</x:v>
      </x:c>
      <x:c r="J736" s="207" t="str">
        <x:v>Планирование DY28</x:v>
      </x:c>
      <x:c r="K736" s="207" t="str"/>
      <x:c r="L736" s="207" t="str"/>
      <x:c r="M736" s="207" t="str">
        <x:v>Не рассмотрено</x:v>
      </x:c>
      <x:c r="N736" s="207" t="str"/>
      <x:c r="O736" s="207" t="str">
        <x:v>17</x:v>
      </x:c>
      <x:c r="P736" s="207" t="n">
        <x:v>3</x:v>
      </x:c>
      <x:c r="Q736" s="208" t="str">
        <x:v>Wave 2 (31–60 дней)</x:v>
      </x:c>
    </x:row>
    <x:row r="737">
      <x:c r="A737" s="206" t="str">
        <x:v>DEC-00733</x:v>
      </x:c>
      <x:c r="B737" s="207" t="str">
        <x:v>Operation</x:v>
      </x:c>
      <x:c r="C737" s="207" t="str">
        <x:v>OP-DRAFT-00353</x:v>
      </x:c>
      <x:c r="D737" s="207" t="str">
        <x:v>production_order_id; operation_type_id; planned_hours; actual_hours; output_qty; defect_qty; completion_status</x:v>
      </x:c>
      <x:c r="E737" s="207" t="str">
        <x:v>47-16 Казьмина</x:v>
      </x:c>
      <x:c r="F737" s="207" t="str">
        <x:v>Назначить production_order_id, operation_type, дату и факт часов</x:v>
      </x:c>
      <x:c r="G737" s="207" t="str">
        <x:v>Производство</x:v>
      </x:c>
      <x:c r="H737" s="207" t="str">
        <x:v>Высокий</x:v>
      </x:c>
      <x:c r="I737" s="207" t="str">
        <x:v>Загрузка; производительность; фактическая cost</x:v>
      </x:c>
      <x:c r="J737" s="207" t="str">
        <x:v>Планирование DZ28</x:v>
      </x:c>
      <x:c r="K737" s="207" t="str"/>
      <x:c r="L737" s="207" t="str"/>
      <x:c r="M737" s="207" t="str">
        <x:v>Не рассмотрено</x:v>
      </x:c>
      <x:c r="N737" s="207" t="str"/>
      <x:c r="O737" s="207" t="str">
        <x:v>17</x:v>
      </x:c>
      <x:c r="P737" s="207" t="n">
        <x:v>3</x:v>
      </x:c>
      <x:c r="Q737" s="208" t="str">
        <x:v>Wave 2 (31–60 дней)</x:v>
      </x:c>
    </x:row>
    <x:row r="738">
      <x:c r="A738" s="206" t="str">
        <x:v>DEC-00734</x:v>
      </x:c>
      <x:c r="B738" s="207" t="str">
        <x:v>Operation</x:v>
      </x:c>
      <x:c r="C738" s="207" t="str">
        <x:v>OP-DRAFT-00354</x:v>
      </x:c>
      <x:c r="D738" s="207" t="str">
        <x:v>production_order_id; operation_type_id; planned_hours; actual_hours; output_qty; defect_qty; completion_status</x:v>
      </x:c>
      <x:c r="E738" s="207" t="str">
        <x:v>47-16 Казьмина</x:v>
      </x:c>
      <x:c r="F738" s="207" t="str">
        <x:v>Назначить production_order_id, operation_type, дату и факт часов</x:v>
      </x:c>
      <x:c r="G738" s="207" t="str">
        <x:v>Производство</x:v>
      </x:c>
      <x:c r="H738" s="207" t="str">
        <x:v>Высокий</x:v>
      </x:c>
      <x:c r="I738" s="207" t="str">
        <x:v>Загрузка; производительность; фактическая cost</x:v>
      </x:c>
      <x:c r="J738" s="207" t="str">
        <x:v>Планирование EA28</x:v>
      </x:c>
      <x:c r="K738" s="207" t="str"/>
      <x:c r="L738" s="207" t="str"/>
      <x:c r="M738" s="207" t="str">
        <x:v>Не рассмотрено</x:v>
      </x:c>
      <x:c r="N738" s="207" t="str"/>
      <x:c r="O738" s="207" t="str">
        <x:v>17</x:v>
      </x:c>
      <x:c r="P738" s="207" t="n">
        <x:v>3</x:v>
      </x:c>
      <x:c r="Q738" s="208" t="str">
        <x:v>Wave 2 (31–60 дней)</x:v>
      </x:c>
    </x:row>
    <x:row r="739">
      <x:c r="A739" s="206" t="str">
        <x:v>DEC-00735</x:v>
      </x:c>
      <x:c r="B739" s="207" t="str">
        <x:v>Operation</x:v>
      </x:c>
      <x:c r="C739" s="207" t="str">
        <x:v>OP-DRAFT-00355</x:v>
      </x:c>
      <x:c r="D739" s="207" t="str">
        <x:v>production_order_id; operation_type_id; planned_hours; actual_hours; output_qty; defect_qty; completion_status</x:v>
      </x:c>
      <x:c r="E739" s="207" t="str">
        <x:v>47-19 Сазонова 9д, сд 28.05</x:v>
      </x:c>
      <x:c r="F739" s="207" t="str">
        <x:v>Назначить production_order_id, operation_type, дату и факт часов</x:v>
      </x:c>
      <x:c r="G739" s="207" t="str">
        <x:v>Производство</x:v>
      </x:c>
      <x:c r="H739" s="207" t="str">
        <x:v>Высокий</x:v>
      </x:c>
      <x:c r="I739" s="207" t="str">
        <x:v>Загрузка; производительность; фактическая cost</x:v>
      </x:c>
      <x:c r="J739" s="207" t="str">
        <x:v>Планирование C29</x:v>
      </x:c>
      <x:c r="K739" s="207" t="str"/>
      <x:c r="L739" s="207" t="str"/>
      <x:c r="M739" s="207" t="str">
        <x:v>Не рассмотрено</x:v>
      </x:c>
      <x:c r="N739" s="207" t="str"/>
      <x:c r="O739" s="207" t="str">
        <x:v>17</x:v>
      </x:c>
      <x:c r="P739" s="207" t="n">
        <x:v>3</x:v>
      </x:c>
      <x:c r="Q739" s="208" t="str">
        <x:v>Wave 2 (31–60 дней)</x:v>
      </x:c>
    </x:row>
    <x:row r="740">
      <x:c r="A740" s="206" t="str">
        <x:v>DEC-00736</x:v>
      </x:c>
      <x:c r="B740" s="207" t="str">
        <x:v>Operation</x:v>
      </x:c>
      <x:c r="C740" s="207" t="str">
        <x:v>OP-DRAFT-00356</x:v>
      </x:c>
      <x:c r="D740" s="207" t="str">
        <x:v>production_order_id; operation_type_id; planned_hours; actual_hours; output_qty; defect_qty; completion_status</x:v>
      </x:c>
      <x:c r="E740" s="207" t="str">
        <x:v>47-19 Магдалина 9д сд 1.06, ИЗМЕНИЛИ КОНСТРУКЦИЮ, +1д</x:v>
      </x:c>
      <x:c r="F740" s="207" t="str">
        <x:v>Назначить production_order_id, operation_type, дату и факт часов</x:v>
      </x:c>
      <x:c r="G740" s="207" t="str">
        <x:v>Производство</x:v>
      </x:c>
      <x:c r="H740" s="207" t="str">
        <x:v>Высокий</x:v>
      </x:c>
      <x:c r="I740" s="207" t="str">
        <x:v>Загрузка; производительность; фактическая cost</x:v>
      </x:c>
      <x:c r="J740" s="207" t="str">
        <x:v>Планирование D29</x:v>
      </x:c>
      <x:c r="K740" s="207" t="str"/>
      <x:c r="L740" s="207" t="str"/>
      <x:c r="M740" s="207" t="str">
        <x:v>Не рассмотрено</x:v>
      </x:c>
      <x:c r="N740" s="207" t="str"/>
      <x:c r="O740" s="207" t="str">
        <x:v>17</x:v>
      </x:c>
      <x:c r="P740" s="207" t="n">
        <x:v>3</x:v>
      </x:c>
      <x:c r="Q740" s="208" t="str">
        <x:v>Wave 2 (31–60 дней)</x:v>
      </x:c>
    </x:row>
    <x:row r="741">
      <x:c r="A741" s="206" t="str">
        <x:v>DEC-00737</x:v>
      </x:c>
      <x:c r="B741" s="207" t="str">
        <x:v>Operation</x:v>
      </x:c>
      <x:c r="C741" s="207" t="str">
        <x:v>OP-DRAFT-00357</x:v>
      </x:c>
      <x:c r="D741" s="207" t="str">
        <x:v>production_order_id; operation_type_id; planned_hours; actual_hours; output_qty; defect_qty; completion_status</x:v>
      </x:c>
      <x:c r="E741" s="207" t="str">
        <x:v>48-20 крылышки</x:v>
      </x:c>
      <x:c r="F741" s="207" t="str">
        <x:v>Назначить production_order_id, operation_type, дату и факт часов</x:v>
      </x:c>
      <x:c r="G741" s="207" t="str">
        <x:v>Производство</x:v>
      </x:c>
      <x:c r="H741" s="207" t="str">
        <x:v>Высокий</x:v>
      </x:c>
      <x:c r="I741" s="207" t="str">
        <x:v>Загрузка; производительность; фактическая cost</x:v>
      </x:c>
      <x:c r="J741" s="207" t="str">
        <x:v>Планирование O29</x:v>
      </x:c>
      <x:c r="K741" s="207" t="str"/>
      <x:c r="L741" s="207" t="str"/>
      <x:c r="M741" s="207" t="str">
        <x:v>Не рассмотрено</x:v>
      </x:c>
      <x:c r="N741" s="207" t="str"/>
      <x:c r="O741" s="207" t="str">
        <x:v>17</x:v>
      </x:c>
      <x:c r="P741" s="207" t="n">
        <x:v>3</x:v>
      </x:c>
      <x:c r="Q741" s="208" t="str">
        <x:v>Wave 2 (31–60 дней)</x:v>
      </x:c>
    </x:row>
    <x:row r="742">
      <x:c r="A742" s="206" t="str">
        <x:v>DEC-00738</x:v>
      </x:c>
      <x:c r="B742" s="207" t="str">
        <x:v>Operation</x:v>
      </x:c>
      <x:c r="C742" s="207" t="str">
        <x:v>OP-DRAFT-00358</x:v>
      </x:c>
      <x:c r="D742" s="207" t="str">
        <x:v>production_order_id; operation_type_id; planned_hours; actual_hours; output_qty; defect_qty; completion_status</x:v>
      </x:c>
      <x:c r="E742" s="207" t="str">
        <x:v>48-02 кружево</x:v>
      </x:c>
      <x:c r="F742" s="207" t="str">
        <x:v>Назначить production_order_id, operation_type, дату и факт часов</x:v>
      </x:c>
      <x:c r="G742" s="207" t="str">
        <x:v>Производство</x:v>
      </x:c>
      <x:c r="H742" s="207" t="str">
        <x:v>Высокий</x:v>
      </x:c>
      <x:c r="I742" s="207" t="str">
        <x:v>Загрузка; производительность; фактическая cost</x:v>
      </x:c>
      <x:c r="J742" s="207" t="str">
        <x:v>Планирование V29</x:v>
      </x:c>
      <x:c r="K742" s="207" t="str"/>
      <x:c r="L742" s="207" t="str"/>
      <x:c r="M742" s="207" t="str">
        <x:v>Не рассмотрено</x:v>
      </x:c>
      <x:c r="N742" s="207" t="str"/>
      <x:c r="O742" s="207" t="str">
        <x:v>17</x:v>
      </x:c>
      <x:c r="P742" s="207" t="n">
        <x:v>3</x:v>
      </x:c>
      <x:c r="Q742" s="208" t="str">
        <x:v>Wave 2 (31–60 дней)</x:v>
      </x:c>
    </x:row>
    <x:row r="743">
      <x:c r="A743" s="206" t="str">
        <x:v>DEC-00739</x:v>
      </x:c>
      <x:c r="B743" s="207" t="str">
        <x:v>Operation</x:v>
      </x:c>
      <x:c r="C743" s="207" t="str">
        <x:v>OP-DRAFT-00359</x:v>
      </x:c>
      <x:c r="D743" s="207" t="str">
        <x:v>production_order_id; operation_type_id; planned_hours; actual_hours; output_qty; defect_qty; completion_status</x:v>
      </x:c>
      <x:c r="E743" s="207" t="str">
        <x:v>48-04 гладь</x:v>
      </x:c>
      <x:c r="F743" s="207" t="str">
        <x:v>Назначить production_order_id, operation_type, дату и факт часов</x:v>
      </x:c>
      <x:c r="G743" s="207" t="str">
        <x:v>Производство</x:v>
      </x:c>
      <x:c r="H743" s="207" t="str">
        <x:v>Высокий</x:v>
      </x:c>
      <x:c r="I743" s="207" t="str">
        <x:v>Загрузка; производительность; фактическая cost</x:v>
      </x:c>
      <x:c r="J743" s="207" t="str">
        <x:v>Планирование W29</x:v>
      </x:c>
      <x:c r="K743" s="207" t="str"/>
      <x:c r="L743" s="207" t="str"/>
      <x:c r="M743" s="207" t="str">
        <x:v>Не рассмотрено</x:v>
      </x:c>
      <x:c r="N743" s="207" t="str"/>
      <x:c r="O743" s="207" t="str">
        <x:v>17</x:v>
      </x:c>
      <x:c r="P743" s="207" t="n">
        <x:v>3</x:v>
      </x:c>
      <x:c r="Q743" s="208" t="str">
        <x:v>Wave 2 (31–60 дней)</x:v>
      </x:c>
    </x:row>
    <x:row r="744">
      <x:c r="A744" s="206" t="str">
        <x:v>DEC-00740</x:v>
      </x:c>
      <x:c r="B744" s="207" t="str">
        <x:v>Operation</x:v>
      </x:c>
      <x:c r="C744" s="207" t="str">
        <x:v>OP-DRAFT-00360</x:v>
      </x:c>
      <x:c r="D744" s="207" t="str">
        <x:v>production_order_id; operation_type_id; planned_hours; actual_hours; output_qty; defect_qty; completion_status</x:v>
      </x:c>
      <x:c r="E744" s="207" t="str">
        <x:v>48-04 гладь</x:v>
      </x:c>
      <x:c r="F744" s="207" t="str">
        <x:v>Назначить production_order_id, operation_type, дату и факт часов</x:v>
      </x:c>
      <x:c r="G744" s="207" t="str">
        <x:v>Производство</x:v>
      </x:c>
      <x:c r="H744" s="207" t="str">
        <x:v>Высокий</x:v>
      </x:c>
      <x:c r="I744" s="207" t="str">
        <x:v>Загрузка; производительность; фактическая cost</x:v>
      </x:c>
      <x:c r="J744" s="207" t="str">
        <x:v>Планирование X29</x:v>
      </x:c>
      <x:c r="K744" s="207" t="str"/>
      <x:c r="L744" s="207" t="str"/>
      <x:c r="M744" s="207" t="str">
        <x:v>Не рассмотрено</x:v>
      </x:c>
      <x:c r="N744" s="207" t="str"/>
      <x:c r="O744" s="207" t="str">
        <x:v>17</x:v>
      </x:c>
      <x:c r="P744" s="207" t="n">
        <x:v>3</x:v>
      </x:c>
      <x:c r="Q744" s="208" t="str">
        <x:v>Wave 2 (31–60 дней)</x:v>
      </x:c>
    </x:row>
    <x:row r="745">
      <x:c r="A745" s="206" t="str">
        <x:v>DEC-00741</x:v>
      </x:c>
      <x:c r="B745" s="207" t="str">
        <x:v>Operation</x:v>
      </x:c>
      <x:c r="C745" s="207" t="str">
        <x:v>OP-DRAFT-00361</x:v>
      </x:c>
      <x:c r="D745" s="207" t="str">
        <x:v>production_order_id; operation_type_id; planned_hours; actual_hours; output_qty; defect_qty; completion_status</x:v>
      </x:c>
      <x:c r="E745" s="207" t="str">
        <x:v>48-04 гладь</x:v>
      </x:c>
      <x:c r="F745" s="207" t="str">
        <x:v>Назначить production_order_id, operation_type, дату и факт часов</x:v>
      </x:c>
      <x:c r="G745" s="207" t="str">
        <x:v>Производство</x:v>
      </x:c>
      <x:c r="H745" s="207" t="str">
        <x:v>Высокий</x:v>
      </x:c>
      <x:c r="I745" s="207" t="str">
        <x:v>Загрузка; производительность; фактическая cost</x:v>
      </x:c>
      <x:c r="J745" s="207" t="str">
        <x:v>Планирование Y29</x:v>
      </x:c>
      <x:c r="K745" s="207" t="str"/>
      <x:c r="L745" s="207" t="str"/>
      <x:c r="M745" s="207" t="str">
        <x:v>Не рассмотрено</x:v>
      </x:c>
      <x:c r="N745" s="207" t="str"/>
      <x:c r="O745" s="207" t="str">
        <x:v>17</x:v>
      </x:c>
      <x:c r="P745" s="207" t="n">
        <x:v>3</x:v>
      </x:c>
      <x:c r="Q745" s="208" t="str">
        <x:v>Wave 2 (31–60 дней)</x:v>
      </x:c>
    </x:row>
    <x:row r="746">
      <x:c r="A746" s="206" t="str">
        <x:v>DEC-00742</x:v>
      </x:c>
      <x:c r="B746" s="207" t="str">
        <x:v>Operation</x:v>
      </x:c>
      <x:c r="C746" s="207" t="str">
        <x:v>OP-DRAFT-00362</x:v>
      </x:c>
      <x:c r="D746" s="207" t="str">
        <x:v>production_order_id; operation_type_id; planned_hours; actual_hours; output_qty; defect_qty; completion_status</x:v>
      </x:c>
      <x:c r="E746" s="207" t="str">
        <x:v>48-04 гладь</x:v>
      </x:c>
      <x:c r="F746" s="207" t="str">
        <x:v>Назначить production_order_id, operation_type, дату и факт часов</x:v>
      </x:c>
      <x:c r="G746" s="207" t="str">
        <x:v>Производство</x:v>
      </x:c>
      <x:c r="H746" s="207" t="str">
        <x:v>Высокий</x:v>
      </x:c>
      <x:c r="I746" s="207" t="str">
        <x:v>Загрузка; производительность; фактическая cost</x:v>
      </x:c>
      <x:c r="J746" s="207" t="str">
        <x:v>Планирование Z29</x:v>
      </x:c>
      <x:c r="K746" s="207" t="str"/>
      <x:c r="L746" s="207" t="str"/>
      <x:c r="M746" s="207" t="str">
        <x:v>Не рассмотрено</x:v>
      </x:c>
      <x:c r="N746" s="207" t="str"/>
      <x:c r="O746" s="207" t="str">
        <x:v>17</x:v>
      </x:c>
      <x:c r="P746" s="207" t="n">
        <x:v>3</x:v>
      </x:c>
      <x:c r="Q746" s="208" t="str">
        <x:v>Wave 2 (31–60 дней)</x:v>
      </x:c>
    </x:row>
    <x:row r="747">
      <x:c r="A747" s="206" t="str">
        <x:v>DEC-00743</x:v>
      </x:c>
      <x:c r="B747" s="207" t="str">
        <x:v>Operation</x:v>
      </x:c>
      <x:c r="C747" s="207" t="str">
        <x:v>OP-DRAFT-00363</x:v>
      </x:c>
      <x:c r="D747" s="207" t="str">
        <x:v>production_order_id; operation_type_id; planned_hours; actual_hours; output_qty; defect_qty; completion_status</x:v>
      </x:c>
      <x:c r="E747" s="207" t="str">
        <x:v>48-04 гладь</x:v>
      </x:c>
      <x:c r="F747" s="207" t="str">
        <x:v>Назначить production_order_id, operation_type, дату и факт часов</x:v>
      </x:c>
      <x:c r="G747" s="207" t="str">
        <x:v>Производство</x:v>
      </x:c>
      <x:c r="H747" s="207" t="str">
        <x:v>Высокий</x:v>
      </x:c>
      <x:c r="I747" s="207" t="str">
        <x:v>Загрузка; производительность; фактическая cost</x:v>
      </x:c>
      <x:c r="J747" s="207" t="str">
        <x:v>Планирование AC29</x:v>
      </x:c>
      <x:c r="K747" s="207" t="str"/>
      <x:c r="L747" s="207" t="str"/>
      <x:c r="M747" s="207" t="str">
        <x:v>Не рассмотрено</x:v>
      </x:c>
      <x:c r="N747" s="207" t="str"/>
      <x:c r="O747" s="207" t="str">
        <x:v>17</x:v>
      </x:c>
      <x:c r="P747" s="207" t="n">
        <x:v>3</x:v>
      </x:c>
      <x:c r="Q747" s="208" t="str">
        <x:v>Wave 2 (31–60 дней)</x:v>
      </x:c>
    </x:row>
    <x:row r="748">
      <x:c r="A748" s="206" t="str">
        <x:v>DEC-00744</x:v>
      </x:c>
      <x:c r="B748" s="207" t="str">
        <x:v>Operation</x:v>
      </x:c>
      <x:c r="C748" s="207" t="str">
        <x:v>OP-DRAFT-00364</x:v>
      </x:c>
      <x:c r="D748" s="207" t="str">
        <x:v>production_order_id; operation_type_id; planned_hours; actual_hours; output_qty; defect_qty; completion_status</x:v>
      </x:c>
      <x:c r="E748" s="207" t="str">
        <x:v>48-23 юбка</x:v>
      </x:c>
      <x:c r="F748" s="207" t="str">
        <x:v>Назначить production_order_id, operation_type, дату и факт часов</x:v>
      </x:c>
      <x:c r="G748" s="207" t="str">
        <x:v>Производство</x:v>
      </x:c>
      <x:c r="H748" s="207" t="str">
        <x:v>Высокий</x:v>
      </x:c>
      <x:c r="I748" s="207" t="str">
        <x:v>Загрузка; производительность; фактическая cost</x:v>
      </x:c>
      <x:c r="J748" s="207" t="str">
        <x:v>Планирование AE29</x:v>
      </x:c>
      <x:c r="K748" s="207" t="str"/>
      <x:c r="L748" s="207" t="str"/>
      <x:c r="M748" s="207" t="str">
        <x:v>Не рассмотрено</x:v>
      </x:c>
      <x:c r="N748" s="207" t="str"/>
      <x:c r="O748" s="207" t="str">
        <x:v>17</x:v>
      </x:c>
      <x:c r="P748" s="207" t="n">
        <x:v>3</x:v>
      </x:c>
      <x:c r="Q748" s="208" t="str">
        <x:v>Wave 2 (31–60 дней)</x:v>
      </x:c>
    </x:row>
    <x:row r="749">
      <x:c r="A749" s="206" t="str">
        <x:v>DEC-00745</x:v>
      </x:c>
      <x:c r="B749" s="207" t="str">
        <x:v>Operation</x:v>
      </x:c>
      <x:c r="C749" s="207" t="str">
        <x:v>OP-DRAFT-00365</x:v>
      </x:c>
      <x:c r="D749" s="207" t="str">
        <x:v>production_order_id; operation_type_id; planned_hours; actual_hours; output_qty; defect_qty; completion_status</x:v>
      </x:c>
      <x:c r="E749" s="207" t="str">
        <x:v>48-23 юбка</x:v>
      </x:c>
      <x:c r="F749" s="207" t="str">
        <x:v>Назначить production_order_id, operation_type, дату и факт часов</x:v>
      </x:c>
      <x:c r="G749" s="207" t="str">
        <x:v>Производство</x:v>
      </x:c>
      <x:c r="H749" s="207" t="str">
        <x:v>Высокий</x:v>
      </x:c>
      <x:c r="I749" s="207" t="str">
        <x:v>Загрузка; производительность; фактическая cost</x:v>
      </x:c>
      <x:c r="J749" s="207" t="str">
        <x:v>Планирование AF29</x:v>
      </x:c>
      <x:c r="K749" s="207" t="str"/>
      <x:c r="L749" s="207" t="str"/>
      <x:c r="M749" s="207" t="str">
        <x:v>Не рассмотрено</x:v>
      </x:c>
      <x:c r="N749" s="207" t="str"/>
      <x:c r="O749" s="207" t="str">
        <x:v>17</x:v>
      </x:c>
      <x:c r="P749" s="207" t="n">
        <x:v>3</x:v>
      </x:c>
      <x:c r="Q749" s="208" t="str">
        <x:v>Wave 2 (31–60 дней)</x:v>
      </x:c>
    </x:row>
    <x:row r="750">
      <x:c r="A750" s="206" t="str">
        <x:v>DEC-00746</x:v>
      </x:c>
      <x:c r="B750" s="207" t="str">
        <x:v>Operation</x:v>
      </x:c>
      <x:c r="C750" s="207" t="str">
        <x:v>OP-DRAFT-00366</x:v>
      </x:c>
      <x:c r="D750" s="207" t="str">
        <x:v>production_order_id; operation_type_id; planned_hours; actual_hours; output_qty; defect_qty; completion_status</x:v>
      </x:c>
      <x:c r="E750" s="207" t="str">
        <x:v>48-23 юбка</x:v>
      </x:c>
      <x:c r="F750" s="207" t="str">
        <x:v>Назначить production_order_id, operation_type, дату и факт часов</x:v>
      </x:c>
      <x:c r="G750" s="207" t="str">
        <x:v>Производство</x:v>
      </x:c>
      <x:c r="H750" s="207" t="str">
        <x:v>Высокий</x:v>
      </x:c>
      <x:c r="I750" s="207" t="str">
        <x:v>Загрузка; производительность; фактическая cost</x:v>
      </x:c>
      <x:c r="J750" s="207" t="str">
        <x:v>Планирование AG29</x:v>
      </x:c>
      <x:c r="K750" s="207" t="str"/>
      <x:c r="L750" s="207" t="str"/>
      <x:c r="M750" s="207" t="str">
        <x:v>Не рассмотрено</x:v>
      </x:c>
      <x:c r="N750" s="207" t="str"/>
      <x:c r="O750" s="207" t="str">
        <x:v>17</x:v>
      </x:c>
      <x:c r="P750" s="207" t="n">
        <x:v>3</x:v>
      </x:c>
      <x:c r="Q750" s="208" t="str">
        <x:v>Wave 2 (31–60 дней)</x:v>
      </x:c>
    </x:row>
    <x:row r="751">
      <x:c r="A751" s="206" t="str">
        <x:v>DEC-00747</x:v>
      </x:c>
      <x:c r="B751" s="207" t="str">
        <x:v>Operation</x:v>
      </x:c>
      <x:c r="C751" s="207" t="str">
        <x:v>OP-DRAFT-00367</x:v>
      </x:c>
      <x:c r="D751" s="207" t="str">
        <x:v>production_order_id; operation_type_id; planned_hours; actual_hours; output_qty; defect_qty; completion_status</x:v>
      </x:c>
      <x:c r="E751" s="207" t="str">
        <x:v>47-17 Казьмина</x:v>
      </x:c>
      <x:c r="F751" s="207" t="str">
        <x:v>Назначить production_order_id, operation_type, дату и факт часов</x:v>
      </x:c>
      <x:c r="G751" s="207" t="str">
        <x:v>Производство</x:v>
      </x:c>
      <x:c r="H751" s="207" t="str">
        <x:v>Высокий</x:v>
      </x:c>
      <x:c r="I751" s="207" t="str">
        <x:v>Загрузка; производительность; фактическая cost</x:v>
      </x:c>
      <x:c r="J751" s="207" t="str">
        <x:v>Планирование BE29</x:v>
      </x:c>
      <x:c r="K751" s="207" t="str"/>
      <x:c r="L751" s="207" t="str"/>
      <x:c r="M751" s="207" t="str">
        <x:v>Не рассмотрено</x:v>
      </x:c>
      <x:c r="N751" s="207" t="str"/>
      <x:c r="O751" s="207" t="str">
        <x:v>17</x:v>
      </x:c>
      <x:c r="P751" s="207" t="n">
        <x:v>3</x:v>
      </x:c>
      <x:c r="Q751" s="208" t="str">
        <x:v>Wave 2 (31–60 дней)</x:v>
      </x:c>
    </x:row>
    <x:row r="752">
      <x:c r="A752" s="206" t="str">
        <x:v>DEC-00748</x:v>
      </x:c>
      <x:c r="B752" s="207" t="str">
        <x:v>Operation</x:v>
      </x:c>
      <x:c r="C752" s="207" t="str">
        <x:v>OP-DRAFT-00368</x:v>
      </x:c>
      <x:c r="D752" s="207" t="str">
        <x:v>production_order_id; operation_type_id; planned_hours; actual_hours; output_qty; defect_qty; completion_status</x:v>
      </x:c>
      <x:c r="E752" s="207" t="str">
        <x:v>47-17 Казьмина</x:v>
      </x:c>
      <x:c r="F752" s="207" t="str">
        <x:v>Назначить production_order_id, operation_type, дату и факт часов</x:v>
      </x:c>
      <x:c r="G752" s="207" t="str">
        <x:v>Производство</x:v>
      </x:c>
      <x:c r="H752" s="207" t="str">
        <x:v>Высокий</x:v>
      </x:c>
      <x:c r="I752" s="207" t="str">
        <x:v>Загрузка; производительность; фактическая cost</x:v>
      </x:c>
      <x:c r="J752" s="207" t="str">
        <x:v>Планирование BF29</x:v>
      </x:c>
      <x:c r="K752" s="207" t="str"/>
      <x:c r="L752" s="207" t="str"/>
      <x:c r="M752" s="207" t="str">
        <x:v>Не рассмотрено</x:v>
      </x:c>
      <x:c r="N752" s="207" t="str"/>
      <x:c r="O752" s="207" t="str">
        <x:v>17</x:v>
      </x:c>
      <x:c r="P752" s="207" t="n">
        <x:v>3</x:v>
      </x:c>
      <x:c r="Q752" s="208" t="str">
        <x:v>Wave 2 (31–60 дней)</x:v>
      </x:c>
    </x:row>
    <x:row r="753">
      <x:c r="A753" s="206" t="str">
        <x:v>DEC-00749</x:v>
      </x:c>
      <x:c r="B753" s="207" t="str">
        <x:v>Operation</x:v>
      </x:c>
      <x:c r="C753" s="207" t="str">
        <x:v>OP-DRAFT-00369</x:v>
      </x:c>
      <x:c r="D753" s="207" t="str">
        <x:v>production_order_id; operation_type_id; planned_hours; actual_hours; output_qty; defect_qty; completion_status</x:v>
      </x:c>
      <x:c r="E753" s="207" t="str">
        <x:v>47-17 Казьмина</x:v>
      </x:c>
      <x:c r="F753" s="207" t="str">
        <x:v>Назначить production_order_id, operation_type, дату и факт часов</x:v>
      </x:c>
      <x:c r="G753" s="207" t="str">
        <x:v>Производство</x:v>
      </x:c>
      <x:c r="H753" s="207" t="str">
        <x:v>Высокий</x:v>
      </x:c>
      <x:c r="I753" s="207" t="str">
        <x:v>Загрузка; производительность; фактическая cost</x:v>
      </x:c>
      <x:c r="J753" s="207" t="str">
        <x:v>Планирование BG29</x:v>
      </x:c>
      <x:c r="K753" s="207" t="str"/>
      <x:c r="L753" s="207" t="str"/>
      <x:c r="M753" s="207" t="str">
        <x:v>Не рассмотрено</x:v>
      </x:c>
      <x:c r="N753" s="207" t="str"/>
      <x:c r="O753" s="207" t="str">
        <x:v>17</x:v>
      </x:c>
      <x:c r="P753" s="207" t="n">
        <x:v>3</x:v>
      </x:c>
      <x:c r="Q753" s="208" t="str">
        <x:v>Wave 2 (31–60 дней)</x:v>
      </x:c>
    </x:row>
    <x:row r="754">
      <x:c r="A754" s="206" t="str">
        <x:v>DEC-00750</x:v>
      </x:c>
      <x:c r="B754" s="207" t="str">
        <x:v>Operation</x:v>
      </x:c>
      <x:c r="C754" s="207" t="str">
        <x:v>OP-DRAFT-00370</x:v>
      </x:c>
      <x:c r="D754" s="207" t="str">
        <x:v>production_order_id; operation_type_id; planned_hours; actual_hours; output_qty; defect_qty; completion_status</x:v>
      </x:c>
      <x:c r="E754" s="207" t="str">
        <x:v>47-17 Казьмина</x:v>
      </x:c>
      <x:c r="F754" s="207" t="str">
        <x:v>Назначить production_order_id, operation_type, дату и факт часов</x:v>
      </x:c>
      <x:c r="G754" s="207" t="str">
        <x:v>Производство</x:v>
      </x:c>
      <x:c r="H754" s="207" t="str">
        <x:v>Высокий</x:v>
      </x:c>
      <x:c r="I754" s="207" t="str">
        <x:v>Загрузка; производительность; фактическая cost</x:v>
      </x:c>
      <x:c r="J754" s="207" t="str">
        <x:v>Планирование BH29</x:v>
      </x:c>
      <x:c r="K754" s="207" t="str"/>
      <x:c r="L754" s="207" t="str"/>
      <x:c r="M754" s="207" t="str">
        <x:v>Не рассмотрено</x:v>
      </x:c>
      <x:c r="N754" s="207" t="str"/>
      <x:c r="O754" s="207" t="str">
        <x:v>17</x:v>
      </x:c>
      <x:c r="P754" s="207" t="n">
        <x:v>3</x:v>
      </x:c>
      <x:c r="Q754" s="208" t="str">
        <x:v>Wave 2 (31–60 дней)</x:v>
      </x:c>
    </x:row>
    <x:row r="755">
      <x:c r="A755" s="206" t="str">
        <x:v>DEC-00751</x:v>
      </x:c>
      <x:c r="B755" s="207" t="str">
        <x:v>Operation</x:v>
      </x:c>
      <x:c r="C755" s="207" t="str">
        <x:v>OP-DRAFT-00371</x:v>
      </x:c>
      <x:c r="D755" s="207" t="str">
        <x:v>production_order_id; operation_type_id; planned_hours; actual_hours; output_qty; defect_qty; completion_status</x:v>
      </x:c>
      <x:c r="E755" s="207" t="str">
        <x:v>47-17 Казьмина</x:v>
      </x:c>
      <x:c r="F755" s="207" t="str">
        <x:v>Назначить production_order_id, operation_type, дату и факт часов</x:v>
      </x:c>
      <x:c r="G755" s="207" t="str">
        <x:v>Производство</x:v>
      </x:c>
      <x:c r="H755" s="207" t="str">
        <x:v>Высокий</x:v>
      </x:c>
      <x:c r="I755" s="207" t="str">
        <x:v>Загрузка; производительность; фактическая cost</x:v>
      </x:c>
      <x:c r="J755" s="207" t="str">
        <x:v>Планирование BI29</x:v>
      </x:c>
      <x:c r="K755" s="207" t="str"/>
      <x:c r="L755" s="207" t="str"/>
      <x:c r="M755" s="207" t="str">
        <x:v>Не рассмотрено</x:v>
      </x:c>
      <x:c r="N755" s="207" t="str"/>
      <x:c r="O755" s="207" t="str">
        <x:v>17</x:v>
      </x:c>
      <x:c r="P755" s="207" t="n">
        <x:v>3</x:v>
      </x:c>
      <x:c r="Q755" s="208" t="str">
        <x:v>Wave 2 (31–60 дней)</x:v>
      </x:c>
    </x:row>
    <x:row r="756">
      <x:c r="A756" s="206" t="str">
        <x:v>DEC-00752</x:v>
      </x:c>
      <x:c r="B756" s="207" t="str">
        <x:v>Operation</x:v>
      </x:c>
      <x:c r="C756" s="207" t="str">
        <x:v>OP-DRAFT-00372</x:v>
      </x:c>
      <x:c r="D756" s="207" t="str">
        <x:v>production_order_id; operation_type_id; planned_hours; actual_hours; output_qty; defect_qty; completion_status</x:v>
      </x:c>
      <x:c r="E756" s="207" t="str">
        <x:v>47-17 Казьмина</x:v>
      </x:c>
      <x:c r="F756" s="207" t="str">
        <x:v>Назначить production_order_id, operation_type, дату и факт часов</x:v>
      </x:c>
      <x:c r="G756" s="207" t="str">
        <x:v>Производство</x:v>
      </x:c>
      <x:c r="H756" s="207" t="str">
        <x:v>Высокий</x:v>
      </x:c>
      <x:c r="I756" s="207" t="str">
        <x:v>Загрузка; производительность; фактическая cost</x:v>
      </x:c>
      <x:c r="J756" s="207" t="str">
        <x:v>Планирование BL29</x:v>
      </x:c>
      <x:c r="K756" s="207" t="str"/>
      <x:c r="L756" s="207" t="str"/>
      <x:c r="M756" s="207" t="str">
        <x:v>Не рассмотрено</x:v>
      </x:c>
      <x:c r="N756" s="207" t="str"/>
      <x:c r="O756" s="207" t="str">
        <x:v>17</x:v>
      </x:c>
      <x:c r="P756" s="207" t="n">
        <x:v>3</x:v>
      </x:c>
      <x:c r="Q756" s="208" t="str">
        <x:v>Wave 2 (31–60 дней)</x:v>
      </x:c>
    </x:row>
    <x:row r="757">
      <x:c r="A757" s="206" t="str">
        <x:v>DEC-00753</x:v>
      </x:c>
      <x:c r="B757" s="207" t="str">
        <x:v>Operation</x:v>
      </x:c>
      <x:c r="C757" s="207" t="str">
        <x:v>OP-DRAFT-00373</x:v>
      </x:c>
      <x:c r="D757" s="207" t="str">
        <x:v>production_order_id; operation_type_id; planned_hours; actual_hours; output_qty; defect_qty; completion_status</x:v>
      </x:c>
      <x:c r="E757" s="207" t="str">
        <x:v>47-17 Казьмина</x:v>
      </x:c>
      <x:c r="F757" s="207" t="str">
        <x:v>Назначить production_order_id, operation_type, дату и факт часов</x:v>
      </x:c>
      <x:c r="G757" s="207" t="str">
        <x:v>Производство</x:v>
      </x:c>
      <x:c r="H757" s="207" t="str">
        <x:v>Высокий</x:v>
      </x:c>
      <x:c r="I757" s="207" t="str">
        <x:v>Загрузка; производительность; фактическая cost</x:v>
      </x:c>
      <x:c r="J757" s="207" t="str">
        <x:v>Планирование BM29</x:v>
      </x:c>
      <x:c r="K757" s="207" t="str"/>
      <x:c r="L757" s="207" t="str"/>
      <x:c r="M757" s="207" t="str">
        <x:v>Не рассмотрено</x:v>
      </x:c>
      <x:c r="N757" s="207" t="str"/>
      <x:c r="O757" s="207" t="str">
        <x:v>17</x:v>
      </x:c>
      <x:c r="P757" s="207" t="n">
        <x:v>3</x:v>
      </x:c>
      <x:c r="Q757" s="208" t="str">
        <x:v>Wave 2 (31–60 дней)</x:v>
      </x:c>
    </x:row>
    <x:row r="758">
      <x:c r="A758" s="206" t="str">
        <x:v>DEC-00754</x:v>
      </x:c>
      <x:c r="B758" s="207" t="str">
        <x:v>Operation</x:v>
      </x:c>
      <x:c r="C758" s="207" t="str">
        <x:v>OP-DRAFT-00374</x:v>
      </x:c>
      <x:c r="D758" s="207" t="str">
        <x:v>production_order_id; operation_type_id; planned_hours; actual_hours; output_qty; defect_qty; completion_status</x:v>
      </x:c>
      <x:c r="E758" s="207" t="str">
        <x:v>47-17 Казьмина</x:v>
      </x:c>
      <x:c r="F758" s="207" t="str">
        <x:v>Назначить production_order_id, operation_type, дату и факт часов</x:v>
      </x:c>
      <x:c r="G758" s="207" t="str">
        <x:v>Производство</x:v>
      </x:c>
      <x:c r="H758" s="207" t="str">
        <x:v>Высокий</x:v>
      </x:c>
      <x:c r="I758" s="207" t="str">
        <x:v>Загрузка; производительность; фактическая cost</x:v>
      </x:c>
      <x:c r="J758" s="207" t="str">
        <x:v>Планирование BN29</x:v>
      </x:c>
      <x:c r="K758" s="207" t="str"/>
      <x:c r="L758" s="207" t="str"/>
      <x:c r="M758" s="207" t="str">
        <x:v>Не рассмотрено</x:v>
      </x:c>
      <x:c r="N758" s="207" t="str"/>
      <x:c r="O758" s="207" t="str">
        <x:v>17</x:v>
      </x:c>
      <x:c r="P758" s="207" t="n">
        <x:v>3</x:v>
      </x:c>
      <x:c r="Q758" s="208" t="str">
        <x:v>Wave 2 (31–60 дней)</x:v>
      </x:c>
    </x:row>
    <x:row r="759">
      <x:c r="A759" s="206" t="str">
        <x:v>DEC-00755</x:v>
      </x:c>
      <x:c r="B759" s="207" t="str">
        <x:v>Operation</x:v>
      </x:c>
      <x:c r="C759" s="207" t="str">
        <x:v>OP-DRAFT-00375</x:v>
      </x:c>
      <x:c r="D759" s="207" t="str">
        <x:v>production_order_id; operation_type_id; planned_hours; actual_hours; output_qty; defect_qty; completion_status</x:v>
      </x:c>
      <x:c r="E759" s="207" t="str">
        <x:v>47-17 Казьмина</x:v>
      </x:c>
      <x:c r="F759" s="207" t="str">
        <x:v>Назначить production_order_id, operation_type, дату и факт часов</x:v>
      </x:c>
      <x:c r="G759" s="207" t="str">
        <x:v>Производство</x:v>
      </x:c>
      <x:c r="H759" s="207" t="str">
        <x:v>Высокий</x:v>
      </x:c>
      <x:c r="I759" s="207" t="str">
        <x:v>Загрузка; производительность; фактическая cost</x:v>
      </x:c>
      <x:c r="J759" s="207" t="str">
        <x:v>Планирование BO29</x:v>
      </x:c>
      <x:c r="K759" s="207" t="str"/>
      <x:c r="L759" s="207" t="str"/>
      <x:c r="M759" s="207" t="str">
        <x:v>Не рассмотрено</x:v>
      </x:c>
      <x:c r="N759" s="207" t="str"/>
      <x:c r="O759" s="207" t="str">
        <x:v>17</x:v>
      </x:c>
      <x:c r="P759" s="207" t="n">
        <x:v>3</x:v>
      </x:c>
      <x:c r="Q759" s="208" t="str">
        <x:v>Wave 2 (31–60 дней)</x:v>
      </x:c>
    </x:row>
    <x:row r="760">
      <x:c r="A760" s="206" t="str">
        <x:v>DEC-00756</x:v>
      </x:c>
      <x:c r="B760" s="207" t="str">
        <x:v>Operation</x:v>
      </x:c>
      <x:c r="C760" s="207" t="str">
        <x:v>OP-DRAFT-00376</x:v>
      </x:c>
      <x:c r="D760" s="207" t="str">
        <x:v>production_order_id; operation_type_id; planned_hours; actual_hours; output_qty; defect_qty; completion_status</x:v>
      </x:c>
      <x:c r="E760" s="207" t="str">
        <x:v>47-17 Казьмина</x:v>
      </x:c>
      <x:c r="F760" s="207" t="str">
        <x:v>Назначить production_order_id, operation_type, дату и факт часов</x:v>
      </x:c>
      <x:c r="G760" s="207" t="str">
        <x:v>Производство</x:v>
      </x:c>
      <x:c r="H760" s="207" t="str">
        <x:v>Высокий</x:v>
      </x:c>
      <x:c r="I760" s="207" t="str">
        <x:v>Загрузка; производительность; фактическая cost</x:v>
      </x:c>
      <x:c r="J760" s="207" t="str">
        <x:v>Планирование BP29</x:v>
      </x:c>
      <x:c r="K760" s="207" t="str"/>
      <x:c r="L760" s="207" t="str"/>
      <x:c r="M760" s="207" t="str">
        <x:v>Не рассмотрено</x:v>
      </x:c>
      <x:c r="N760" s="207" t="str"/>
      <x:c r="O760" s="207" t="str">
        <x:v>17</x:v>
      </x:c>
      <x:c r="P760" s="207" t="n">
        <x:v>3</x:v>
      </x:c>
      <x:c r="Q760" s="208" t="str">
        <x:v>Wave 2 (31–60 дней)</x:v>
      </x:c>
    </x:row>
    <x:row r="761">
      <x:c r="A761" s="206" t="str">
        <x:v>DEC-00757</x:v>
      </x:c>
      <x:c r="B761" s="207" t="str">
        <x:v>Operation</x:v>
      </x:c>
      <x:c r="C761" s="207" t="str">
        <x:v>OP-DRAFT-00377</x:v>
      </x:c>
      <x:c r="D761" s="207" t="str">
        <x:v>production_order_id; operation_type_id; planned_hours; actual_hours; output_qty; defect_qty; completion_status</x:v>
      </x:c>
      <x:c r="E761" s="207" t="str">
        <x:v>47-17 Казьмина</x:v>
      </x:c>
      <x:c r="F761" s="207" t="str">
        <x:v>Назначить production_order_id, operation_type, дату и факт часов</x:v>
      </x:c>
      <x:c r="G761" s="207" t="str">
        <x:v>Производство</x:v>
      </x:c>
      <x:c r="H761" s="207" t="str">
        <x:v>Высокий</x:v>
      </x:c>
      <x:c r="I761" s="207" t="str">
        <x:v>Загрузка; производительность; фактическая cost</x:v>
      </x:c>
      <x:c r="J761" s="207" t="str">
        <x:v>Планирование BS29</x:v>
      </x:c>
      <x:c r="K761" s="207" t="str"/>
      <x:c r="L761" s="207" t="str"/>
      <x:c r="M761" s="207" t="str">
        <x:v>Не рассмотрено</x:v>
      </x:c>
      <x:c r="N761" s="207" t="str"/>
      <x:c r="O761" s="207" t="str">
        <x:v>17</x:v>
      </x:c>
      <x:c r="P761" s="207" t="n">
        <x:v>3</x:v>
      </x:c>
      <x:c r="Q761" s="208" t="str">
        <x:v>Wave 2 (31–60 дней)</x:v>
      </x:c>
    </x:row>
    <x:row r="762">
      <x:c r="A762" s="206" t="str">
        <x:v>DEC-00758</x:v>
      </x:c>
      <x:c r="B762" s="207" t="str">
        <x:v>Operation</x:v>
      </x:c>
      <x:c r="C762" s="207" t="str">
        <x:v>OP-DRAFT-00378</x:v>
      </x:c>
      <x:c r="D762" s="207" t="str">
        <x:v>production_order_id; operation_type_id; planned_hours; actual_hours; output_qty; defect_qty; completion_status</x:v>
      </x:c>
      <x:c r="E762" s="207" t="str">
        <x:v>47-15 Казьмина 75д сд 29.05</x:v>
      </x:c>
      <x:c r="F762" s="207" t="str">
        <x:v>Назначить production_order_id, operation_type, дату и факт часов</x:v>
      </x:c>
      <x:c r="G762" s="207" t="str">
        <x:v>Производство</x:v>
      </x:c>
      <x:c r="H762" s="207" t="str">
        <x:v>Высокий</x:v>
      </x:c>
      <x:c r="I762" s="207" t="str">
        <x:v>Загрузка; производительность; фактическая cost</x:v>
      </x:c>
      <x:c r="J762" s="207" t="str">
        <x:v>Планирование C30</x:v>
      </x:c>
      <x:c r="K762" s="207" t="str"/>
      <x:c r="L762" s="207" t="str"/>
      <x:c r="M762" s="207" t="str">
        <x:v>Не рассмотрено</x:v>
      </x:c>
      <x:c r="N762" s="207" t="str"/>
      <x:c r="O762" s="207" t="str">
        <x:v>17</x:v>
      </x:c>
      <x:c r="P762" s="207" t="n">
        <x:v>3</x:v>
      </x:c>
      <x:c r="Q762" s="208" t="str">
        <x:v>Wave 2 (31–60 дней)</x:v>
      </x:c>
    </x:row>
    <x:row r="763">
      <x:c r="A763" s="206" t="str">
        <x:v>DEC-00759</x:v>
      </x:c>
      <x:c r="B763" s="207" t="str">
        <x:v>Operation</x:v>
      </x:c>
      <x:c r="C763" s="207" t="str">
        <x:v>OP-DRAFT-00379</x:v>
      </x:c>
      <x:c r="D763" s="207" t="str">
        <x:v>production_order_id; operation_type_id; planned_hours; actual_hours; output_qty; defect_qty; completion_status</x:v>
      </x:c>
      <x:c r="E763" s="207" t="str">
        <x:v>48-28 листья</x:v>
      </x:c>
      <x:c r="F763" s="207" t="str">
        <x:v>Назначить production_order_id, operation_type, дату и факт часов</x:v>
      </x:c>
      <x:c r="G763" s="207" t="str">
        <x:v>Производство</x:v>
      </x:c>
      <x:c r="H763" s="207" t="str">
        <x:v>Высокий</x:v>
      </x:c>
      <x:c r="I763" s="207" t="str">
        <x:v>Загрузка; производительность; фактическая cost</x:v>
      </x:c>
      <x:c r="J763" s="207" t="str">
        <x:v>Планирование O30</x:v>
      </x:c>
      <x:c r="K763" s="207" t="str"/>
      <x:c r="L763" s="207" t="str"/>
      <x:c r="M763" s="207" t="str">
        <x:v>Не рассмотрено</x:v>
      </x:c>
      <x:c r="N763" s="207" t="str"/>
      <x:c r="O763" s="207" t="str">
        <x:v>17</x:v>
      </x:c>
      <x:c r="P763" s="207" t="n">
        <x:v>3</x:v>
      </x:c>
      <x:c r="Q763" s="208" t="str">
        <x:v>Wave 2 (31–60 дней)</x:v>
      </x:c>
    </x:row>
    <x:row r="764">
      <x:c r="A764" s="206" t="str">
        <x:v>DEC-00760</x:v>
      </x:c>
      <x:c r="B764" s="207" t="str">
        <x:v>Operation</x:v>
      </x:c>
      <x:c r="C764" s="207" t="str">
        <x:v>OP-DRAFT-00380</x:v>
      </x:c>
      <x:c r="D764" s="207" t="str">
        <x:v>production_order_id; operation_type_id; planned_hours; actual_hours; output_qty; defect_qty; completion_status</x:v>
      </x:c>
      <x:c r="E764" s="207" t="str">
        <x:v>48-20 вырезка</x:v>
      </x:c>
      <x:c r="F764" s="207" t="str">
        <x:v>Назначить production_order_id, operation_type, дату и факт часов</x:v>
      </x:c>
      <x:c r="G764" s="207" t="str">
        <x:v>Производство</x:v>
      </x:c>
      <x:c r="H764" s="207" t="str">
        <x:v>Высокий</x:v>
      </x:c>
      <x:c r="I764" s="207" t="str">
        <x:v>Загрузка; производительность; фактическая cost</x:v>
      </x:c>
      <x:c r="J764" s="207" t="str">
        <x:v>Планирование Q30</x:v>
      </x:c>
      <x:c r="K764" s="207" t="str"/>
      <x:c r="L764" s="207" t="str"/>
      <x:c r="M764" s="207" t="str">
        <x:v>Не рассмотрено</x:v>
      </x:c>
      <x:c r="N764" s="207" t="str"/>
      <x:c r="O764" s="207" t="str">
        <x:v>17</x:v>
      </x:c>
      <x:c r="P764" s="207" t="n">
        <x:v>3</x:v>
      </x:c>
      <x:c r="Q764" s="208" t="str">
        <x:v>Wave 2 (31–60 дней)</x:v>
      </x:c>
    </x:row>
    <x:row r="765">
      <x:c r="A765" s="206" t="str">
        <x:v>DEC-00761</x:v>
      </x:c>
      <x:c r="B765" s="207" t="str">
        <x:v>Operation</x:v>
      </x:c>
      <x:c r="C765" s="207" t="str">
        <x:v>OP-DRAFT-00381</x:v>
      </x:c>
      <x:c r="D765" s="207" t="str">
        <x:v>production_order_id; operation_type_id; planned_hours; actual_hours; output_qty; defect_qty; completion_status</x:v>
      </x:c>
      <x:c r="E765" s="207" t="str">
        <x:v>48-28 листья</x:v>
      </x:c>
      <x:c r="F765" s="207" t="str">
        <x:v>Назначить production_order_id, operation_type, дату и факт часов</x:v>
      </x:c>
      <x:c r="G765" s="207" t="str">
        <x:v>Производство</x:v>
      </x:c>
      <x:c r="H765" s="207" t="str">
        <x:v>Высокий</x:v>
      </x:c>
      <x:c r="I765" s="207" t="str">
        <x:v>Загрузка; производительность; фактическая cost</x:v>
      </x:c>
      <x:c r="J765" s="207" t="str">
        <x:v>Планирование R30</x:v>
      </x:c>
      <x:c r="K765" s="207" t="str"/>
      <x:c r="L765" s="207" t="str"/>
      <x:c r="M765" s="207" t="str">
        <x:v>Не рассмотрено</x:v>
      </x:c>
      <x:c r="N765" s="207" t="str"/>
      <x:c r="O765" s="207" t="str">
        <x:v>17</x:v>
      </x:c>
      <x:c r="P765" s="207" t="n">
        <x:v>3</x:v>
      </x:c>
      <x:c r="Q765" s="208" t="str">
        <x:v>Wave 2 (31–60 дней)</x:v>
      </x:c>
    </x:row>
    <x:row r="766">
      <x:c r="A766" s="206" t="str">
        <x:v>DEC-00762</x:v>
      </x:c>
      <x:c r="B766" s="207" t="str">
        <x:v>Operation</x:v>
      </x:c>
      <x:c r="C766" s="207" t="str">
        <x:v>OP-DRAFT-00384</x:v>
      </x:c>
      <x:c r="D766" s="207" t="str">
        <x:v>production_order_id; operation_type_id; planned_hours; actual_hours; output_qty; defect_qty; completion_status</x:v>
      </x:c>
      <x:c r="E766" s="207" t="str">
        <x:v>47-14 Владим</x:v>
      </x:c>
      <x:c r="F766" s="207" t="str">
        <x:v>Назначить production_order_id, operation_type, дату и факт часов</x:v>
      </x:c>
      <x:c r="G766" s="207" t="str">
        <x:v>Производство</x:v>
      </x:c>
      <x:c r="H766" s="207" t="str">
        <x:v>Высокий</x:v>
      </x:c>
      <x:c r="I766" s="207" t="str">
        <x:v>Загрузка; производительность; фактическая cost</x:v>
      </x:c>
      <x:c r="J766" s="207" t="str">
        <x:v>Планирование X30</x:v>
      </x:c>
      <x:c r="K766" s="207" t="str"/>
      <x:c r="L766" s="207" t="str"/>
      <x:c r="M766" s="207" t="str">
        <x:v>Не рассмотрено</x:v>
      </x:c>
      <x:c r="N766" s="207" t="str"/>
      <x:c r="O766" s="207" t="str">
        <x:v>17</x:v>
      </x:c>
      <x:c r="P766" s="207" t="n">
        <x:v>3</x:v>
      </x:c>
      <x:c r="Q766" s="208" t="str">
        <x:v>Wave 2 (31–60 дней)</x:v>
      </x:c>
    </x:row>
    <x:row r="767">
      <x:c r="A767" s="206" t="str">
        <x:v>DEC-00763</x:v>
      </x:c>
      <x:c r="B767" s="207" t="str">
        <x:v>Operation</x:v>
      </x:c>
      <x:c r="C767" s="207" t="str">
        <x:v>OP-DRAFT-00385</x:v>
      </x:c>
      <x:c r="D767" s="207" t="str">
        <x:v>production_order_id; operation_type_id; planned_hours; actual_hours; output_qty; defect_qty; completion_status</x:v>
      </x:c>
      <x:c r="E767" s="207" t="str">
        <x:v>48-20 пришивание</x:v>
      </x:c>
      <x:c r="F767" s="207" t="str">
        <x:v>Назначить production_order_id, operation_type, дату и факт часов</x:v>
      </x:c>
      <x:c r="G767" s="207" t="str">
        <x:v>Производство</x:v>
      </x:c>
      <x:c r="H767" s="207" t="str">
        <x:v>Высокий</x:v>
      </x:c>
      <x:c r="I767" s="207" t="str">
        <x:v>Загрузка; производительность; фактическая cost</x:v>
      </x:c>
      <x:c r="J767" s="207" t="str">
        <x:v>Планирование Y30</x:v>
      </x:c>
      <x:c r="K767" s="207" t="str"/>
      <x:c r="L767" s="207" t="str"/>
      <x:c r="M767" s="207" t="str">
        <x:v>Не рассмотрено</x:v>
      </x:c>
      <x:c r="N767" s="207" t="str"/>
      <x:c r="O767" s="207" t="str">
        <x:v>17</x:v>
      </x:c>
      <x:c r="P767" s="207" t="n">
        <x:v>3</x:v>
      </x:c>
      <x:c r="Q767" s="208" t="str">
        <x:v>Wave 2 (31–60 дней)</x:v>
      </x:c>
    </x:row>
    <x:row r="768">
      <x:c r="A768" s="206" t="str">
        <x:v>DEC-00764</x:v>
      </x:c>
      <x:c r="B768" s="207" t="str">
        <x:v>Operation</x:v>
      </x:c>
      <x:c r="C768" s="207" t="str">
        <x:v>OP-DRAFT-00386</x:v>
      </x:c>
      <x:c r="D768" s="207" t="str">
        <x:v>production_order_id; operation_type_id; planned_hours; actual_hours; output_qty; defect_qty; completion_status</x:v>
      </x:c>
      <x:c r="E768" s="207" t="str">
        <x:v>Колос Ершова, 48-10</x:v>
      </x:c>
      <x:c r="F768" s="207" t="str">
        <x:v>Назначить production_order_id, operation_type, дату и факт часов</x:v>
      </x:c>
      <x:c r="G768" s="207" t="str">
        <x:v>Производство</x:v>
      </x:c>
      <x:c r="H768" s="207" t="str">
        <x:v>Высокий</x:v>
      </x:c>
      <x:c r="I768" s="207" t="str">
        <x:v>Загрузка; производительность; фактическая cost</x:v>
      </x:c>
      <x:c r="J768" s="207" t="str">
        <x:v>Планирование Z30</x:v>
      </x:c>
      <x:c r="K768" s="207" t="str"/>
      <x:c r="L768" s="207" t="str"/>
      <x:c r="M768" s="207" t="str">
        <x:v>Не рассмотрено</x:v>
      </x:c>
      <x:c r="N768" s="207" t="str"/>
      <x:c r="O768" s="207" t="str">
        <x:v>17</x:v>
      </x:c>
      <x:c r="P768" s="207" t="n">
        <x:v>3</x:v>
      </x:c>
      <x:c r="Q768" s="208" t="str">
        <x:v>Wave 2 (31–60 дней)</x:v>
      </x:c>
    </x:row>
    <x:row r="769">
      <x:c r="A769" s="206" t="str">
        <x:v>DEC-00765</x:v>
      </x:c>
      <x:c r="B769" s="207" t="str">
        <x:v>Operation</x:v>
      </x:c>
      <x:c r="C769" s="207" t="str">
        <x:v>OP-DRAFT-00387</x:v>
      </x:c>
      <x:c r="D769" s="207" t="str">
        <x:v>production_order_id; operation_type_id; planned_hours; actual_hours; output_qty; defect_qty; completion_status</x:v>
      </x:c>
      <x:c r="E769" s="207" t="str">
        <x:v>48-20 пришив листьев</x:v>
      </x:c>
      <x:c r="F769" s="207" t="str">
        <x:v>Назначить production_order_id, operation_type, дату и факт часов</x:v>
      </x:c>
      <x:c r="G769" s="207" t="str">
        <x:v>Производство</x:v>
      </x:c>
      <x:c r="H769" s="207" t="str">
        <x:v>Высокий</x:v>
      </x:c>
      <x:c r="I769" s="207" t="str">
        <x:v>Загрузка; производительность; фактическая cost</x:v>
      </x:c>
      <x:c r="J769" s="207" t="str">
        <x:v>Планирование AC30</x:v>
      </x:c>
      <x:c r="K769" s="207" t="str"/>
      <x:c r="L769" s="207" t="str"/>
      <x:c r="M769" s="207" t="str">
        <x:v>Не рассмотрено</x:v>
      </x:c>
      <x:c r="N769" s="207" t="str"/>
      <x:c r="O769" s="207" t="str">
        <x:v>17</x:v>
      </x:c>
      <x:c r="P769" s="207" t="n">
        <x:v>3</x:v>
      </x:c>
      <x:c r="Q769" s="208" t="str">
        <x:v>Wave 2 (31–60 дней)</x:v>
      </x:c>
    </x:row>
    <x:row r="770">
      <x:c r="A770" s="206" t="str">
        <x:v>DEC-00766</x:v>
      </x:c>
      <x:c r="B770" s="207" t="str">
        <x:v>Operation</x:v>
      </x:c>
      <x:c r="C770" s="207" t="str">
        <x:v>OP-DRAFT-00388</x:v>
      </x:c>
      <x:c r="D770" s="207" t="str">
        <x:v>production_order_id; operation_type_id; planned_hours; actual_hours; output_qty; defect_qty; completion_status</x:v>
      </x:c>
      <x:c r="E770" s="207" t="str">
        <x:v>48-10</x:v>
      </x:c>
      <x:c r="F770" s="207" t="str">
        <x:v>Назначить production_order_id, operation_type, дату и факт часов</x:v>
      </x:c>
      <x:c r="G770" s="207" t="str">
        <x:v>Производство</x:v>
      </x:c>
      <x:c r="H770" s="207" t="str">
        <x:v>Высокий</x:v>
      </x:c>
      <x:c r="I770" s="207" t="str">
        <x:v>Загрузка; производительность; фактическая cost</x:v>
      </x:c>
      <x:c r="J770" s="207" t="str">
        <x:v>Планирование AE30</x:v>
      </x:c>
      <x:c r="K770" s="207" t="str"/>
      <x:c r="L770" s="207" t="str"/>
      <x:c r="M770" s="207" t="str">
        <x:v>Не рассмотрено</x:v>
      </x:c>
      <x:c r="N770" s="207" t="str"/>
      <x:c r="O770" s="207" t="str">
        <x:v>17</x:v>
      </x:c>
      <x:c r="P770" s="207" t="n">
        <x:v>3</x:v>
      </x:c>
      <x:c r="Q770" s="208" t="str">
        <x:v>Wave 2 (31–60 дней)</x:v>
      </x:c>
    </x:row>
    <x:row r="771">
      <x:c r="A771" s="206" t="str">
        <x:v>DEC-00767</x:v>
      </x:c>
      <x:c r="B771" s="207" t="str">
        <x:v>Operation</x:v>
      </x:c>
      <x:c r="C771" s="207" t="str">
        <x:v>OP-DRAFT-00389</x:v>
      </x:c>
      <x:c r="D771" s="207" t="str">
        <x:v>production_order_id; operation_type_id; planned_hours; actual_hours; output_qty; defect_qty; completion_status</x:v>
      </x:c>
      <x:c r="E771" s="207" t="str">
        <x:v>48-10</x:v>
      </x:c>
      <x:c r="F771" s="207" t="str">
        <x:v>Назначить production_order_id, operation_type, дату и факт часов</x:v>
      </x:c>
      <x:c r="G771" s="207" t="str">
        <x:v>Производство</x:v>
      </x:c>
      <x:c r="H771" s="207" t="str">
        <x:v>Высокий</x:v>
      </x:c>
      <x:c r="I771" s="207" t="str">
        <x:v>Загрузка; производительность; фактическая cost</x:v>
      </x:c>
      <x:c r="J771" s="207" t="str">
        <x:v>Планирование AF30</x:v>
      </x:c>
      <x:c r="K771" s="207" t="str"/>
      <x:c r="L771" s="207" t="str"/>
      <x:c r="M771" s="207" t="str">
        <x:v>Не рассмотрено</x:v>
      </x:c>
      <x:c r="N771" s="207" t="str"/>
      <x:c r="O771" s="207" t="str">
        <x:v>17</x:v>
      </x:c>
      <x:c r="P771" s="207" t="n">
        <x:v>3</x:v>
      </x:c>
      <x:c r="Q771" s="208" t="str">
        <x:v>Wave 2 (31–60 дней)</x:v>
      </x:c>
    </x:row>
    <x:row r="772">
      <x:c r="A772" s="206" t="str">
        <x:v>DEC-00768</x:v>
      </x:c>
      <x:c r="B772" s="207" t="str">
        <x:v>Operation</x:v>
      </x:c>
      <x:c r="C772" s="207" t="str">
        <x:v>OP-DRAFT-00390</x:v>
      </x:c>
      <x:c r="D772" s="207" t="str">
        <x:v>production_order_id; operation_type_id; planned_hours; actual_hours; output_qty; defect_qty; completion_status</x:v>
      </x:c>
      <x:c r="E772" s="207" t="str">
        <x:v>48-10</x:v>
      </x:c>
      <x:c r="F772" s="207" t="str">
        <x:v>Назначить production_order_id, operation_type, дату и факт часов</x:v>
      </x:c>
      <x:c r="G772" s="207" t="str">
        <x:v>Производство</x:v>
      </x:c>
      <x:c r="H772" s="207" t="str">
        <x:v>Высокий</x:v>
      </x:c>
      <x:c r="I772" s="207" t="str">
        <x:v>Загрузка; производительность; фактическая cost</x:v>
      </x:c>
      <x:c r="J772" s="207" t="str">
        <x:v>Планирование AG30</x:v>
      </x:c>
      <x:c r="K772" s="207" t="str"/>
      <x:c r="L772" s="207" t="str"/>
      <x:c r="M772" s="207" t="str">
        <x:v>Не рассмотрено</x:v>
      </x:c>
      <x:c r="N772" s="207" t="str"/>
      <x:c r="O772" s="207" t="str">
        <x:v>17</x:v>
      </x:c>
      <x:c r="P772" s="207" t="n">
        <x:v>3</x:v>
      </x:c>
      <x:c r="Q772" s="208" t="str">
        <x:v>Wave 2 (31–60 дней)</x:v>
      </x:c>
    </x:row>
    <x:row r="773">
      <x:c r="A773" s="206" t="str">
        <x:v>DEC-00769</x:v>
      </x:c>
      <x:c r="B773" s="207" t="str">
        <x:v>Operation</x:v>
      </x:c>
      <x:c r="C773" s="207" t="str">
        <x:v>OP-DRAFT-00391</x:v>
      </x:c>
      <x:c r="D773" s="207" t="str">
        <x:v>production_order_id; operation_type_id; planned_hours; actual_hours; output_qty; defect_qty; completion_status</x:v>
      </x:c>
      <x:c r="E773" s="207" t="str">
        <x:v>43-05 Феникс</x:v>
      </x:c>
      <x:c r="F773" s="207" t="str">
        <x:v>Назначить production_order_id, operation_type, дату и факт часов</x:v>
      </x:c>
      <x:c r="G773" s="207" t="str">
        <x:v>Производство</x:v>
      </x:c>
      <x:c r="H773" s="207" t="str">
        <x:v>Высокий</x:v>
      </x:c>
      <x:c r="I773" s="207" t="str">
        <x:v>Загрузка; производительность; фактическая cost</x:v>
      </x:c>
      <x:c r="J773" s="207" t="str">
        <x:v>Планирование C31</x:v>
      </x:c>
      <x:c r="K773" s="207" t="str"/>
      <x:c r="L773" s="207" t="str"/>
      <x:c r="M773" s="207" t="str">
        <x:v>Не рассмотрено</x:v>
      </x:c>
      <x:c r="N773" s="207" t="str"/>
      <x:c r="O773" s="207" t="str">
        <x:v>17</x:v>
      </x:c>
      <x:c r="P773" s="207" t="n">
        <x:v>3</x:v>
      </x:c>
      <x:c r="Q773" s="208" t="str">
        <x:v>Wave 2 (31–60 дней)</x:v>
      </x:c>
    </x:row>
    <x:row r="774">
      <x:c r="A774" s="206" t="str">
        <x:v>DEC-00770</x:v>
      </x:c>
      <x:c r="B774" s="207" t="str">
        <x:v>Operation</x:v>
      </x:c>
      <x:c r="C774" s="207" t="str">
        <x:v>OP-DRAFT-00392</x:v>
      </x:c>
      <x:c r="D774" s="207" t="str">
        <x:v>model_id/canonical_sku; production_order_id; operation_type_id; planned_hours; actual_hours; output_qty; defect_qty; completion_status</x:v>
      </x:c>
      <x:c r="E774" s="207" t="str">
        <x:v>ПРИОСТАНОВЛЕНО</x:v>
      </x:c>
      <x:c r="F774" s="207" t="str">
        <x:v>Назначить production_order_id, operation_type, дату и факт часов</x:v>
      </x:c>
      <x:c r="G774" s="207" t="str">
        <x:v>Производство</x:v>
      </x:c>
      <x:c r="H774" s="207" t="str">
        <x:v>Высокий</x:v>
      </x:c>
      <x:c r="I774" s="207" t="str">
        <x:v>Загрузка; производительность; фактическая cost</x:v>
      </x:c>
      <x:c r="J774" s="207" t="str">
        <x:v>Планирование J31</x:v>
      </x:c>
      <x:c r="K774" s="207" t="str"/>
      <x:c r="L774" s="207" t="str"/>
      <x:c r="M774" s="207" t="str">
        <x:v>Не рассмотрено</x:v>
      </x:c>
      <x:c r="N774" s="207" t="str"/>
      <x:c r="O774" s="207" t="str">
        <x:v>17</x:v>
      </x:c>
      <x:c r="P774" s="207" t="n">
        <x:v>3</x:v>
      </x:c>
      <x:c r="Q774" s="208" t="str">
        <x:v>Wave 2 (31–60 дней)</x:v>
      </x:c>
    </x:row>
    <x:row r="775">
      <x:c r="A775" s="206" t="str">
        <x:v>DEC-00771</x:v>
      </x:c>
      <x:c r="B775" s="207" t="str">
        <x:v>Operation</x:v>
      </x:c>
      <x:c r="C775" s="207" t="str">
        <x:v>OP-DRAFT-00393</x:v>
      </x:c>
      <x:c r="D775" s="207" t="str">
        <x:v>production_order_id; operation_type_id; planned_hours; actual_hours; output_qty; defect_qty; completion_status</x:v>
      </x:c>
      <x:c r="E775" s="207" t="str">
        <x:v>Стойка Владимирова 47-14</x:v>
      </x:c>
      <x:c r="F775" s="207" t="str">
        <x:v>Назначить production_order_id, operation_type, дату и факт часов</x:v>
      </x:c>
      <x:c r="G775" s="207" t="str">
        <x:v>Производство</x:v>
      </x:c>
      <x:c r="H775" s="207" t="str">
        <x:v>Высокий</x:v>
      </x:c>
      <x:c r="I775" s="207" t="str">
        <x:v>Загрузка; производительность; фактическая cost</x:v>
      </x:c>
      <x:c r="J775" s="207" t="str">
        <x:v>Планирование Q31</x:v>
      </x:c>
      <x:c r="K775" s="207" t="str"/>
      <x:c r="L775" s="207" t="str"/>
      <x:c r="M775" s="207" t="str">
        <x:v>Не рассмотрено</x:v>
      </x:c>
      <x:c r="N775" s="207" t="str"/>
      <x:c r="O775" s="207" t="str">
        <x:v>17</x:v>
      </x:c>
      <x:c r="P775" s="207" t="n">
        <x:v>3</x:v>
      </x:c>
      <x:c r="Q775" s="208" t="str">
        <x:v>Wave 2 (31–60 дней)</x:v>
      </x:c>
    </x:row>
    <x:row r="776">
      <x:c r="A776" s="206" t="str">
        <x:v>DEC-00772</x:v>
      </x:c>
      <x:c r="B776" s="207" t="str">
        <x:v>Operation</x:v>
      </x:c>
      <x:c r="C776" s="207" t="str">
        <x:v>OP-DRAFT-00394</x:v>
      </x:c>
      <x:c r="D776" s="207" t="str">
        <x:v>production_order_id; operation_type_id; planned_hours; actual_hours; output_qty; defect_qty; completion_status</x:v>
      </x:c>
      <x:c r="E776" s="207" t="str">
        <x:v>Стойка Владимирова 47-14</x:v>
      </x:c>
      <x:c r="F776" s="207" t="str">
        <x:v>Назначить production_order_id, operation_type, дату и факт часов</x:v>
      </x:c>
      <x:c r="G776" s="207" t="str">
        <x:v>Производство</x:v>
      </x:c>
      <x:c r="H776" s="207" t="str">
        <x:v>Высокий</x:v>
      </x:c>
      <x:c r="I776" s="207" t="str">
        <x:v>Загрузка; производительность; фактическая cost</x:v>
      </x:c>
      <x:c r="J776" s="207" t="str">
        <x:v>Планирование V31</x:v>
      </x:c>
      <x:c r="K776" s="207" t="str"/>
      <x:c r="L776" s="207" t="str"/>
      <x:c r="M776" s="207" t="str">
        <x:v>Не рассмотрено</x:v>
      </x:c>
      <x:c r="N776" s="207" t="str"/>
      <x:c r="O776" s="207" t="str">
        <x:v>17</x:v>
      </x:c>
      <x:c r="P776" s="207" t="n">
        <x:v>3</x:v>
      </x:c>
      <x:c r="Q776" s="208" t="str">
        <x:v>Wave 2 (31–60 дней)</x:v>
      </x:c>
    </x:row>
    <x:row r="777">
      <x:c r="A777" s="206" t="str">
        <x:v>DEC-00773</x:v>
      </x:c>
      <x:c r="B777" s="207" t="str">
        <x:v>Operation</x:v>
      </x:c>
      <x:c r="C777" s="207" t="str">
        <x:v>OP-DRAFT-00395</x:v>
      </x:c>
      <x:c r="D777" s="207" t="str">
        <x:v>model_id/canonical_sku; production_order_id; operation_type_id; planned_hours; actual_hours; output_qty; defect_qty; completion_status</x:v>
      </x:c>
      <x:c r="E777" s="207" t="str">
        <x:v>жакет "Феникс"</x:v>
      </x:c>
      <x:c r="F777" s="207" t="str">
        <x:v>Назначить production_order_id, operation_type, дату и факт часов</x:v>
      </x:c>
      <x:c r="G777" s="207" t="str">
        <x:v>Производство</x:v>
      </x:c>
      <x:c r="H777" s="207" t="str">
        <x:v>Высокий</x:v>
      </x:c>
      <x:c r="I777" s="207" t="str">
        <x:v>Загрузка; производительность; фактическая cost</x:v>
      </x:c>
      <x:c r="J777" s="207" t="str">
        <x:v>Планирование X31</x:v>
      </x:c>
      <x:c r="K777" s="207" t="str"/>
      <x:c r="L777" s="207" t="str"/>
      <x:c r="M777" s="207" t="str">
        <x:v>Не рассмотрено</x:v>
      </x:c>
      <x:c r="N777" s="207" t="str"/>
      <x:c r="O777" s="207" t="str">
        <x:v>17</x:v>
      </x:c>
      <x:c r="P777" s="207" t="n">
        <x:v>3</x:v>
      </x:c>
      <x:c r="Q777" s="208" t="str">
        <x:v>Wave 2 (31–60 дней)</x:v>
      </x:c>
    </x:row>
    <x:row r="778">
      <x:c r="A778" s="206" t="str">
        <x:v>DEC-00774</x:v>
      </x:c>
      <x:c r="B778" s="207" t="str">
        <x:v>Operation</x:v>
      </x:c>
      <x:c r="C778" s="207" t="str">
        <x:v>OP-DRAFT-00396</x:v>
      </x:c>
      <x:c r="D778" s="207" t="str">
        <x:v>production_order_id; operation_type_id; planned_hours; actual_hours; output_qty; defect_qty; completion_status</x:v>
      </x:c>
      <x:c r="E778" s="207" t="str">
        <x:v>48-24 колье</x:v>
      </x:c>
      <x:c r="F778" s="207" t="str">
        <x:v>Назначить production_order_id, operation_type, дату и факт часов</x:v>
      </x:c>
      <x:c r="G778" s="207" t="str">
        <x:v>Производство</x:v>
      </x:c>
      <x:c r="H778" s="207" t="str">
        <x:v>Высокий</x:v>
      </x:c>
      <x:c r="I778" s="207" t="str">
        <x:v>Загрузка; производительность; фактическая cost</x:v>
      </x:c>
      <x:c r="J778" s="207" t="str">
        <x:v>Планирование AD31</x:v>
      </x:c>
      <x:c r="K778" s="207" t="str"/>
      <x:c r="L778" s="207" t="str"/>
      <x:c r="M778" s="207" t="str">
        <x:v>Не рассмотрено</x:v>
      </x:c>
      <x:c r="N778" s="207" t="str"/>
      <x:c r="O778" s="207" t="str">
        <x:v>17</x:v>
      </x:c>
      <x:c r="P778" s="207" t="n">
        <x:v>3</x:v>
      </x:c>
      <x:c r="Q778" s="208" t="str">
        <x:v>Wave 2 (31–60 дней)</x:v>
      </x:c>
    </x:row>
    <x:row r="779">
      <x:c r="A779" s="206" t="str">
        <x:v>DEC-00775</x:v>
      </x:c>
      <x:c r="B779" s="207" t="str">
        <x:v>Operation</x:v>
      </x:c>
      <x:c r="C779" s="207" t="str">
        <x:v>OP-DRAFT-00397</x:v>
      </x:c>
      <x:c r="D779" s="207" t="str">
        <x:v>production_order_id; operation_type_id; planned_hours; actual_hours; output_qty; defect_qty; completion_status</x:v>
      </x:c>
      <x:c r="E779" s="207" t="str">
        <x:v>48-24 колье</x:v>
      </x:c>
      <x:c r="F779" s="207" t="str">
        <x:v>Назначить production_order_id, operation_type, дату и факт часов</x:v>
      </x:c>
      <x:c r="G779" s="207" t="str">
        <x:v>Производство</x:v>
      </x:c>
      <x:c r="H779" s="207" t="str">
        <x:v>Высокий</x:v>
      </x:c>
      <x:c r="I779" s="207" t="str">
        <x:v>Загрузка; производительность; фактическая cost</x:v>
      </x:c>
      <x:c r="J779" s="207" t="str">
        <x:v>Планирование AE31</x:v>
      </x:c>
      <x:c r="K779" s="207" t="str"/>
      <x:c r="L779" s="207" t="str"/>
      <x:c r="M779" s="207" t="str">
        <x:v>Не рассмотрено</x:v>
      </x:c>
      <x:c r="N779" s="207" t="str"/>
      <x:c r="O779" s="207" t="str">
        <x:v>17</x:v>
      </x:c>
      <x:c r="P779" s="207" t="n">
        <x:v>3</x:v>
      </x:c>
      <x:c r="Q779" s="208" t="str">
        <x:v>Wave 2 (31–60 дней)</x:v>
      </x:c>
    </x:row>
    <x:row r="780">
      <x:c r="A780" s="206" t="str">
        <x:v>DEC-00776</x:v>
      </x:c>
      <x:c r="B780" s="207" t="str">
        <x:v>Operation</x:v>
      </x:c>
      <x:c r="C780" s="207" t="str">
        <x:v>OP-DRAFT-00398</x:v>
      </x:c>
      <x:c r="D780" s="207" t="str">
        <x:v>production_order_id; operation_type_id; planned_hours; actual_hours; output_qty; defect_qty; completion_status</x:v>
      </x:c>
      <x:c r="E780" s="207" t="str">
        <x:v>48-24 колье</x:v>
      </x:c>
      <x:c r="F780" s="207" t="str">
        <x:v>Назначить production_order_id, operation_type, дату и факт часов</x:v>
      </x:c>
      <x:c r="G780" s="207" t="str">
        <x:v>Производство</x:v>
      </x:c>
      <x:c r="H780" s="207" t="str">
        <x:v>Высокий</x:v>
      </x:c>
      <x:c r="I780" s="207" t="str">
        <x:v>Загрузка; производительность; фактическая cost</x:v>
      </x:c>
      <x:c r="J780" s="207" t="str">
        <x:v>Планирование AF31</x:v>
      </x:c>
      <x:c r="K780" s="207" t="str"/>
      <x:c r="L780" s="207" t="str"/>
      <x:c r="M780" s="207" t="str">
        <x:v>Не рассмотрено</x:v>
      </x:c>
      <x:c r="N780" s="207" t="str"/>
      <x:c r="O780" s="207" t="str">
        <x:v>17</x:v>
      </x:c>
      <x:c r="P780" s="207" t="n">
        <x:v>3</x:v>
      </x:c>
      <x:c r="Q780" s="208" t="str">
        <x:v>Wave 2 (31–60 дней)</x:v>
      </x:c>
    </x:row>
    <x:row r="781">
      <x:c r="A781" s="206" t="str">
        <x:v>DEC-00777</x:v>
      </x:c>
      <x:c r="B781" s="207" t="str">
        <x:v>Operation</x:v>
      </x:c>
      <x:c r="C781" s="207" t="str">
        <x:v>OP-DRAFT-00399</x:v>
      </x:c>
      <x:c r="D781" s="207" t="str">
        <x:v>production_order_id; operation_type_id; planned_hours; actual_hours; output_qty; defect_qty; completion_status</x:v>
      </x:c>
      <x:c r="E781" s="207" t="str">
        <x:v>48-24 колье</x:v>
      </x:c>
      <x:c r="F781" s="207" t="str">
        <x:v>Назначить production_order_id, operation_type, дату и факт часов</x:v>
      </x:c>
      <x:c r="G781" s="207" t="str">
        <x:v>Производство</x:v>
      </x:c>
      <x:c r="H781" s="207" t="str">
        <x:v>Высокий</x:v>
      </x:c>
      <x:c r="I781" s="207" t="str">
        <x:v>Загрузка; производительность; фактическая cost</x:v>
      </x:c>
      <x:c r="J781" s="207" t="str">
        <x:v>Планирование AG31</x:v>
      </x:c>
      <x:c r="K781" s="207" t="str"/>
      <x:c r="L781" s="207" t="str"/>
      <x:c r="M781" s="207" t="str">
        <x:v>Не рассмотрено</x:v>
      </x:c>
      <x:c r="N781" s="207" t="str"/>
      <x:c r="O781" s="207" t="str">
        <x:v>17</x:v>
      </x:c>
      <x:c r="P781" s="207" t="n">
        <x:v>3</x:v>
      </x:c>
      <x:c r="Q781" s="208" t="str">
        <x:v>Wave 2 (31–60 дней)</x:v>
      </x:c>
    </x:row>
    <x:row r="782">
      <x:c r="A782" s="206" t="str">
        <x:v>DEC-00778</x:v>
      </x:c>
      <x:c r="B782" s="207" t="str">
        <x:v>Operation</x:v>
      </x:c>
      <x:c r="C782" s="207" t="str">
        <x:v>OP-DRAFT-00400</x:v>
      </x:c>
      <x:c r="D782" s="207" t="str">
        <x:v>production_order_id; operation_type_id; planned_hours; actual_hours; output_qty; defect_qty; completion_status</x:v>
      </x:c>
      <x:c r="E782" s="207" t="str">
        <x:v>47-14 Владимирова 6 д сд 10</x:v>
      </x:c>
      <x:c r="F782" s="207" t="str">
        <x:v>Назначить production_order_id, operation_type, дату и факт часов</x:v>
      </x:c>
      <x:c r="G782" s="207" t="str">
        <x:v>Производство</x:v>
      </x:c>
      <x:c r="H782" s="207" t="str">
        <x:v>Высокий</x:v>
      </x:c>
      <x:c r="I782" s="207" t="str">
        <x:v>Загрузка; производительность; фактическая cost</x:v>
      </x:c>
      <x:c r="J782" s="207" t="str">
        <x:v>Планирование J32</x:v>
      </x:c>
      <x:c r="K782" s="207" t="str"/>
      <x:c r="L782" s="207" t="str"/>
      <x:c r="M782" s="207" t="str">
        <x:v>Не рассмотрено</x:v>
      </x:c>
      <x:c r="N782" s="207" t="str"/>
      <x:c r="O782" s="207" t="str">
        <x:v>17</x:v>
      </x:c>
      <x:c r="P782" s="207" t="n">
        <x:v>3</x:v>
      </x:c>
      <x:c r="Q782" s="208" t="str">
        <x:v>Wave 2 (31–60 дней)</x:v>
      </x:c>
    </x:row>
    <x:row r="783">
      <x:c r="A783" s="206" t="str">
        <x:v>DEC-00779</x:v>
      </x:c>
      <x:c r="B783" s="207" t="str">
        <x:v>Operation</x:v>
      </x:c>
      <x:c r="C783" s="207" t="str">
        <x:v>OP-DRAFT-00401</x:v>
      </x:c>
      <x:c r="D783" s="207" t="str">
        <x:v>production_order_id; operation_type_id; planned_hours; actual_hours; output_qty; defect_qty; completion_status</x:v>
      </x:c>
      <x:c r="E783" s="207" t="str">
        <x:v>46-21</x:v>
      </x:c>
      <x:c r="F783" s="207" t="str">
        <x:v>Назначить production_order_id, operation_type, дату и факт часов</x:v>
      </x:c>
      <x:c r="G783" s="207" t="str">
        <x:v>Производство</x:v>
      </x:c>
      <x:c r="H783" s="207" t="str">
        <x:v>Высокий</x:v>
      </x:c>
      <x:c r="I783" s="207" t="str">
        <x:v>Загрузка; производительность; фактическая cost</x:v>
      </x:c>
      <x:c r="J783" s="207" t="str">
        <x:v>Планирование C33</x:v>
      </x:c>
      <x:c r="K783" s="207" t="str"/>
      <x:c r="L783" s="207" t="str"/>
      <x:c r="M783" s="207" t="str">
        <x:v>Не рассмотрено</x:v>
      </x:c>
      <x:c r="N783" s="207" t="str"/>
      <x:c r="O783" s="207" t="str">
        <x:v>17</x:v>
      </x:c>
      <x:c r="P783" s="207" t="n">
        <x:v>3</x:v>
      </x:c>
      <x:c r="Q783" s="208" t="str">
        <x:v>Wave 2 (31–60 дней)</x:v>
      </x:c>
    </x:row>
    <x:row r="784">
      <x:c r="A784" s="206" t="str">
        <x:v>DEC-00780</x:v>
      </x:c>
      <x:c r="B784" s="207" t="str">
        <x:v>Operation</x:v>
      </x:c>
      <x:c r="C784" s="207" t="str">
        <x:v>OP-DRAFT-00402</x:v>
      </x:c>
      <x:c r="D784" s="207" t="str">
        <x:v>production_order_id; operation_type_id; planned_hours; actual_hours; output_qty; defect_qty; completion_status</x:v>
      </x:c>
      <x:c r="E784" s="207" t="str">
        <x:v>48-27 Жукова васильки</x:v>
      </x:c>
      <x:c r="F784" s="207" t="str">
        <x:v>Назначить production_order_id, operation_type, дату и факт часов</x:v>
      </x:c>
      <x:c r="G784" s="207" t="str">
        <x:v>Производство</x:v>
      </x:c>
      <x:c r="H784" s="207" t="str">
        <x:v>Высокий</x:v>
      </x:c>
      <x:c r="I784" s="207" t="str">
        <x:v>Загрузка; производительность; фактическая cost</x:v>
      </x:c>
      <x:c r="J784" s="207" t="str">
        <x:v>Планирование K33</x:v>
      </x:c>
      <x:c r="K784" s="207" t="str"/>
      <x:c r="L784" s="207" t="str"/>
      <x:c r="M784" s="207" t="str">
        <x:v>Не рассмотрено</x:v>
      </x:c>
      <x:c r="N784" s="207" t="str"/>
      <x:c r="O784" s="207" t="str">
        <x:v>17</x:v>
      </x:c>
      <x:c r="P784" s="207" t="n">
        <x:v>3</x:v>
      </x:c>
      <x:c r="Q784" s="208" t="str">
        <x:v>Wave 2 (31–60 дней)</x:v>
      </x:c>
    </x:row>
    <x:row r="785">
      <x:c r="A785" s="206" t="str">
        <x:v>DEC-00781</x:v>
      </x:c>
      <x:c r="B785" s="207" t="str">
        <x:v>Operation</x:v>
      </x:c>
      <x:c r="C785" s="207" t="str">
        <x:v>OP-DRAFT-00403</x:v>
      </x:c>
      <x:c r="D785" s="207" t="str">
        <x:v>production_order_id; operation_type_id; planned_hours; actual_hours; output_qty; defect_qty; completion_status</x:v>
      </x:c>
      <x:c r="E785" s="207" t="str">
        <x:v>48-27 юбка васильки приедел 17.06</x:v>
      </x:c>
      <x:c r="F785" s="207" t="str">
        <x:v>Назначить production_order_id, operation_type, дату и факт часов</x:v>
      </x:c>
      <x:c r="G785" s="207" t="str">
        <x:v>Производство</x:v>
      </x:c>
      <x:c r="H785" s="207" t="str">
        <x:v>Высокий</x:v>
      </x:c>
      <x:c r="I785" s="207" t="str">
        <x:v>Загрузка; производительность; фактическая cost</x:v>
      </x:c>
      <x:c r="J785" s="207" t="str">
        <x:v>Планирование O33</x:v>
      </x:c>
      <x:c r="K785" s="207" t="str"/>
      <x:c r="L785" s="207" t="str"/>
      <x:c r="M785" s="207" t="str">
        <x:v>Не рассмотрено</x:v>
      </x:c>
      <x:c r="N785" s="207" t="str"/>
      <x:c r="O785" s="207" t="str">
        <x:v>17</x:v>
      </x:c>
      <x:c r="P785" s="207" t="n">
        <x:v>3</x:v>
      </x:c>
      <x:c r="Q785" s="208" t="str">
        <x:v>Wave 2 (31–60 дней)</x:v>
      </x:c>
    </x:row>
    <x:row r="786">
      <x:c r="A786" s="206" t="str">
        <x:v>DEC-00782</x:v>
      </x:c>
      <x:c r="B786" s="207" t="str">
        <x:v>Operation</x:v>
      </x:c>
      <x:c r="C786" s="207" t="str">
        <x:v>OP-DRAFT-00404</x:v>
      </x:c>
      <x:c r="D786" s="207" t="str">
        <x:v>production_order_id; operation_type_id; planned_hours; actual_hours; output_qty; defect_qty; completion_status</x:v>
      </x:c>
      <x:c r="E786" s="207" t="str">
        <x:v>48-27 юбка васильки приедел 17.06</x:v>
      </x:c>
      <x:c r="F786" s="207" t="str">
        <x:v>Назначить production_order_id, operation_type, дату и факт часов</x:v>
      </x:c>
      <x:c r="G786" s="207" t="str">
        <x:v>Производство</x:v>
      </x:c>
      <x:c r="H786" s="207" t="str">
        <x:v>Высокий</x:v>
      </x:c>
      <x:c r="I786" s="207" t="str">
        <x:v>Загрузка; производительность; фактическая cost</x:v>
      </x:c>
      <x:c r="J786" s="207" t="str">
        <x:v>Планирование V33</x:v>
      </x:c>
      <x:c r="K786" s="207" t="str"/>
      <x:c r="L786" s="207" t="str"/>
      <x:c r="M786" s="207" t="str">
        <x:v>Не рассмотрено</x:v>
      </x:c>
      <x:c r="N786" s="207" t="str"/>
      <x:c r="O786" s="207" t="str">
        <x:v>17</x:v>
      </x:c>
      <x:c r="P786" s="207" t="n">
        <x:v>3</x:v>
      </x:c>
      <x:c r="Q786" s="208" t="str">
        <x:v>Wave 2 (31–60 дней)</x:v>
      </x:c>
    </x:row>
    <x:row r="787">
      <x:c r="A787" s="206" t="str">
        <x:v>DEC-00783</x:v>
      </x:c>
      <x:c r="B787" s="207" t="str">
        <x:v>Operation</x:v>
      </x:c>
      <x:c r="C787" s="207" t="str">
        <x:v>OP-DRAFT-00405</x:v>
      </x:c>
      <x:c r="D787" s="207" t="str">
        <x:v>model_id/canonical_sku; production_order_id; operation_type_id; planned_hours; actual_hours; output_qty; defect_qty; completion_status</x:v>
      </x:c>
      <x:c r="E787" s="207" t="str">
        <x:v>ЯВКА</x:v>
      </x:c>
      <x:c r="F787" s="207" t="str">
        <x:v>Назначить production_order_id, operation_type, дату и факт часов</x:v>
      </x:c>
      <x:c r="G787" s="207" t="str">
        <x:v>Производство</x:v>
      </x:c>
      <x:c r="H787" s="207" t="str">
        <x:v>Высокий</x:v>
      </x:c>
      <x:c r="I787" s="207" t="str">
        <x:v>Загрузка; производительность; фактическая cost</x:v>
      </x:c>
      <x:c r="J787" s="207" t="str">
        <x:v>Планирование AD33</x:v>
      </x:c>
      <x:c r="K787" s="207" t="str"/>
      <x:c r="L787" s="207" t="str"/>
      <x:c r="M787" s="207" t="str">
        <x:v>Не рассмотрено</x:v>
      </x:c>
      <x:c r="N787" s="207" t="str"/>
      <x:c r="O787" s="207" t="str">
        <x:v>17</x:v>
      </x:c>
      <x:c r="P787" s="207" t="n">
        <x:v>3</x:v>
      </x:c>
      <x:c r="Q787" s="208" t="str">
        <x:v>Wave 2 (31–60 дней)</x:v>
      </x:c>
    </x:row>
    <x:row r="788">
      <x:c r="A788" s="206" t="str">
        <x:v>DEC-00784</x:v>
      </x:c>
      <x:c r="B788" s="207" t="str">
        <x:v>Operation</x:v>
      </x:c>
      <x:c r="C788" s="207" t="str">
        <x:v>OP-DRAFT-00406</x:v>
      </x:c>
      <x:c r="D788" s="207" t="str">
        <x:v>production_order_id; operation_type_id; planned_hours; actual_hours; output_qty; defect_qty; completion_status</x:v>
      </x:c>
      <x:c r="E788" s="207" t="str">
        <x:v>46-21</x:v>
      </x:c>
      <x:c r="F788" s="207" t="str">
        <x:v>Назначить production_order_id, operation_type, дату и факт часов</x:v>
      </x:c>
      <x:c r="G788" s="207" t="str">
        <x:v>Производство</x:v>
      </x:c>
      <x:c r="H788" s="207" t="str">
        <x:v>Высокий</x:v>
      </x:c>
      <x:c r="I788" s="207" t="str">
        <x:v>Загрузка; производительность; фактическая cost</x:v>
      </x:c>
      <x:c r="J788" s="207" t="str">
        <x:v>Планирование AE33</x:v>
      </x:c>
      <x:c r="K788" s="207" t="str"/>
      <x:c r="L788" s="207" t="str"/>
      <x:c r="M788" s="207" t="str">
        <x:v>Не рассмотрено</x:v>
      </x:c>
      <x:c r="N788" s="207" t="str"/>
      <x:c r="O788" s="207" t="str">
        <x:v>17</x:v>
      </x:c>
      <x:c r="P788" s="207" t="n">
        <x:v>3</x:v>
      </x:c>
      <x:c r="Q788" s="208" t="str">
        <x:v>Wave 2 (31–60 дней)</x:v>
      </x:c>
    </x:row>
    <x:row r="789">
      <x:c r="A789" s="206" t="str">
        <x:v>DEC-00785</x:v>
      </x:c>
      <x:c r="B789" s="207" t="str">
        <x:v>Operation</x:v>
      </x:c>
      <x:c r="C789" s="207" t="str">
        <x:v>OP-DRAFT-00407</x:v>
      </x:c>
      <x:c r="D789" s="207" t="str">
        <x:v>production_order_id; operation_type_id; planned_hours; actual_hours; output_qty; defect_qty; completion_status</x:v>
      </x:c>
      <x:c r="E789" s="207" t="str">
        <x:v>46-21</x:v>
      </x:c>
      <x:c r="F789" s="207" t="str">
        <x:v>Назначить production_order_id, operation_type, дату и факт часов</x:v>
      </x:c>
      <x:c r="G789" s="207" t="str">
        <x:v>Производство</x:v>
      </x:c>
      <x:c r="H789" s="207" t="str">
        <x:v>Высокий</x:v>
      </x:c>
      <x:c r="I789" s="207" t="str">
        <x:v>Загрузка; производительность; фактическая cost</x:v>
      </x:c>
      <x:c r="J789" s="207" t="str">
        <x:v>Планирование AF33</x:v>
      </x:c>
      <x:c r="K789" s="207" t="str"/>
      <x:c r="L789" s="207" t="str"/>
      <x:c r="M789" s="207" t="str">
        <x:v>Не рассмотрено</x:v>
      </x:c>
      <x:c r="N789" s="207" t="str"/>
      <x:c r="O789" s="207" t="str">
        <x:v>17</x:v>
      </x:c>
      <x:c r="P789" s="207" t="n">
        <x:v>3</x:v>
      </x:c>
      <x:c r="Q789" s="208" t="str">
        <x:v>Wave 2 (31–60 дней)</x:v>
      </x:c>
    </x:row>
    <x:row r="790">
      <x:c r="A790" s="206" t="str">
        <x:v>DEC-00786</x:v>
      </x:c>
      <x:c r="B790" s="207" t="str">
        <x:v>Operation</x:v>
      </x:c>
      <x:c r="C790" s="207" t="str">
        <x:v>OP-DRAFT-00408</x:v>
      </x:c>
      <x:c r="D790" s="207" t="str">
        <x:v>production_order_id; operation_type_id; planned_hours; actual_hours; output_qty; defect_qty; completion_status</x:v>
      </x:c>
      <x:c r="E790" s="207" t="str">
        <x:v>48-13</x:v>
      </x:c>
      <x:c r="F790" s="207" t="str">
        <x:v>Назначить production_order_id, operation_type, дату и факт часов</x:v>
      </x:c>
      <x:c r="G790" s="207" t="str">
        <x:v>Производство</x:v>
      </x:c>
      <x:c r="H790" s="207" t="str">
        <x:v>Высокий</x:v>
      </x:c>
      <x:c r="I790" s="207" t="str">
        <x:v>Загрузка; производительность; фактическая cost</x:v>
      </x:c>
      <x:c r="J790" s="207" t="str">
        <x:v>Планирование C34</x:v>
      </x:c>
      <x:c r="K790" s="207" t="str"/>
      <x:c r="L790" s="207" t="str"/>
      <x:c r="M790" s="207" t="str">
        <x:v>Не рассмотрено</x:v>
      </x:c>
      <x:c r="N790" s="207" t="str"/>
      <x:c r="O790" s="207" t="str">
        <x:v>17</x:v>
      </x:c>
      <x:c r="P790" s="207" t="n">
        <x:v>3</x:v>
      </x:c>
      <x:c r="Q790" s="208" t="str">
        <x:v>Wave 2 (31–60 дней)</x:v>
      </x:c>
    </x:row>
    <x:row r="791">
      <x:c r="A791" s="206" t="str">
        <x:v>DEC-00787</x:v>
      </x:c>
      <x:c r="B791" s="207" t="str">
        <x:v>Operation</x:v>
      </x:c>
      <x:c r="C791" s="207" t="str">
        <x:v>OP-DRAFT-00409</x:v>
      </x:c>
      <x:c r="D791" s="207" t="str">
        <x:v>production_order_id; operation_type_id; planned_hours; actual_hours; output_qty; defect_qty; completion_status</x:v>
      </x:c>
      <x:c r="E791" s="207" t="str">
        <x:v>48-13 сборка Ландышей</x:v>
      </x:c>
      <x:c r="F791" s="207" t="str">
        <x:v>Назначить production_order_id, operation_type, дату и факт часов</x:v>
      </x:c>
      <x:c r="G791" s="207" t="str">
        <x:v>Производство</x:v>
      </x:c>
      <x:c r="H791" s="207" t="str">
        <x:v>Высокий</x:v>
      </x:c>
      <x:c r="I791" s="207" t="str">
        <x:v>Загрузка; производительность; фактическая cost</x:v>
      </x:c>
      <x:c r="J791" s="207" t="str">
        <x:v>Планирование O34</x:v>
      </x:c>
      <x:c r="K791" s="207" t="str"/>
      <x:c r="L791" s="207" t="str"/>
      <x:c r="M791" s="207" t="str">
        <x:v>Не рассмотрено</x:v>
      </x:c>
      <x:c r="N791" s="207" t="str"/>
      <x:c r="O791" s="207" t="str">
        <x:v>17</x:v>
      </x:c>
      <x:c r="P791" s="207" t="n">
        <x:v>3</x:v>
      </x:c>
      <x:c r="Q791" s="208" t="str">
        <x:v>Wave 2 (31–60 дней)</x:v>
      </x:c>
    </x:row>
    <x:row r="792">
      <x:c r="A792" s="206" t="str">
        <x:v>DEC-00788</x:v>
      </x:c>
      <x:c r="B792" s="207" t="str">
        <x:v>Operation</x:v>
      </x:c>
      <x:c r="C792" s="207" t="str">
        <x:v>OP-DRAFT-00410</x:v>
      </x:c>
      <x:c r="D792" s="207" t="str">
        <x:v>model_id/canonical_sku; production_order_id; operation_type_id; planned_hours; actual_hours; output_qty; defect_qty; completion_status</x:v>
      </x:c>
      <x:c r="E792" s="207" t="str">
        <x:v>нет</x:v>
      </x:c>
      <x:c r="F792" s="207" t="str">
        <x:v>Назначить production_order_id, operation_type, дату и факт часов</x:v>
      </x:c>
      <x:c r="G792" s="207" t="str">
        <x:v>Производство</x:v>
      </x:c>
      <x:c r="H792" s="207" t="str">
        <x:v>Высокий</x:v>
      </x:c>
      <x:c r="I792" s="207" t="str">
        <x:v>Загрузка; производительность; фактическая cost</x:v>
      </x:c>
      <x:c r="J792" s="207" t="str">
        <x:v>Планирование V34</x:v>
      </x:c>
      <x:c r="K792" s="207" t="str"/>
      <x:c r="L792" s="207" t="str"/>
      <x:c r="M792" s="207" t="str">
        <x:v>Не рассмотрено</x:v>
      </x:c>
      <x:c r="N792" s="207" t="str"/>
      <x:c r="O792" s="207" t="str">
        <x:v>17</x:v>
      </x:c>
      <x:c r="P792" s="207" t="n">
        <x:v>3</x:v>
      </x:c>
      <x:c r="Q792" s="208" t="str">
        <x:v>Wave 2 (31–60 дней)</x:v>
      </x:c>
    </x:row>
    <x:row r="793">
      <x:c r="A793" s="206" t="str">
        <x:v>DEC-00789</x:v>
      </x:c>
      <x:c r="B793" s="207" t="str">
        <x:v>Operation</x:v>
      </x:c>
      <x:c r="C793" s="207" t="str">
        <x:v>OP-DRAFT-00411</x:v>
      </x:c>
      <x:c r="D793" s="207" t="str">
        <x:v>production_order_id; operation_type_id; planned_hours; actual_hours; output_qty; defect_qty; completion_status</x:v>
      </x:c>
      <x:c r="E793" s="207" t="str">
        <x:v>48-13</x:v>
      </x:c>
      <x:c r="F793" s="207" t="str">
        <x:v>Назначить production_order_id, operation_type, дату и факт часов</x:v>
      </x:c>
      <x:c r="G793" s="207" t="str">
        <x:v>Производство</x:v>
      </x:c>
      <x:c r="H793" s="207" t="str">
        <x:v>Высокий</x:v>
      </x:c>
      <x:c r="I793" s="207" t="str">
        <x:v>Загрузка; производительность; фактическая cost</x:v>
      </x:c>
      <x:c r="J793" s="207" t="str">
        <x:v>Планирование AC34</x:v>
      </x:c>
      <x:c r="K793" s="207" t="str"/>
      <x:c r="L793" s="207" t="str"/>
      <x:c r="M793" s="207" t="str">
        <x:v>Не рассмотрено</x:v>
      </x:c>
      <x:c r="N793" s="207" t="str"/>
      <x:c r="O793" s="207" t="str">
        <x:v>17</x:v>
      </x:c>
      <x:c r="P793" s="207" t="n">
        <x:v>3</x:v>
      </x:c>
      <x:c r="Q793" s="208" t="str">
        <x:v>Wave 2 (31–60 дней)</x:v>
      </x:c>
    </x:row>
    <x:row r="794">
      <x:c r="A794" s="206" t="str">
        <x:v>DEC-00790</x:v>
      </x:c>
      <x:c r="B794" s="207" t="str">
        <x:v>Operation</x:v>
      </x:c>
      <x:c r="C794" s="207" t="str">
        <x:v>OP-DRAFT-00412</x:v>
      </x:c>
      <x:c r="D794" s="207" t="str">
        <x:v>model_id/canonical_sku; production_order_id; operation_type_id; planned_hours; actual_hours; output_qty; defect_qty; completion_status</x:v>
      </x:c>
      <x:c r="E794" s="207" t="str">
        <x:v>48</x:v>
      </x:c>
      <x:c r="F794" s="207" t="str">
        <x:v>Назначить production_order_id, operation_type, дату и факт часов</x:v>
      </x:c>
      <x:c r="G794" s="207" t="str">
        <x:v>Производство</x:v>
      </x:c>
      <x:c r="H794" s="207" t="str">
        <x:v>Высокий</x:v>
      </x:c>
      <x:c r="I794" s="207" t="str">
        <x:v>Загрузка; производительность; фактическая cost</x:v>
      </x:c>
      <x:c r="J794" s="207" t="str">
        <x:v>Планирование C35</x:v>
      </x:c>
      <x:c r="K794" s="207" t="str"/>
      <x:c r="L794" s="207" t="str"/>
      <x:c r="M794" s="207" t="str">
        <x:v>Не рассмотрено</x:v>
      </x:c>
      <x:c r="N794" s="207" t="str"/>
      <x:c r="O794" s="207" t="str">
        <x:v>17</x:v>
      </x:c>
      <x:c r="P794" s="207" t="n">
        <x:v>3</x:v>
      </x:c>
      <x:c r="Q794" s="208" t="str">
        <x:v>Wave 2 (31–60 дней)</x:v>
      </x:c>
    </x:row>
    <x:row r="795">
      <x:c r="A795" s="206" t="str">
        <x:v>DEC-00791</x:v>
      </x:c>
      <x:c r="B795" s="207" t="str">
        <x:v>Operation</x:v>
      </x:c>
      <x:c r="C795" s="207" t="str">
        <x:v>OP-DRAFT-00413</x:v>
      </x:c>
      <x:c r="D795" s="207" t="str">
        <x:v>production_order_id; operation_type_id; planned_hours; actual_hours; output_qty; defect_qty; completion_status</x:v>
      </x:c>
      <x:c r="E795" s="207" t="str">
        <x:v>48-28 цветочки</x:v>
      </x:c>
      <x:c r="F795" s="207" t="str">
        <x:v>Назначить production_order_id, operation_type, дату и факт часов</x:v>
      </x:c>
      <x:c r="G795" s="207" t="str">
        <x:v>Производство</x:v>
      </x:c>
      <x:c r="H795" s="207" t="str">
        <x:v>Высокий</x:v>
      </x:c>
      <x:c r="I795" s="207" t="str">
        <x:v>Загрузка; производительность; фактическая cost</x:v>
      </x:c>
      <x:c r="J795" s="207" t="str">
        <x:v>Планирование O35</x:v>
      </x:c>
      <x:c r="K795" s="207" t="str"/>
      <x:c r="L795" s="207" t="str"/>
      <x:c r="M795" s="207" t="str">
        <x:v>Не рассмотрено</x:v>
      </x:c>
      <x:c r="N795" s="207" t="str"/>
      <x:c r="O795" s="207" t="str">
        <x:v>17</x:v>
      </x:c>
      <x:c r="P795" s="207" t="n">
        <x:v>3</x:v>
      </x:c>
      <x:c r="Q795" s="208" t="str">
        <x:v>Wave 2 (31–60 дней)</x:v>
      </x:c>
    </x:row>
    <x:row r="796">
      <x:c r="A796" s="206" t="str">
        <x:v>DEC-00792</x:v>
      </x:c>
      <x:c r="B796" s="207" t="str">
        <x:v>Operation</x:v>
      </x:c>
      <x:c r="C796" s="207" t="str">
        <x:v>OP-DRAFT-00414</x:v>
      </x:c>
      <x:c r="D796" s="207" t="str">
        <x:v>model_id/canonical_sku; production_order_id; operation_type_id; planned_hours; actual_hours; output_qty; defect_qty; completion_status</x:v>
      </x:c>
      <x:c r="E796" s="207" t="str">
        <x:v>ландыши булькой</x:v>
      </x:c>
      <x:c r="F796" s="207" t="str">
        <x:v>Назначить production_order_id, operation_type, дату и факт часов</x:v>
      </x:c>
      <x:c r="G796" s="207" t="str">
        <x:v>Производство</x:v>
      </x:c>
      <x:c r="H796" s="207" t="str">
        <x:v>Высокий</x:v>
      </x:c>
      <x:c r="I796" s="207" t="str">
        <x:v>Загрузка; производительность; фактическая cost</x:v>
      </x:c>
      <x:c r="J796" s="207" t="str">
        <x:v>Планирование V35</x:v>
      </x:c>
      <x:c r="K796" s="207" t="str"/>
      <x:c r="L796" s="207" t="str"/>
      <x:c r="M796" s="207" t="str">
        <x:v>Не рассмотрено</x:v>
      </x:c>
      <x:c r="N796" s="207" t="str"/>
      <x:c r="O796" s="207" t="str">
        <x:v>17</x:v>
      </x:c>
      <x:c r="P796" s="207" t="n">
        <x:v>3</x:v>
      </x:c>
      <x:c r="Q796" s="208" t="str">
        <x:v>Wave 2 (31–60 дней)</x:v>
      </x:c>
    </x:row>
    <x:row r="797">
      <x:c r="A797" s="206" t="str">
        <x:v>DEC-00793</x:v>
      </x:c>
      <x:c r="B797" s="207" t="str">
        <x:v>Operation</x:v>
      </x:c>
      <x:c r="C797" s="207" t="str">
        <x:v>OP-DRAFT-00415</x:v>
      </x:c>
      <x:c r="D797" s="207" t="str">
        <x:v>production_order_id; operation_type_id; planned_hours; actual_hours; output_qty; defect_qty; completion_status</x:v>
      </x:c>
      <x:c r="E797" s="207" t="str">
        <x:v>48-28 гладьевые объемные лепестки</x:v>
      </x:c>
      <x:c r="F797" s="207" t="str">
        <x:v>Назначить production_order_id, operation_type, дату и факт часов</x:v>
      </x:c>
      <x:c r="G797" s="207" t="str">
        <x:v>Производство</x:v>
      </x:c>
      <x:c r="H797" s="207" t="str">
        <x:v>Высокий</x:v>
      </x:c>
      <x:c r="I797" s="207" t="str">
        <x:v>Загрузка; производительность; фактическая cost</x:v>
      </x:c>
      <x:c r="J797" s="207" t="str">
        <x:v>Планирование X35</x:v>
      </x:c>
      <x:c r="K797" s="207" t="str"/>
      <x:c r="L797" s="207" t="str"/>
      <x:c r="M797" s="207" t="str">
        <x:v>Не рассмотрено</x:v>
      </x:c>
      <x:c r="N797" s="207" t="str"/>
      <x:c r="O797" s="207" t="str">
        <x:v>17</x:v>
      </x:c>
      <x:c r="P797" s="207" t="n">
        <x:v>3</x:v>
      </x:c>
      <x:c r="Q797" s="208" t="str">
        <x:v>Wave 2 (31–60 дней)</x:v>
      </x:c>
    </x:row>
    <x:row r="798">
      <x:c r="A798" s="206" t="str">
        <x:v>DEC-00794</x:v>
      </x:c>
      <x:c r="B798" s="207" t="str">
        <x:v>Operation</x:v>
      </x:c>
      <x:c r="C798" s="207" t="str">
        <x:v>OP-DRAFT-00416</x:v>
      </x:c>
      <x:c r="D798" s="207" t="str">
        <x:v>production_order_id; operation_type_id; planned_hours; actual_hours; output_qty; defect_qty; completion_status</x:v>
      </x:c>
      <x:c r="E798" s="207" t="str">
        <x:v>48-28 гладьевые объемные лепестки</x:v>
      </x:c>
      <x:c r="F798" s="207" t="str">
        <x:v>Назначить production_order_id, operation_type, дату и факт часов</x:v>
      </x:c>
      <x:c r="G798" s="207" t="str">
        <x:v>Производство</x:v>
      </x:c>
      <x:c r="H798" s="207" t="str">
        <x:v>Высокий</x:v>
      </x:c>
      <x:c r="I798" s="207" t="str">
        <x:v>Загрузка; производительность; фактическая cost</x:v>
      </x:c>
      <x:c r="J798" s="207" t="str">
        <x:v>Планирование AC35</x:v>
      </x:c>
      <x:c r="K798" s="207" t="str"/>
      <x:c r="L798" s="207" t="str"/>
      <x:c r="M798" s="207" t="str">
        <x:v>Не рассмотрено</x:v>
      </x:c>
      <x:c r="N798" s="207" t="str"/>
      <x:c r="O798" s="207" t="str">
        <x:v>17</x:v>
      </x:c>
      <x:c r="P798" s="207" t="n">
        <x:v>3</x:v>
      </x:c>
      <x:c r="Q798" s="208" t="str">
        <x:v>Wave 2 (31–60 дней)</x:v>
      </x:c>
    </x:row>
    <x:row r="799">
      <x:c r="A799" s="206" t="str">
        <x:v>DEC-00795</x:v>
      </x:c>
      <x:c r="B799" s="207" t="str">
        <x:v>Operation</x:v>
      </x:c>
      <x:c r="C799" s="207" t="str">
        <x:v>OP-DRAFT-00417</x:v>
      </x:c>
      <x:c r="D799" s="207" t="str">
        <x:v>model_id/canonical_sku; production_order_id; operation_type_id; planned_hours; actual_hours; output_qty; defect_qty; completion_status</x:v>
      </x:c>
      <x:c r="E799" s="207" t="str">
        <x:v>ЯВКА</x:v>
      </x:c>
      <x:c r="F799" s="207" t="str">
        <x:v>Назначить production_order_id, operation_type, дату и факт часов</x:v>
      </x:c>
      <x:c r="G799" s="207" t="str">
        <x:v>Производство</x:v>
      </x:c>
      <x:c r="H799" s="207" t="str">
        <x:v>Высокий</x:v>
      </x:c>
      <x:c r="I799" s="207" t="str">
        <x:v>Загрузка; производительность; фактическая cost</x:v>
      </x:c>
      <x:c r="J799" s="207" t="str">
        <x:v>Планирование AE35</x:v>
      </x:c>
      <x:c r="K799" s="207" t="str"/>
      <x:c r="L799" s="207" t="str"/>
      <x:c r="M799" s="207" t="str">
        <x:v>Не рассмотрено</x:v>
      </x:c>
      <x:c r="N799" s="207" t="str"/>
      <x:c r="O799" s="207" t="str">
        <x:v>17</x:v>
      </x:c>
      <x:c r="P799" s="207" t="n">
        <x:v>3</x:v>
      </x:c>
      <x:c r="Q799" s="208" t="str">
        <x:v>Wave 2 (31–60 дней)</x:v>
      </x:c>
    </x:row>
    <x:row r="800">
      <x:c r="A800" s="206" t="str">
        <x:v>DEC-00796</x:v>
      </x:c>
      <x:c r="B800" s="207" t="str">
        <x:v>Operation</x:v>
      </x:c>
      <x:c r="C800" s="207" t="str">
        <x:v>OP-DRAFT-00421</x:v>
      </x:c>
      <x:c r="D800" s="207" t="str">
        <x:v>model_id/canonical_sku; production_order_id; operation_type_id; planned_hours; actual_hours; output_qty; defect_qty; completion_status</x:v>
      </x:c>
      <x:c r="E800" s="207" t="str">
        <x:v>кулишова звезды</x:v>
      </x:c>
      <x:c r="F800" s="207" t="str">
        <x:v>Назначить production_order_id, operation_type, дату и факт часов</x:v>
      </x:c>
      <x:c r="G800" s="207" t="str">
        <x:v>Производство</x:v>
      </x:c>
      <x:c r="H800" s="207" t="str">
        <x:v>Высокий</x:v>
      </x:c>
      <x:c r="I800" s="207" t="str">
        <x:v>Загрузка; производительность; фактическая cost</x:v>
      </x:c>
      <x:c r="J800" s="207" t="str">
        <x:v>Планирование AG36</x:v>
      </x:c>
      <x:c r="K800" s="207" t="str"/>
      <x:c r="L800" s="207" t="str"/>
      <x:c r="M800" s="207" t="str">
        <x:v>Не рассмотрено</x:v>
      </x:c>
      <x:c r="N800" s="207" t="str"/>
      <x:c r="O800" s="207" t="str">
        <x:v>17</x:v>
      </x:c>
      <x:c r="P800" s="207" t="n">
        <x:v>3</x:v>
      </x:c>
      <x:c r="Q800" s="208" t="str">
        <x:v>Wave 2 (31–60 дней)</x:v>
      </x:c>
    </x:row>
    <x:row r="801">
      <x:c r="A801" s="206" t="str">
        <x:v>DEC-00797</x:v>
      </x:c>
      <x:c r="B801" s="207" t="str">
        <x:v>Operation</x:v>
      </x:c>
      <x:c r="C801" s="207" t="str">
        <x:v>OP-DRAFT-00422</x:v>
      </x:c>
      <x:c r="D801" s="207" t="str">
        <x:v>production_order_id; operation_type_id; planned_hours; actual_hours; output_qty; defect_qty; completion_status</x:v>
      </x:c>
      <x:c r="E801" s="207" t="str">
        <x:v>47-12 Владимирова боди сд 1</x:v>
      </x:c>
      <x:c r="F801" s="207" t="str">
        <x:v>Назначить production_order_id, operation_type, дату и факт часов</x:v>
      </x:c>
      <x:c r="G801" s="207" t="str">
        <x:v>Производство</x:v>
      </x:c>
      <x:c r="H801" s="207" t="str">
        <x:v>Высокий</x:v>
      </x:c>
      <x:c r="I801" s="207" t="str">
        <x:v>Загрузка; производительность; фактическая cost</x:v>
      </x:c>
      <x:c r="J801" s="207" t="str">
        <x:v>Планирование L37</x:v>
      </x:c>
      <x:c r="K801" s="207" t="str"/>
      <x:c r="L801" s="207" t="str"/>
      <x:c r="M801" s="207" t="str">
        <x:v>Не рассмотрено</x:v>
      </x:c>
      <x:c r="N801" s="207" t="str"/>
      <x:c r="O801" s="207" t="str">
        <x:v>17</x:v>
      </x:c>
      <x:c r="P801" s="207" t="n">
        <x:v>3</x:v>
      </x:c>
      <x:c r="Q801" s="208" t="str">
        <x:v>Wave 2 (31–60 дней)</x:v>
      </x:c>
    </x:row>
    <x:row r="802">
      <x:c r="A802" s="206" t="str">
        <x:v>DEC-00798</x:v>
      </x:c>
      <x:c r="B802" s="207" t="str">
        <x:v>Operation</x:v>
      </x:c>
      <x:c r="C802" s="207" t="str">
        <x:v>OP-DRAFT-00424</x:v>
      </x:c>
      <x:c r="D802" s="207" t="str">
        <x:v>production_order_id; operation_type_id; planned_hours; actual_hours; output_qty; defect_qty; completion_status</x:v>
      </x:c>
      <x:c r="E802" s="207" t="str">
        <x:v>48-08 веточки</x:v>
      </x:c>
      <x:c r="F802" s="207" t="str">
        <x:v>Назначить production_order_id, operation_type, дату и факт часов</x:v>
      </x:c>
      <x:c r="G802" s="207" t="str">
        <x:v>Производство</x:v>
      </x:c>
      <x:c r="H802" s="207" t="str">
        <x:v>Высокий</x:v>
      </x:c>
      <x:c r="I802" s="207" t="str">
        <x:v>Загрузка; производительность; фактическая cost</x:v>
      </x:c>
      <x:c r="J802" s="207" t="str">
        <x:v>Планирование V37</x:v>
      </x:c>
      <x:c r="K802" s="207" t="str"/>
      <x:c r="L802" s="207" t="str"/>
      <x:c r="M802" s="207" t="str">
        <x:v>Не рассмотрено</x:v>
      </x:c>
      <x:c r="N802" s="207" t="str"/>
      <x:c r="O802" s="207" t="str">
        <x:v>17</x:v>
      </x:c>
      <x:c r="P802" s="207" t="n">
        <x:v>3</x:v>
      </x:c>
      <x:c r="Q802" s="208" t="str">
        <x:v>Wave 2 (31–60 дней)</x:v>
      </x:c>
    </x:row>
    <x:row r="803">
      <x:c r="A803" s="206" t="str">
        <x:v>DEC-00799</x:v>
      </x:c>
      <x:c r="B803" s="207" t="str">
        <x:v>Operation</x:v>
      </x:c>
      <x:c r="C803" s="207" t="str">
        <x:v>OP-DRAFT-00425</x:v>
      </x:c>
      <x:c r="D803" s="207" t="str">
        <x:v>production_order_id; operation_type_id; planned_hours; actual_hours; output_qty; defect_qty; completion_status</x:v>
      </x:c>
      <x:c r="E803" s="207" t="str">
        <x:v>48-08</x:v>
      </x:c>
      <x:c r="F803" s="207" t="str">
        <x:v>Назначить production_order_id, operation_type, дату и факт часов</x:v>
      </x:c>
      <x:c r="G803" s="207" t="str">
        <x:v>Производство</x:v>
      </x:c>
      <x:c r="H803" s="207" t="str">
        <x:v>Высокий</x:v>
      </x:c>
      <x:c r="I803" s="207" t="str">
        <x:v>Загрузка; производительность; фактическая cost</x:v>
      </x:c>
      <x:c r="J803" s="207" t="str">
        <x:v>Планирование W37</x:v>
      </x:c>
      <x:c r="K803" s="207" t="str"/>
      <x:c r="L803" s="207" t="str"/>
      <x:c r="M803" s="207" t="str">
        <x:v>Не рассмотрено</x:v>
      </x:c>
      <x:c r="N803" s="207" t="str"/>
      <x:c r="O803" s="207" t="str">
        <x:v>17</x:v>
      </x:c>
      <x:c r="P803" s="207" t="n">
        <x:v>3</x:v>
      </x:c>
      <x:c r="Q803" s="208" t="str">
        <x:v>Wave 2 (31–60 дней)</x:v>
      </x:c>
    </x:row>
    <x:row r="804">
      <x:c r="A804" s="206" t="str">
        <x:v>DEC-00800</x:v>
      </x:c>
      <x:c r="B804" s="207" t="str">
        <x:v>Operation</x:v>
      </x:c>
      <x:c r="C804" s="207" t="str">
        <x:v>OP-DRAFT-00426</x:v>
      </x:c>
      <x:c r="D804" s="207" t="str">
        <x:v>production_order_id; operation_type_id; planned_hours; actual_hours; output_qty; defect_qty; completion_status</x:v>
      </x:c>
      <x:c r="E804" s="207" t="str">
        <x:v>48-08</x:v>
      </x:c>
      <x:c r="F804" s="207" t="str">
        <x:v>Назначить production_order_id, operation_type, дату и факт часов</x:v>
      </x:c>
      <x:c r="G804" s="207" t="str">
        <x:v>Производство</x:v>
      </x:c>
      <x:c r="H804" s="207" t="str">
        <x:v>Высокий</x:v>
      </x:c>
      <x:c r="I804" s="207" t="str">
        <x:v>Загрузка; производительность; фактическая cost</x:v>
      </x:c>
      <x:c r="J804" s="207" t="str">
        <x:v>Планирование X37</x:v>
      </x:c>
      <x:c r="K804" s="207" t="str"/>
      <x:c r="L804" s="207" t="str"/>
      <x:c r="M804" s="207" t="str">
        <x:v>Не рассмотрено</x:v>
      </x:c>
      <x:c r="N804" s="207" t="str"/>
      <x:c r="O804" s="207" t="str">
        <x:v>17</x:v>
      </x:c>
      <x:c r="P804" s="207" t="n">
        <x:v>3</x:v>
      </x:c>
      <x:c r="Q804" s="208" t="str">
        <x:v>Wave 2 (31–60 дней)</x:v>
      </x:c>
    </x:row>
    <x:row r="805">
      <x:c r="A805" s="206" t="str">
        <x:v>DEC-00801</x:v>
      </x:c>
      <x:c r="B805" s="207" t="str">
        <x:v>Operation</x:v>
      </x:c>
      <x:c r="C805" s="207" t="str">
        <x:v>OP-DRAFT-00427</x:v>
      </x:c>
      <x:c r="D805" s="207" t="str">
        <x:v>production_order_id; operation_type_id; planned_hours; actual_hours; output_qty; defect_qty; completion_status</x:v>
      </x:c>
      <x:c r="E805" s="207" t="str">
        <x:v>48-08</x:v>
      </x:c>
      <x:c r="F805" s="207" t="str">
        <x:v>Назначить production_order_id, operation_type, дату и факт часов</x:v>
      </x:c>
      <x:c r="G805" s="207" t="str">
        <x:v>Производство</x:v>
      </x:c>
      <x:c r="H805" s="207" t="str">
        <x:v>Высокий</x:v>
      </x:c>
      <x:c r="I805" s="207" t="str">
        <x:v>Загрузка; производительность; фактическая cost</x:v>
      </x:c>
      <x:c r="J805" s="207" t="str">
        <x:v>Планирование Y37</x:v>
      </x:c>
      <x:c r="K805" s="207" t="str"/>
      <x:c r="L805" s="207" t="str"/>
      <x:c r="M805" s="207" t="str">
        <x:v>Не рассмотрено</x:v>
      </x:c>
      <x:c r="N805" s="207" t="str"/>
      <x:c r="O805" s="207" t="str">
        <x:v>17</x:v>
      </x:c>
      <x:c r="P805" s="207" t="n">
        <x:v>3</x:v>
      </x:c>
      <x:c r="Q805" s="208" t="str">
        <x:v>Wave 2 (31–60 дней)</x:v>
      </x:c>
    </x:row>
    <x:row r="806">
      <x:c r="A806" s="206" t="str">
        <x:v>DEC-00802</x:v>
      </x:c>
      <x:c r="B806" s="207" t="str">
        <x:v>Operation</x:v>
      </x:c>
      <x:c r="C806" s="207" t="str">
        <x:v>OP-DRAFT-00428</x:v>
      </x:c>
      <x:c r="D806" s="207" t="str">
        <x:v>production_order_id; operation_type_id; planned_hours; actual_hours; output_qty; defect_qty; completion_status</x:v>
      </x:c>
      <x:c r="E806" s="207" t="str">
        <x:v>48-08</x:v>
      </x:c>
      <x:c r="F806" s="207" t="str">
        <x:v>Назначить production_order_id, operation_type, дату и факт часов</x:v>
      </x:c>
      <x:c r="G806" s="207" t="str">
        <x:v>Производство</x:v>
      </x:c>
      <x:c r="H806" s="207" t="str">
        <x:v>Высокий</x:v>
      </x:c>
      <x:c r="I806" s="207" t="str">
        <x:v>Загрузка; производительность; фактическая cost</x:v>
      </x:c>
      <x:c r="J806" s="207" t="str">
        <x:v>Планирование Z37</x:v>
      </x:c>
      <x:c r="K806" s="207" t="str"/>
      <x:c r="L806" s="207" t="str"/>
      <x:c r="M806" s="207" t="str">
        <x:v>Не рассмотрено</x:v>
      </x:c>
      <x:c r="N806" s="207" t="str"/>
      <x:c r="O806" s="207" t="str">
        <x:v>17</x:v>
      </x:c>
      <x:c r="P806" s="207" t="n">
        <x:v>3</x:v>
      </x:c>
      <x:c r="Q806" s="208" t="str">
        <x:v>Wave 2 (31–60 дней)</x:v>
      </x:c>
    </x:row>
    <x:row r="807">
      <x:c r="A807" s="206" t="str">
        <x:v>DEC-00803</x:v>
      </x:c>
      <x:c r="B807" s="207" t="str">
        <x:v>Operation</x:v>
      </x:c>
      <x:c r="C807" s="207" t="str">
        <x:v>OP-DRAFT-00429</x:v>
      </x:c>
      <x:c r="D807" s="207" t="str">
        <x:v>production_order_id; operation_type_id; planned_hours; actual_hours; output_qty; defect_qty; completion_status</x:v>
      </x:c>
      <x:c r="E807" s="207" t="str">
        <x:v>48-08</x:v>
      </x:c>
      <x:c r="F807" s="207" t="str">
        <x:v>Назначить production_order_id, operation_type, дату и факт часов</x:v>
      </x:c>
      <x:c r="G807" s="207" t="str">
        <x:v>Производство</x:v>
      </x:c>
      <x:c r="H807" s="207" t="str">
        <x:v>Высокий</x:v>
      </x:c>
      <x:c r="I807" s="207" t="str">
        <x:v>Загрузка; производительность; фактическая cost</x:v>
      </x:c>
      <x:c r="J807" s="207" t="str">
        <x:v>Планирование AA37</x:v>
      </x:c>
      <x:c r="K807" s="207" t="str"/>
      <x:c r="L807" s="207" t="str"/>
      <x:c r="M807" s="207" t="str">
        <x:v>Не рассмотрено</x:v>
      </x:c>
      <x:c r="N807" s="207" t="str"/>
      <x:c r="O807" s="207" t="str">
        <x:v>17</x:v>
      </x:c>
      <x:c r="P807" s="207" t="n">
        <x:v>3</x:v>
      </x:c>
      <x:c r="Q807" s="208" t="str">
        <x:v>Wave 2 (31–60 дней)</x:v>
      </x:c>
    </x:row>
    <x:row r="808">
      <x:c r="A808" s="206" t="str">
        <x:v>DEC-00804</x:v>
      </x:c>
      <x:c r="B808" s="207" t="str">
        <x:v>Operation</x:v>
      </x:c>
      <x:c r="C808" s="207" t="str">
        <x:v>OP-DRAFT-00430</x:v>
      </x:c>
      <x:c r="D808" s="207" t="str">
        <x:v>production_order_id; operation_type_id; planned_hours; actual_hours; output_qty; defect_qty; completion_status</x:v>
      </x:c>
      <x:c r="E808" s="207" t="str">
        <x:v>48-08 веточки</x:v>
      </x:c>
      <x:c r="F808" s="207" t="str">
        <x:v>Назначить production_order_id, operation_type, дату и факт часов</x:v>
      </x:c>
      <x:c r="G808" s="207" t="str">
        <x:v>Производство</x:v>
      </x:c>
      <x:c r="H808" s="207" t="str">
        <x:v>Высокий</x:v>
      </x:c>
      <x:c r="I808" s="207" t="str">
        <x:v>Загрузка; производительность; фактическая cost</x:v>
      </x:c>
      <x:c r="J808" s="207" t="str">
        <x:v>Планирование AC37</x:v>
      </x:c>
      <x:c r="K808" s="207" t="str"/>
      <x:c r="L808" s="207" t="str"/>
      <x:c r="M808" s="207" t="str">
        <x:v>Не рассмотрено</x:v>
      </x:c>
      <x:c r="N808" s="207" t="str"/>
      <x:c r="O808" s="207" t="str">
        <x:v>17</x:v>
      </x:c>
      <x:c r="P808" s="207" t="n">
        <x:v>3</x:v>
      </x:c>
      <x:c r="Q808" s="208" t="str">
        <x:v>Wave 2 (31–60 дней)</x:v>
      </x:c>
    </x:row>
    <x:row r="809">
      <x:c r="A809" s="206" t="str">
        <x:v>DEC-00805</x:v>
      </x:c>
      <x:c r="B809" s="207" t="str">
        <x:v>Operation</x:v>
      </x:c>
      <x:c r="C809" s="207" t="str">
        <x:v>OP-DRAFT-00431</x:v>
      </x:c>
      <x:c r="D809" s="207" t="str">
        <x:v>production_order_id; operation_type_id; planned_hours; actual_hours; output_qty; defect_qty; completion_status</x:v>
      </x:c>
      <x:c r="E809" s="207" t="str">
        <x:v>48-08 веточки</x:v>
      </x:c>
      <x:c r="F809" s="207" t="str">
        <x:v>Назначить production_order_id, operation_type, дату и факт часов</x:v>
      </x:c>
      <x:c r="G809" s="207" t="str">
        <x:v>Производство</x:v>
      </x:c>
      <x:c r="H809" s="207" t="str">
        <x:v>Высокий</x:v>
      </x:c>
      <x:c r="I809" s="207" t="str">
        <x:v>Загрузка; производительность; фактическая cost</x:v>
      </x:c>
      <x:c r="J809" s="207" t="str">
        <x:v>Планирование AD37</x:v>
      </x:c>
      <x:c r="K809" s="207" t="str"/>
      <x:c r="L809" s="207" t="str"/>
      <x:c r="M809" s="207" t="str">
        <x:v>Не рассмотрено</x:v>
      </x:c>
      <x:c r="N809" s="207" t="str"/>
      <x:c r="O809" s="207" t="str">
        <x:v>17</x:v>
      </x:c>
      <x:c r="P809" s="207" t="n">
        <x:v>3</x:v>
      </x:c>
      <x:c r="Q809" s="208" t="str">
        <x:v>Wave 2 (31–60 дней)</x:v>
      </x:c>
    </x:row>
    <x:row r="810">
      <x:c r="A810" s="206" t="str">
        <x:v>DEC-00806</x:v>
      </x:c>
      <x:c r="B810" s="207" t="str">
        <x:v>Operation</x:v>
      </x:c>
      <x:c r="C810" s="207" t="str">
        <x:v>OP-DRAFT-00432</x:v>
      </x:c>
      <x:c r="D810" s="207" t="str">
        <x:v>production_order_id; operation_type_id; planned_hours; actual_hours; output_qty; defect_qty; completion_status</x:v>
      </x:c>
      <x:c r="E810" s="207" t="str">
        <x:v>48-08 веточки</x:v>
      </x:c>
      <x:c r="F810" s="207" t="str">
        <x:v>Назначить production_order_id, operation_type, дату и факт часов</x:v>
      </x:c>
      <x:c r="G810" s="207" t="str">
        <x:v>Производство</x:v>
      </x:c>
      <x:c r="H810" s="207" t="str">
        <x:v>Высокий</x:v>
      </x:c>
      <x:c r="I810" s="207" t="str">
        <x:v>Загрузка; производительность; фактическая cost</x:v>
      </x:c>
      <x:c r="J810" s="207" t="str">
        <x:v>Планирование AE37</x:v>
      </x:c>
      <x:c r="K810" s="207" t="str"/>
      <x:c r="L810" s="207" t="str"/>
      <x:c r="M810" s="207" t="str">
        <x:v>Не рассмотрено</x:v>
      </x:c>
      <x:c r="N810" s="207" t="str"/>
      <x:c r="O810" s="207" t="str">
        <x:v>17</x:v>
      </x:c>
      <x:c r="P810" s="207" t="n">
        <x:v>3</x:v>
      </x:c>
      <x:c r="Q810" s="208" t="str">
        <x:v>Wave 2 (31–60 дней)</x:v>
      </x:c>
    </x:row>
    <x:row r="811">
      <x:c r="A811" s="206" t="str">
        <x:v>DEC-00807</x:v>
      </x:c>
      <x:c r="B811" s="207" t="str">
        <x:v>Operation</x:v>
      </x:c>
      <x:c r="C811" s="207" t="str">
        <x:v>OP-DRAFT-00433</x:v>
      </x:c>
      <x:c r="D811" s="207" t="str">
        <x:v>production_order_id; operation_type_id; planned_hours; actual_hours; output_qty; defect_qty; completion_status</x:v>
      </x:c>
      <x:c r="E811" s="207" t="str">
        <x:v>48-28</x:v>
      </x:c>
      <x:c r="F811" s="207" t="str">
        <x:v>Назначить production_order_id, operation_type, дату и факт часов</x:v>
      </x:c>
      <x:c r="G811" s="207" t="str">
        <x:v>Производство</x:v>
      </x:c>
      <x:c r="H811" s="207" t="str">
        <x:v>Высокий</x:v>
      </x:c>
      <x:c r="I811" s="207" t="str">
        <x:v>Загрузка; производительность; фактическая cost</x:v>
      </x:c>
      <x:c r="J811" s="207" t="str">
        <x:v>Планирование AF37</x:v>
      </x:c>
      <x:c r="K811" s="207" t="str"/>
      <x:c r="L811" s="207" t="str"/>
      <x:c r="M811" s="207" t="str">
        <x:v>Не рассмотрено</x:v>
      </x:c>
      <x:c r="N811" s="207" t="str"/>
      <x:c r="O811" s="207" t="str">
        <x:v>17</x:v>
      </x:c>
      <x:c r="P811" s="207" t="n">
        <x:v>3</x:v>
      </x:c>
      <x:c r="Q811" s="208" t="str">
        <x:v>Wave 2 (31–60 дней)</x:v>
      </x:c>
    </x:row>
    <x:row r="812">
      <x:c r="A812" s="206" t="str">
        <x:v>DEC-00808</x:v>
      </x:c>
      <x:c r="B812" s="207" t="str">
        <x:v>Operation</x:v>
      </x:c>
      <x:c r="C812" s="207" t="str">
        <x:v>OP-DRAFT-00434</x:v>
      </x:c>
      <x:c r="D812" s="207" t="str">
        <x:v>production_order_id; operation_type_id; planned_hours; actual_hours; output_qty; defect_qty; completion_status</x:v>
      </x:c>
      <x:c r="E812" s="207" t="str">
        <x:v>48-28 лиф</x:v>
      </x:c>
      <x:c r="F812" s="207" t="str">
        <x:v>Назначить production_order_id, operation_type, дату и факт часов</x:v>
      </x:c>
      <x:c r="G812" s="207" t="str">
        <x:v>Производство</x:v>
      </x:c>
      <x:c r="H812" s="207" t="str">
        <x:v>Высокий</x:v>
      </x:c>
      <x:c r="I812" s="207" t="str">
        <x:v>Загрузка; производительность; фактическая cost</x:v>
      </x:c>
      <x:c r="J812" s="207" t="str">
        <x:v>Планирование AG37</x:v>
      </x:c>
      <x:c r="K812" s="207" t="str"/>
      <x:c r="L812" s="207" t="str"/>
      <x:c r="M812" s="207" t="str">
        <x:v>Не рассмотрено</x:v>
      </x:c>
      <x:c r="N812" s="207" t="str"/>
      <x:c r="O812" s="207" t="str">
        <x:v>17</x:v>
      </x:c>
      <x:c r="P812" s="207" t="n">
        <x:v>3</x:v>
      </x:c>
      <x:c r="Q812" s="208" t="str">
        <x:v>Wave 2 (31–60 дней)</x:v>
      </x:c>
    </x:row>
    <x:row r="813">
      <x:c r="A813" s="206" t="str">
        <x:v>DEC-00809</x:v>
      </x:c>
      <x:c r="B813" s="207" t="str">
        <x:v>Operation</x:v>
      </x:c>
      <x:c r="C813" s="207" t="str">
        <x:v>OP-DRAFT-00435</x:v>
      </x:c>
      <x:c r="D813" s="207" t="str">
        <x:v>production_order_id; operation_type_id; planned_hours; actual_hours; output_qty; defect_qty; completion_status</x:v>
      </x:c>
      <x:c r="E813" s="207" t="str">
        <x:v>48-13 сборка Ландышей</x:v>
      </x:c>
      <x:c r="F813" s="207" t="str">
        <x:v>Назначить production_order_id, operation_type, дату и факт часов</x:v>
      </x:c>
      <x:c r="G813" s="207" t="str">
        <x:v>Производство</x:v>
      </x:c>
      <x:c r="H813" s="207" t="str">
        <x:v>Высокий</x:v>
      </x:c>
      <x:c r="I813" s="207" t="str">
        <x:v>Загрузка; производительность; фактическая cost</x:v>
      </x:c>
      <x:c r="J813" s="207" t="str">
        <x:v>Планирование O38</x:v>
      </x:c>
      <x:c r="K813" s="207" t="str"/>
      <x:c r="L813" s="207" t="str"/>
      <x:c r="M813" s="207" t="str">
        <x:v>Не рассмотрено</x:v>
      </x:c>
      <x:c r="N813" s="207" t="str"/>
      <x:c r="O813" s="207" t="str">
        <x:v>17</x:v>
      </x:c>
      <x:c r="P813" s="207" t="n">
        <x:v>3</x:v>
      </x:c>
      <x:c r="Q813" s="208" t="str">
        <x:v>Wave 2 (31–60 дней)</x:v>
      </x:c>
    </x:row>
    <x:row r="814">
      <x:c r="A814" s="206" t="str">
        <x:v>DEC-00810</x:v>
      </x:c>
      <x:c r="B814" s="207" t="str">
        <x:v>Operation</x:v>
      </x:c>
      <x:c r="C814" s="207" t="str">
        <x:v>OP-DRAFT-00437</x:v>
      </x:c>
      <x:c r="D814" s="207" t="str">
        <x:v>production_order_id; operation_type_id; planned_hours; actual_hours; output_qty; defect_qty; completion_status</x:v>
      </x:c>
      <x:c r="E814" s="207" t="str">
        <x:v>колокольчики 48-21</x:v>
      </x:c>
      <x:c r="F814" s="207" t="str">
        <x:v>Назначить production_order_id, operation_type, дату и факт часов</x:v>
      </x:c>
      <x:c r="G814" s="207" t="str">
        <x:v>Производство</x:v>
      </x:c>
      <x:c r="H814" s="207" t="str">
        <x:v>Высокий</x:v>
      </x:c>
      <x:c r="I814" s="207" t="str">
        <x:v>Загрузка; производительность; фактическая cost</x:v>
      </x:c>
      <x:c r="J814" s="207" t="str">
        <x:v>Планирование V38</x:v>
      </x:c>
      <x:c r="K814" s="207" t="str"/>
      <x:c r="L814" s="207" t="str"/>
      <x:c r="M814" s="207" t="str">
        <x:v>Не рассмотрено</x:v>
      </x:c>
      <x:c r="N814" s="207" t="str"/>
      <x:c r="O814" s="207" t="str">
        <x:v>17</x:v>
      </x:c>
      <x:c r="P814" s="207" t="n">
        <x:v>3</x:v>
      </x:c>
      <x:c r="Q814" s="208" t="str">
        <x:v>Wave 2 (31–60 дней)</x:v>
      </x:c>
    </x:row>
    <x:row r="815">
      <x:c r="A815" s="206" t="str">
        <x:v>DEC-00811</x:v>
      </x:c>
      <x:c r="B815" s="207" t="str">
        <x:v>Operation</x:v>
      </x:c>
      <x:c r="C815" s="207" t="str">
        <x:v>OP-DRAFT-00438</x:v>
      </x:c>
      <x:c r="D815" s="207" t="str">
        <x:v>production_order_id; operation_type_id; planned_hours; actual_hours; output_qty; defect_qty; completion_status</x:v>
      </x:c>
      <x:c r="E815" s="207" t="str">
        <x:v>0-3354 Сазонова</x:v>
      </x:c>
      <x:c r="F815" s="207" t="str">
        <x:v>Назначить production_order_id, operation_type, дату и факт часов</x:v>
      </x:c>
      <x:c r="G815" s="207" t="str">
        <x:v>Производство</x:v>
      </x:c>
      <x:c r="H815" s="207" t="str">
        <x:v>Высокий</x:v>
      </x:c>
      <x:c r="I815" s="207" t="str">
        <x:v>Загрузка; производительность; фактическая cost</x:v>
      </x:c>
      <x:c r="J815" s="207" t="str">
        <x:v>Планирование W38</x:v>
      </x:c>
      <x:c r="K815" s="207" t="str"/>
      <x:c r="L815" s="207" t="str"/>
      <x:c r="M815" s="207" t="str">
        <x:v>Не рассмотрено</x:v>
      </x:c>
      <x:c r="N815" s="207" t="str"/>
      <x:c r="O815" s="207" t="str">
        <x:v>17</x:v>
      </x:c>
      <x:c r="P815" s="207" t="n">
        <x:v>3</x:v>
      </x:c>
      <x:c r="Q815" s="208" t="str">
        <x:v>Wave 2 (31–60 дней)</x:v>
      </x:c>
    </x:row>
    <x:row r="816">
      <x:c r="A816" s="206" t="str">
        <x:v>DEC-00812</x:v>
      </x:c>
      <x:c r="B816" s="207" t="str">
        <x:v>Operation</x:v>
      </x:c>
      <x:c r="C816" s="207" t="str">
        <x:v>OP-DRAFT-00439</x:v>
      </x:c>
      <x:c r="D816" s="207" t="str">
        <x:v>production_order_id; operation_type_id; planned_hours; actual_hours; output_qty; defect_qty; completion_status</x:v>
      </x:c>
      <x:c r="E816" s="207" t="str">
        <x:v>0-3354 Сазонова</x:v>
      </x:c>
      <x:c r="F816" s="207" t="str">
        <x:v>Назначить production_order_id, operation_type, дату и факт часов</x:v>
      </x:c>
      <x:c r="G816" s="207" t="str">
        <x:v>Производство</x:v>
      </x:c>
      <x:c r="H816" s="207" t="str">
        <x:v>Высокий</x:v>
      </x:c>
      <x:c r="I816" s="207" t="str">
        <x:v>Загрузка; производительность; фактическая cost</x:v>
      </x:c>
      <x:c r="J816" s="207" t="str">
        <x:v>Планирование X38</x:v>
      </x:c>
      <x:c r="K816" s="207" t="str"/>
      <x:c r="L816" s="207" t="str"/>
      <x:c r="M816" s="207" t="str">
        <x:v>Не рассмотрено</x:v>
      </x:c>
      <x:c r="N816" s="207" t="str"/>
      <x:c r="O816" s="207" t="str">
        <x:v>17</x:v>
      </x:c>
      <x:c r="P816" s="207" t="n">
        <x:v>3</x:v>
      </x:c>
      <x:c r="Q816" s="208" t="str">
        <x:v>Wave 2 (31–60 дней)</x:v>
      </x:c>
    </x:row>
    <x:row r="817">
      <x:c r="A817" s="206" t="str">
        <x:v>DEC-00813</x:v>
      </x:c>
      <x:c r="B817" s="207" t="str">
        <x:v>Operation</x:v>
      </x:c>
      <x:c r="C817" s="207" t="str">
        <x:v>OP-DRAFT-00440</x:v>
      </x:c>
      <x:c r="D817" s="207" t="str">
        <x:v>production_order_id; operation_type_id; planned_hours; actual_hours; output_qty; defect_qty; completion_status</x:v>
      </x:c>
      <x:c r="E817" s="207" t="str">
        <x:v>48-13</x:v>
      </x:c>
      <x:c r="F817" s="207" t="str">
        <x:v>Назначить production_order_id, operation_type, дату и факт часов</x:v>
      </x:c>
      <x:c r="G817" s="207" t="str">
        <x:v>Производство</x:v>
      </x:c>
      <x:c r="H817" s="207" t="str">
        <x:v>Высокий</x:v>
      </x:c>
      <x:c r="I817" s="207" t="str">
        <x:v>Загрузка; производительность; фактическая cost</x:v>
      </x:c>
      <x:c r="J817" s="207" t="str">
        <x:v>Планирование Y38</x:v>
      </x:c>
      <x:c r="K817" s="207" t="str"/>
      <x:c r="L817" s="207" t="str"/>
      <x:c r="M817" s="207" t="str">
        <x:v>Не рассмотрено</x:v>
      </x:c>
      <x:c r="N817" s="207" t="str"/>
      <x:c r="O817" s="207" t="str">
        <x:v>17</x:v>
      </x:c>
      <x:c r="P817" s="207" t="n">
        <x:v>3</x:v>
      </x:c>
      <x:c r="Q817" s="208" t="str">
        <x:v>Wave 2 (31–60 дней)</x:v>
      </x:c>
    </x:row>
    <x:row r="818">
      <x:c r="A818" s="206" t="str">
        <x:v>DEC-00814</x:v>
      </x:c>
      <x:c r="B818" s="207" t="str">
        <x:v>Operation</x:v>
      </x:c>
      <x:c r="C818" s="207" t="str">
        <x:v>OP-DRAFT-00441</x:v>
      </x:c>
      <x:c r="D818" s="207" t="str">
        <x:v>production_order_id; operation_type_id; planned_hours; actual_hours; output_qty; defect_qty; completion_status</x:v>
      </x:c>
      <x:c r="E818" s="207" t="str">
        <x:v>48-13</x:v>
      </x:c>
      <x:c r="F818" s="207" t="str">
        <x:v>Назначить production_order_id, operation_type, дату и факт часов</x:v>
      </x:c>
      <x:c r="G818" s="207" t="str">
        <x:v>Производство</x:v>
      </x:c>
      <x:c r="H818" s="207" t="str">
        <x:v>Высокий</x:v>
      </x:c>
      <x:c r="I818" s="207" t="str">
        <x:v>Загрузка; производительность; фактическая cost</x:v>
      </x:c>
      <x:c r="J818" s="207" t="str">
        <x:v>Планирование Z38</x:v>
      </x:c>
      <x:c r="K818" s="207" t="str"/>
      <x:c r="L818" s="207" t="str"/>
      <x:c r="M818" s="207" t="str">
        <x:v>Не рассмотрено</x:v>
      </x:c>
      <x:c r="N818" s="207" t="str"/>
      <x:c r="O818" s="207" t="str">
        <x:v>17</x:v>
      </x:c>
      <x:c r="P818" s="207" t="n">
        <x:v>3</x:v>
      </x:c>
      <x:c r="Q818" s="208" t="str">
        <x:v>Wave 2 (31–60 дней)</x:v>
      </x:c>
    </x:row>
    <x:row r="819">
      <x:c r="A819" s="206" t="str">
        <x:v>DEC-00815</x:v>
      </x:c>
      <x:c r="B819" s="207" t="str">
        <x:v>Operation</x:v>
      </x:c>
      <x:c r="C819" s="207" t="str">
        <x:v>OP-DRAFT-00442</x:v>
      </x:c>
      <x:c r="D819" s="207" t="str">
        <x:v>production_order_id; operation_type_id; planned_hours; actual_hours; output_qty; defect_qty; completion_status</x:v>
      </x:c>
      <x:c r="E819" s="207" t="str">
        <x:v>48-13</x:v>
      </x:c>
      <x:c r="F819" s="207" t="str">
        <x:v>Назначить production_order_id, operation_type, дату и факт часов</x:v>
      </x:c>
      <x:c r="G819" s="207" t="str">
        <x:v>Производство</x:v>
      </x:c>
      <x:c r="H819" s="207" t="str">
        <x:v>Высокий</x:v>
      </x:c>
      <x:c r="I819" s="207" t="str">
        <x:v>Загрузка; производительность; фактическая cost</x:v>
      </x:c>
      <x:c r="J819" s="207" t="str">
        <x:v>Планирование AC38</x:v>
      </x:c>
      <x:c r="K819" s="207" t="str"/>
      <x:c r="L819" s="207" t="str"/>
      <x:c r="M819" s="207" t="str">
        <x:v>Не рассмотрено</x:v>
      </x:c>
      <x:c r="N819" s="207" t="str"/>
      <x:c r="O819" s="207" t="str">
        <x:v>17</x:v>
      </x:c>
      <x:c r="P819" s="207" t="n">
        <x:v>3</x:v>
      </x:c>
      <x:c r="Q819" s="208" t="str">
        <x:v>Wave 2 (31–60 дней)</x:v>
      </x:c>
    </x:row>
    <x:row r="820">
      <x:c r="A820" s="206" t="str">
        <x:v>DEC-00816</x:v>
      </x:c>
      <x:c r="B820" s="207" t="str">
        <x:v>Operation</x:v>
      </x:c>
      <x:c r="C820" s="207" t="str">
        <x:v>OP-DRAFT-00443</x:v>
      </x:c>
      <x:c r="D820" s="207" t="str">
        <x:v>production_order_id; operation_type_id; planned_hours; actual_hours; output_qty; defect_qty; completion_status</x:v>
      </x:c>
      <x:c r="E820" s="207" t="str">
        <x:v>48-13</x:v>
      </x:c>
      <x:c r="F820" s="207" t="str">
        <x:v>Назначить production_order_id, operation_type, дату и факт часов</x:v>
      </x:c>
      <x:c r="G820" s="207" t="str">
        <x:v>Производство</x:v>
      </x:c>
      <x:c r="H820" s="207" t="str">
        <x:v>Высокий</x:v>
      </x:c>
      <x:c r="I820" s="207" t="str">
        <x:v>Загрузка; производительность; фактическая cost</x:v>
      </x:c>
      <x:c r="J820" s="207" t="str">
        <x:v>Планирование AD38</x:v>
      </x:c>
      <x:c r="K820" s="207" t="str"/>
      <x:c r="L820" s="207" t="str"/>
      <x:c r="M820" s="207" t="str">
        <x:v>Не рассмотрено</x:v>
      </x:c>
      <x:c r="N820" s="207" t="str"/>
      <x:c r="O820" s="207" t="str">
        <x:v>17</x:v>
      </x:c>
      <x:c r="P820" s="207" t="n">
        <x:v>3</x:v>
      </x:c>
      <x:c r="Q820" s="208" t="str">
        <x:v>Wave 2 (31–60 дней)</x:v>
      </x:c>
    </x:row>
    <x:row r="821">
      <x:c r="A821" s="206" t="str">
        <x:v>DEC-00817</x:v>
      </x:c>
      <x:c r="B821" s="207" t="str">
        <x:v>Operation</x:v>
      </x:c>
      <x:c r="C821" s="207" t="str">
        <x:v>OP-DRAFT-00444</x:v>
      </x:c>
      <x:c r="D821" s="207" t="str">
        <x:v>model_id/canonical_sku; production_order_id; operation_type_id; planned_hours; actual_hours; output_qty; defect_qty; completion_status</x:v>
      </x:c>
      <x:c r="E821" s="207" t="str">
        <x:v>пришивать юбку гонтовой</x:v>
      </x:c>
      <x:c r="F821" s="207" t="str">
        <x:v>Назначить production_order_id, operation_type, дату и факт часов</x:v>
      </x:c>
      <x:c r="G821" s="207" t="str">
        <x:v>Производство</x:v>
      </x:c>
      <x:c r="H821" s="207" t="str">
        <x:v>Высокий</x:v>
      </x:c>
      <x:c r="I821" s="207" t="str">
        <x:v>Загрузка; производительность; фактическая cost</x:v>
      </x:c>
      <x:c r="J821" s="207" t="str">
        <x:v>Планирование AE38</x:v>
      </x:c>
      <x:c r="K821" s="207" t="str"/>
      <x:c r="L821" s="207" t="str"/>
      <x:c r="M821" s="207" t="str">
        <x:v>Не рассмотрено</x:v>
      </x:c>
      <x:c r="N821" s="207" t="str"/>
      <x:c r="O821" s="207" t="str">
        <x:v>17</x:v>
      </x:c>
      <x:c r="P821" s="207" t="n">
        <x:v>3</x:v>
      </x:c>
      <x:c r="Q821" s="208" t="str">
        <x:v>Wave 2 (31–60 дней)</x:v>
      </x:c>
    </x:row>
    <x:row r="822">
      <x:c r="A822" s="206" t="str">
        <x:v>DEC-00818</x:v>
      </x:c>
      <x:c r="B822" s="207" t="str">
        <x:v>Operation</x:v>
      </x:c>
      <x:c r="C822" s="207" t="str">
        <x:v>OP-DRAFT-00445</x:v>
      </x:c>
      <x:c r="D822" s="207" t="str">
        <x:v>production_order_id; operation_type_id; planned_hours; actual_hours; output_qty; defect_qty; completion_status</x:v>
      </x:c>
      <x:c r="E822" s="207" t="str">
        <x:v>48-13</x:v>
      </x:c>
      <x:c r="F822" s="207" t="str">
        <x:v>Назначить production_order_id, operation_type, дату и факт часов</x:v>
      </x:c>
      <x:c r="G822" s="207" t="str">
        <x:v>Производство</x:v>
      </x:c>
      <x:c r="H822" s="207" t="str">
        <x:v>Высокий</x:v>
      </x:c>
      <x:c r="I822" s="207" t="str">
        <x:v>Загрузка; производительность; фактическая cost</x:v>
      </x:c>
      <x:c r="J822" s="207" t="str">
        <x:v>Планирование AF38</x:v>
      </x:c>
      <x:c r="K822" s="207" t="str"/>
      <x:c r="L822" s="207" t="str"/>
      <x:c r="M822" s="207" t="str">
        <x:v>Не рассмотрено</x:v>
      </x:c>
      <x:c r="N822" s="207" t="str"/>
      <x:c r="O822" s="207" t="str">
        <x:v>17</x:v>
      </x:c>
      <x:c r="P822" s="207" t="n">
        <x:v>3</x:v>
      </x:c>
      <x:c r="Q822" s="208" t="str">
        <x:v>Wave 2 (31–60 дней)</x:v>
      </x:c>
    </x:row>
    <x:row r="823">
      <x:c r="A823" s="206" t="str">
        <x:v>DEC-00819</x:v>
      </x:c>
      <x:c r="B823" s="207" t="str">
        <x:v>Operation</x:v>
      </x:c>
      <x:c r="C823" s="207" t="str">
        <x:v>OP-DRAFT-00446</x:v>
      </x:c>
      <x:c r="D823" s="207" t="str">
        <x:v>model_id/canonical_sku; production_order_id; operation_type_id; planned_hours; actual_hours; output_qty; defect_qty; completion_status</x:v>
      </x:c>
      <x:c r="E823" s="207" t="str">
        <x:v>пришивать юбку гонтовой</x:v>
      </x:c>
      <x:c r="F823" s="207" t="str">
        <x:v>Назначить production_order_id, operation_type, дату и факт часов</x:v>
      </x:c>
      <x:c r="G823" s="207" t="str">
        <x:v>Производство</x:v>
      </x:c>
      <x:c r="H823" s="207" t="str">
        <x:v>Высокий</x:v>
      </x:c>
      <x:c r="I823" s="207" t="str">
        <x:v>Загрузка; производительность; фактическая cost</x:v>
      </x:c>
      <x:c r="J823" s="207" t="str">
        <x:v>Планирование AG38</x:v>
      </x:c>
      <x:c r="K823" s="207" t="str"/>
      <x:c r="L823" s="207" t="str"/>
      <x:c r="M823" s="207" t="str">
        <x:v>Не рассмотрено</x:v>
      </x:c>
      <x:c r="N823" s="207" t="str"/>
      <x:c r="O823" s="207" t="str">
        <x:v>17</x:v>
      </x:c>
      <x:c r="P823" s="207" t="n">
        <x:v>3</x:v>
      </x:c>
      <x:c r="Q823" s="208" t="str">
        <x:v>Wave 2 (31–60 дней)</x:v>
      </x:c>
    </x:row>
    <x:row r="824">
      <x:c r="A824" s="206" t="str">
        <x:v>DEC-00820</x:v>
      </x:c>
      <x:c r="B824" s="207" t="str">
        <x:v>Operation</x:v>
      </x:c>
      <x:c r="C824" s="207" t="str">
        <x:v>OP-DRAFT-00447</x:v>
      </x:c>
      <x:c r="D824" s="207" t="str">
        <x:v>production_order_id; operation_type_id; planned_hours; actual_hours; output_qty; defect_qty; completion_status</x:v>
      </x:c>
      <x:c r="E824" s="207" t="str">
        <x:v>48-32 машнка</x:v>
      </x:c>
      <x:c r="F824" s="207" t="str">
        <x:v>Назначить production_order_id, operation_type, дату и факт часов</x:v>
      </x:c>
      <x:c r="G824" s="207" t="str">
        <x:v>Производство</x:v>
      </x:c>
      <x:c r="H824" s="207" t="str">
        <x:v>Высокий</x:v>
      </x:c>
      <x:c r="I824" s="207" t="str">
        <x:v>Загрузка; производительность; фактическая cost</x:v>
      </x:c>
      <x:c r="J824" s="207" t="str">
        <x:v>Планирование Q39</x:v>
      </x:c>
      <x:c r="K824" s="207" t="str"/>
      <x:c r="L824" s="207" t="str"/>
      <x:c r="M824" s="207" t="str">
        <x:v>Не рассмотрено</x:v>
      </x:c>
      <x:c r="N824" s="207" t="str"/>
      <x:c r="O824" s="207" t="str">
        <x:v>17</x:v>
      </x:c>
      <x:c r="P824" s="207" t="n">
        <x:v>3</x:v>
      </x:c>
      <x:c r="Q824" s="208" t="str">
        <x:v>Wave 2 (31–60 дней)</x:v>
      </x:c>
    </x:row>
    <x:row r="825">
      <x:c r="A825" s="206" t="str">
        <x:v>DEC-00821</x:v>
      </x:c>
      <x:c r="B825" s="207" t="str">
        <x:v>Operation</x:v>
      </x:c>
      <x:c r="C825" s="207" t="str">
        <x:v>OP-DRAFT-00450</x:v>
      </x:c>
      <x:c r="D825" s="207" t="str">
        <x:v>model_id/canonical_sku; production_order_id; operation_type_id; planned_hours; actual_hours; output_qty; defect_qty; completion_status</x:v>
      </x:c>
      <x:c r="E825" s="207" t="str">
        <x:v>нет</x:v>
      </x:c>
      <x:c r="F825" s="207" t="str">
        <x:v>Назначить production_order_id, operation_type, дату и факт часов</x:v>
      </x:c>
      <x:c r="G825" s="207" t="str">
        <x:v>Производство</x:v>
      </x:c>
      <x:c r="H825" s="207" t="str">
        <x:v>Высокий</x:v>
      </x:c>
      <x:c r="I825" s="207" t="str">
        <x:v>Загрузка; производительность; фактическая cost</x:v>
      </x:c>
      <x:c r="J825" s="207" t="str">
        <x:v>Планирование X39</x:v>
      </x:c>
      <x:c r="K825" s="207" t="str"/>
      <x:c r="L825" s="207" t="str"/>
      <x:c r="M825" s="207" t="str">
        <x:v>Не рассмотрено</x:v>
      </x:c>
      <x:c r="N825" s="207" t="str"/>
      <x:c r="O825" s="207" t="str">
        <x:v>17</x:v>
      </x:c>
      <x:c r="P825" s="207" t="n">
        <x:v>3</x:v>
      </x:c>
      <x:c r="Q825" s="208" t="str">
        <x:v>Wave 2 (31–60 дней)</x:v>
      </x:c>
    </x:row>
    <x:row r="826">
      <x:c r="A826" s="206" t="str">
        <x:v>DEC-00822</x:v>
      </x:c>
      <x:c r="B826" s="207" t="str">
        <x:v>Operation</x:v>
      </x:c>
      <x:c r="C826" s="207" t="str">
        <x:v>OP-DRAFT-00451</x:v>
      </x:c>
      <x:c r="D826" s="207" t="str">
        <x:v>production_order_id; operation_type_id; planned_hours; actual_hours; output_qty; defect_qty; completion_status</x:v>
      </x:c>
      <x:c r="E826" s="207" t="str">
        <x:v>48-20 пришивание</x:v>
      </x:c>
      <x:c r="F826" s="207" t="str">
        <x:v>Назначить production_order_id, operation_type, дату и факт часов</x:v>
      </x:c>
      <x:c r="G826" s="207" t="str">
        <x:v>Производство</x:v>
      </x:c>
      <x:c r="H826" s="207" t="str">
        <x:v>Высокий</x:v>
      </x:c>
      <x:c r="I826" s="207" t="str">
        <x:v>Загрузка; производительность; фактическая cost</x:v>
      </x:c>
      <x:c r="J826" s="207" t="str">
        <x:v>Планирование Y39</x:v>
      </x:c>
      <x:c r="K826" s="207" t="str"/>
      <x:c r="L826" s="207" t="str"/>
      <x:c r="M826" s="207" t="str">
        <x:v>Не рассмотрено</x:v>
      </x:c>
      <x:c r="N826" s="207" t="str"/>
      <x:c r="O826" s="207" t="str">
        <x:v>17</x:v>
      </x:c>
      <x:c r="P826" s="207" t="n">
        <x:v>3</x:v>
      </x:c>
      <x:c r="Q826" s="208" t="str">
        <x:v>Wave 2 (31–60 дней)</x:v>
      </x:c>
    </x:row>
    <x:row r="827">
      <x:c r="A827" s="206" t="str">
        <x:v>DEC-00823</x:v>
      </x:c>
      <x:c r="B827" s="207" t="str">
        <x:v>Operation</x:v>
      </x:c>
      <x:c r="C827" s="207" t="str">
        <x:v>OP-DRAFT-00452</x:v>
      </x:c>
      <x:c r="D827" s="207" t="str">
        <x:v>production_order_id; operation_type_id; planned_hours; actual_hours; output_qty; defect_qty; completion_status</x:v>
      </x:c>
      <x:c r="E827" s="207" t="str">
        <x:v>48-10</x:v>
      </x:c>
      <x:c r="F827" s="207" t="str">
        <x:v>Назначить production_order_id, operation_type, дату и факт часов</x:v>
      </x:c>
      <x:c r="G827" s="207" t="str">
        <x:v>Производство</x:v>
      </x:c>
      <x:c r="H827" s="207" t="str">
        <x:v>Высокий</x:v>
      </x:c>
      <x:c r="I827" s="207" t="str">
        <x:v>Загрузка; производительность; фактическая cost</x:v>
      </x:c>
      <x:c r="J827" s="207" t="str">
        <x:v>Планирование Z39</x:v>
      </x:c>
      <x:c r="K827" s="207" t="str"/>
      <x:c r="L827" s="207" t="str"/>
      <x:c r="M827" s="207" t="str">
        <x:v>Не рассмотрено</x:v>
      </x:c>
      <x:c r="N827" s="207" t="str"/>
      <x:c r="O827" s="207" t="str">
        <x:v>17</x:v>
      </x:c>
      <x:c r="P827" s="207" t="n">
        <x:v>3</x:v>
      </x:c>
      <x:c r="Q827" s="208" t="str">
        <x:v>Wave 2 (31–60 дней)</x:v>
      </x:c>
    </x:row>
    <x:row r="828">
      <x:c r="A828" s="206" t="str">
        <x:v>DEC-00824</x:v>
      </x:c>
      <x:c r="B828" s="207" t="str">
        <x:v>Operation</x:v>
      </x:c>
      <x:c r="C828" s="207" t="str">
        <x:v>OP-DRAFT-00453</x:v>
      </x:c>
      <x:c r="D828" s="207" t="str">
        <x:v>production_order_id; operation_type_id; planned_hours; actual_hours; output_qty; defect_qty; completion_status</x:v>
      </x:c>
      <x:c r="E828" s="207" t="str">
        <x:v>48-20 пришив листьев</x:v>
      </x:c>
      <x:c r="F828" s="207" t="str">
        <x:v>Назначить production_order_id, operation_type, дату и факт часов</x:v>
      </x:c>
      <x:c r="G828" s="207" t="str">
        <x:v>Производство</x:v>
      </x:c>
      <x:c r="H828" s="207" t="str">
        <x:v>Высокий</x:v>
      </x:c>
      <x:c r="I828" s="207" t="str">
        <x:v>Загрузка; производительность; фактическая cost</x:v>
      </x:c>
      <x:c r="J828" s="207" t="str">
        <x:v>Планирование AC39</x:v>
      </x:c>
      <x:c r="K828" s="207" t="str"/>
      <x:c r="L828" s="207" t="str"/>
      <x:c r="M828" s="207" t="str">
        <x:v>Не рассмотрено</x:v>
      </x:c>
      <x:c r="N828" s="207" t="str"/>
      <x:c r="O828" s="207" t="str">
        <x:v>17</x:v>
      </x:c>
      <x:c r="P828" s="207" t="n">
        <x:v>3</x:v>
      </x:c>
      <x:c r="Q828" s="208" t="str">
        <x:v>Wave 2 (31–60 дней)</x:v>
      </x:c>
    </x:row>
    <x:row r="829">
      <x:c r="A829" s="206" t="str">
        <x:v>DEC-00825</x:v>
      </x:c>
      <x:c r="B829" s="207" t="str">
        <x:v>Operation</x:v>
      </x:c>
      <x:c r="C829" s="207" t="str">
        <x:v>OP-DRAFT-00454</x:v>
      </x:c>
      <x:c r="D829" s="207" t="str">
        <x:v>production_order_id; operation_type_id; planned_hours; actual_hours; output_qty; defect_qty; completion_status</x:v>
      </x:c>
      <x:c r="E829" s="207" t="str">
        <x:v>48-08</x:v>
      </x:c>
      <x:c r="F829" s="207" t="str">
        <x:v>Назначить production_order_id, operation_type, дату и факт часов</x:v>
      </x:c>
      <x:c r="G829" s="207" t="str">
        <x:v>Производство</x:v>
      </x:c>
      <x:c r="H829" s="207" t="str">
        <x:v>Высокий</x:v>
      </x:c>
      <x:c r="I829" s="207" t="str">
        <x:v>Загрузка; производительность; фактическая cost</x:v>
      </x:c>
      <x:c r="J829" s="207" t="str">
        <x:v>Планирование AD39</x:v>
      </x:c>
      <x:c r="K829" s="207" t="str"/>
      <x:c r="L829" s="207" t="str"/>
      <x:c r="M829" s="207" t="str">
        <x:v>Не рассмотрено</x:v>
      </x:c>
      <x:c r="N829" s="207" t="str"/>
      <x:c r="O829" s="207" t="str">
        <x:v>17</x:v>
      </x:c>
      <x:c r="P829" s="207" t="n">
        <x:v>3</x:v>
      </x:c>
      <x:c r="Q829" s="208" t="str">
        <x:v>Wave 2 (31–60 дней)</x:v>
      </x:c>
    </x:row>
    <x:row r="830">
      <x:c r="A830" s="206" t="str">
        <x:v>DEC-00826</x:v>
      </x:c>
      <x:c r="B830" s="207" t="str">
        <x:v>Operation</x:v>
      </x:c>
      <x:c r="C830" s="207" t="str">
        <x:v>OP-DRAFT-00455</x:v>
      </x:c>
      <x:c r="D830" s="207" t="str">
        <x:v>production_order_id; operation_type_id; planned_hours; actual_hours; output_qty; defect_qty; completion_status</x:v>
      </x:c>
      <x:c r="E830" s="207" t="str">
        <x:v>48-08</x:v>
      </x:c>
      <x:c r="F830" s="207" t="str">
        <x:v>Назначить production_order_id, operation_type, дату и факт часов</x:v>
      </x:c>
      <x:c r="G830" s="207" t="str">
        <x:v>Производство</x:v>
      </x:c>
      <x:c r="H830" s="207" t="str">
        <x:v>Высокий</x:v>
      </x:c>
      <x:c r="I830" s="207" t="str">
        <x:v>Загрузка; производительность; фактическая cost</x:v>
      </x:c>
      <x:c r="J830" s="207" t="str">
        <x:v>Планирование AE39</x:v>
      </x:c>
      <x:c r="K830" s="207" t="str"/>
      <x:c r="L830" s="207" t="str"/>
      <x:c r="M830" s="207" t="str">
        <x:v>Не рассмотрено</x:v>
      </x:c>
      <x:c r="N830" s="207" t="str"/>
      <x:c r="O830" s="207" t="str">
        <x:v>17</x:v>
      </x:c>
      <x:c r="P830" s="207" t="n">
        <x:v>3</x:v>
      </x:c>
      <x:c r="Q830" s="208" t="str">
        <x:v>Wave 2 (31–60 дней)</x:v>
      </x:c>
    </x:row>
    <x:row r="831">
      <x:c r="A831" s="206" t="str">
        <x:v>DEC-00827</x:v>
      </x:c>
      <x:c r="B831" s="207" t="str">
        <x:v>Operation</x:v>
      </x:c>
      <x:c r="C831" s="207" t="str">
        <x:v>OP-DRAFT-00456</x:v>
      </x:c>
      <x:c r="D831" s="207" t="str">
        <x:v>production_order_id; operation_type_id; planned_hours; actual_hours; output_qty; defect_qty; completion_status</x:v>
      </x:c>
      <x:c r="E831" s="207" t="str">
        <x:v>48-08</x:v>
      </x:c>
      <x:c r="F831" s="207" t="str">
        <x:v>Назначить production_order_id, operation_type, дату и факт часов</x:v>
      </x:c>
      <x:c r="G831" s="207" t="str">
        <x:v>Производство</x:v>
      </x:c>
      <x:c r="H831" s="207" t="str">
        <x:v>Высокий</x:v>
      </x:c>
      <x:c r="I831" s="207" t="str">
        <x:v>Загрузка; производительность; фактическая cost</x:v>
      </x:c>
      <x:c r="J831" s="207" t="str">
        <x:v>Планирование AF39</x:v>
      </x:c>
      <x:c r="K831" s="207" t="str"/>
      <x:c r="L831" s="207" t="str"/>
      <x:c r="M831" s="207" t="str">
        <x:v>Не рассмотрено</x:v>
      </x:c>
      <x:c r="N831" s="207" t="str"/>
      <x:c r="O831" s="207" t="str">
        <x:v>17</x:v>
      </x:c>
      <x:c r="P831" s="207" t="n">
        <x:v>3</x:v>
      </x:c>
      <x:c r="Q831" s="208" t="str">
        <x:v>Wave 2 (31–60 дней)</x:v>
      </x:c>
    </x:row>
    <x:row r="832">
      <x:c r="A832" s="206" t="str">
        <x:v>DEC-00828</x:v>
      </x:c>
      <x:c r="B832" s="207" t="str">
        <x:v>Operation</x:v>
      </x:c>
      <x:c r="C832" s="207" t="str">
        <x:v>OP-DRAFT-00457</x:v>
      </x:c>
      <x:c r="D832" s="207" t="str">
        <x:v>production_order_id; operation_type_id; planned_hours; actual_hours; output_qty; defect_qty; completion_status</x:v>
      </x:c>
      <x:c r="E832" s="207" t="str">
        <x:v>48-08</x:v>
      </x:c>
      <x:c r="F832" s="207" t="str">
        <x:v>Назначить production_order_id, operation_type, дату и факт часов</x:v>
      </x:c>
      <x:c r="G832" s="207" t="str">
        <x:v>Производство</x:v>
      </x:c>
      <x:c r="H832" s="207" t="str">
        <x:v>Высокий</x:v>
      </x:c>
      <x:c r="I832" s="207" t="str">
        <x:v>Загрузка; производительность; фактическая cost</x:v>
      </x:c>
      <x:c r="J832" s="207" t="str">
        <x:v>Планирование AG39</x:v>
      </x:c>
      <x:c r="K832" s="207" t="str"/>
      <x:c r="L832" s="207" t="str"/>
      <x:c r="M832" s="207" t="str">
        <x:v>Не рассмотрено</x:v>
      </x:c>
      <x:c r="N832" s="207" t="str"/>
      <x:c r="O832" s="207" t="str">
        <x:v>17</x:v>
      </x:c>
      <x:c r="P832" s="207" t="n">
        <x:v>3</x:v>
      </x:c>
      <x:c r="Q832" s="208" t="str">
        <x:v>Wave 2 (31–60 дней)</x:v>
      </x:c>
    </x:row>
    <x:row r="833">
      <x:c r="A833" s="206" t="str">
        <x:v>DEC-00829</x:v>
      </x:c>
      <x:c r="B833" s="207" t="str">
        <x:v>Operation</x:v>
      </x:c>
      <x:c r="C833" s="207" t="str">
        <x:v>OP-DRAFT-00458</x:v>
      </x:c>
      <x:c r="D833" s="207" t="str">
        <x:v>production_order_id; operation_type_id; planned_hours; actual_hours; output_qty; defect_qty; completion_status</x:v>
      </x:c>
      <x:c r="E833" s="207" t="str">
        <x:v>48-08</x:v>
      </x:c>
      <x:c r="F833" s="207" t="str">
        <x:v>Назначить production_order_id, operation_type, дату и факт часов</x:v>
      </x:c>
      <x:c r="G833" s="207" t="str">
        <x:v>Производство</x:v>
      </x:c>
      <x:c r="H833" s="207" t="str">
        <x:v>Высокий</x:v>
      </x:c>
      <x:c r="I833" s="207" t="str">
        <x:v>Загрузка; производительность; фактическая cost</x:v>
      </x:c>
      <x:c r="J833" s="207" t="str">
        <x:v>Планирование AD40</x:v>
      </x:c>
      <x:c r="K833" s="207" t="str"/>
      <x:c r="L833" s="207" t="str"/>
      <x:c r="M833" s="207" t="str">
        <x:v>Не рассмотрено</x:v>
      </x:c>
      <x:c r="N833" s="207" t="str"/>
      <x:c r="O833" s="207" t="str">
        <x:v>17</x:v>
      </x:c>
      <x:c r="P833" s="207" t="n">
        <x:v>3</x:v>
      </x:c>
      <x:c r="Q833" s="208" t="str">
        <x:v>Wave 2 (31–60 дней)</x:v>
      </x:c>
    </x:row>
    <x:row r="834">
      <x:c r="A834" s="206" t="str">
        <x:v>DEC-00830</x:v>
      </x:c>
      <x:c r="B834" s="207" t="str">
        <x:v>Operation</x:v>
      </x:c>
      <x:c r="C834" s="207" t="str">
        <x:v>OP-DRAFT-00459</x:v>
      </x:c>
      <x:c r="D834" s="207" t="str">
        <x:v>production_order_id; operation_type_id; planned_hours; actual_hours; output_qty; defect_qty; completion_status</x:v>
      </x:c>
      <x:c r="E834" s="207" t="str">
        <x:v>48-08</x:v>
      </x:c>
      <x:c r="F834" s="207" t="str">
        <x:v>Назначить production_order_id, operation_type, дату и факт часов</x:v>
      </x:c>
      <x:c r="G834" s="207" t="str">
        <x:v>Производство</x:v>
      </x:c>
      <x:c r="H834" s="207" t="str">
        <x:v>Высокий</x:v>
      </x:c>
      <x:c r="I834" s="207" t="str">
        <x:v>Загрузка; производительность; фактическая cost</x:v>
      </x:c>
      <x:c r="J834" s="207" t="str">
        <x:v>Планирование AE40</x:v>
      </x:c>
      <x:c r="K834" s="207" t="str"/>
      <x:c r="L834" s="207" t="str"/>
      <x:c r="M834" s="207" t="str">
        <x:v>Не рассмотрено</x:v>
      </x:c>
      <x:c r="N834" s="207" t="str"/>
      <x:c r="O834" s="207" t="str">
        <x:v>17</x:v>
      </x:c>
      <x:c r="P834" s="207" t="n">
        <x:v>3</x:v>
      </x:c>
      <x:c r="Q834" s="208" t="str">
        <x:v>Wave 2 (31–60 дней)</x:v>
      </x:c>
    </x:row>
    <x:row r="835">
      <x:c r="A835" s="206" t="str">
        <x:v>DEC-00831</x:v>
      </x:c>
      <x:c r="B835" s="207" t="str">
        <x:v>Operation</x:v>
      </x:c>
      <x:c r="C835" s="207" t="str">
        <x:v>OP-DRAFT-00460</x:v>
      </x:c>
      <x:c r="D835" s="207" t="str">
        <x:v>production_order_id; operation_type_id; planned_hours; actual_hours; output_qty; defect_qty; completion_status</x:v>
      </x:c>
      <x:c r="E835" s="207" t="str">
        <x:v>48-08</x:v>
      </x:c>
      <x:c r="F835" s="207" t="str">
        <x:v>Назначить production_order_id, operation_type, дату и факт часов</x:v>
      </x:c>
      <x:c r="G835" s="207" t="str">
        <x:v>Производство</x:v>
      </x:c>
      <x:c r="H835" s="207" t="str">
        <x:v>Высокий</x:v>
      </x:c>
      <x:c r="I835" s="207" t="str">
        <x:v>Загрузка; производительность; фактическая cost</x:v>
      </x:c>
      <x:c r="J835" s="207" t="str">
        <x:v>Планирование AF40</x:v>
      </x:c>
      <x:c r="K835" s="207" t="str"/>
      <x:c r="L835" s="207" t="str"/>
      <x:c r="M835" s="207" t="str">
        <x:v>Не рассмотрено</x:v>
      </x:c>
      <x:c r="N835" s="207" t="str"/>
      <x:c r="O835" s="207" t="str">
        <x:v>17</x:v>
      </x:c>
      <x:c r="P835" s="207" t="n">
        <x:v>3</x:v>
      </x:c>
      <x:c r="Q835" s="208" t="str">
        <x:v>Wave 2 (31–60 дней)</x:v>
      </x:c>
    </x:row>
    <x:row r="836">
      <x:c r="A836" s="206" t="str">
        <x:v>DEC-00832</x:v>
      </x:c>
      <x:c r="B836" s="207" t="str">
        <x:v>Operation</x:v>
      </x:c>
      <x:c r="C836" s="207" t="str">
        <x:v>OP-DRAFT-00461</x:v>
      </x:c>
      <x:c r="D836" s="207" t="str">
        <x:v>production_order_id; operation_type_id; planned_hours; actual_hours; output_qty; defect_qty; completion_status</x:v>
      </x:c>
      <x:c r="E836" s="207" t="str">
        <x:v>48-08</x:v>
      </x:c>
      <x:c r="F836" s="207" t="str">
        <x:v>Назначить production_order_id, operation_type, дату и факт часов</x:v>
      </x:c>
      <x:c r="G836" s="207" t="str">
        <x:v>Производство</x:v>
      </x:c>
      <x:c r="H836" s="207" t="str">
        <x:v>Высокий</x:v>
      </x:c>
      <x:c r="I836" s="207" t="str">
        <x:v>Загрузка; производительность; фактическая cost</x:v>
      </x:c>
      <x:c r="J836" s="207" t="str">
        <x:v>Планирование AG40</x:v>
      </x:c>
      <x:c r="K836" s="207" t="str"/>
      <x:c r="L836" s="207" t="str"/>
      <x:c r="M836" s="207" t="str">
        <x:v>Не рассмотрено</x:v>
      </x:c>
      <x:c r="N836" s="207" t="str"/>
      <x:c r="O836" s="207" t="str">
        <x:v>17</x:v>
      </x:c>
      <x:c r="P836" s="207" t="n">
        <x:v>3</x:v>
      </x:c>
      <x:c r="Q836" s="208" t="str">
        <x:v>Wave 2 (31–60 дней)</x:v>
      </x:c>
    </x:row>
    <x:row r="837">
      <x:c r="A837" s="206" t="str">
        <x:v>DEC-00833</x:v>
      </x:c>
      <x:c r="B837" s="207" t="str">
        <x:v>Operation</x:v>
      </x:c>
      <x:c r="C837" s="207" t="str">
        <x:v>OP-DRAFT-00462</x:v>
      </x:c>
      <x:c r="D837" s="207" t="str">
        <x:v>production_order_id; operation_type_id; planned_hours; actual_hours; output_qty; defect_qty; completion_status</x:v>
      </x:c>
      <x:c r="E837" s="207" t="str">
        <x:v>Передан Жуковой жакет 48-24. Утвердили кружево на топ 48-25. Перфилова доделывает эскиз на Кулишову 47-22 "Платье звезды". Кислова 28-14 платье бахрома дорасшиты. Получили легинсы 48-27 и переданы в работу Хомутовской. Найдена вышивальщица, работающая на машинке - строчит крылышки на 48-32. Крылышки на 48-20 в работе. Прорабатывается ромб из кружева на блузу 48-17. Топ 47-24 Кисловой в работе. Платье Улановой 47-21 готово и передано конструктору на осноровку. Найден специалист по изготовлению цветов из шифона с использованием бульки на 48-13. Начата расшивка стойки Владимировой (сетку на стойку получили вчера 2.06). Запрошен у Корнеевой Юли и получен рисунок дракона формата А4 на платье Ремпель по 47-10. Получена программа от Владимира для вышивки рукавов жакета 0-3113 Ищеевой (запустим в автомат 4.06). Продолжаюся работы над цветами 48-09, 48-13, 48-28, 48-28, 48-30. Запрошены лекала и сетка для моделей 48-22, 48-29, 48-23, 48-26 для передачи на вышивку Жуковой Анне. Наколоты и пришиты броши на жакеты 47-19 Сазоновой и Магдалины.</x:v>
      </x:c>
      <x:c r="F837" s="207" t="str">
        <x:v>Назначить production_order_id, operation_type, дату и факт часов</x:v>
      </x:c>
      <x:c r="G837" s="207" t="str">
        <x:v>Производство</x:v>
      </x:c>
      <x:c r="H837" s="207" t="str">
        <x:v>Высокий</x:v>
      </x:c>
      <x:c r="I837" s="207" t="str">
        <x:v>Загрузка; производительность; фактическая cost</x:v>
      </x:c>
      <x:c r="J837" s="207" t="str">
        <x:v>Планирование O42</x:v>
      </x:c>
      <x:c r="K837" s="207" t="str"/>
      <x:c r="L837" s="207" t="str"/>
      <x:c r="M837" s="207" t="str">
        <x:v>Не рассмотрено</x:v>
      </x:c>
      <x:c r="N837" s="207" t="str"/>
      <x:c r="O837" s="207" t="str">
        <x:v>17</x:v>
      </x:c>
      <x:c r="P837" s="207" t="n">
        <x:v>3</x:v>
      </x:c>
      <x:c r="Q837" s="208" t="str">
        <x:v>Wave 2 (31–60 дней)</x:v>
      </x:c>
    </x:row>
    <x:row r="838">
      <x:c r="A838" s="206" t="str">
        <x:v>DEC-00834</x:v>
      </x:c>
      <x:c r="B838" s="207" t="str">
        <x:v>Operation</x:v>
      </x:c>
      <x:c r="C838" s="207" t="str">
        <x:v>OP-DRAFT-00463</x:v>
      </x:c>
      <x:c r="D838" s="207" t="str">
        <x:v>production_order_id; operation_type_id; planned_hours; actual_hours; output_qty; defect_qty; completion_status</x:v>
      </x:c>
      <x:c r="E838" s="207" t="str">
        <x:v>1. Найдены и заказаны в Китае стразы для Меркушиной Т (Осень ЦУМ 0-3232 0-3233). 2. Коваленко Владимир выходил работать в ночь на вышивку 48-13. 3. Приступили к работе 48-25 (Белялова ОН). 4. Начата работа 48-10 (цветы из серебряных пайеток Непрынцева). 5. Согласованна передача в работу на машинную вышивку платья 47-22 Кулишовой. 6. Найден и куплен материал на 48-10 (в Москве нет, заказан в Китае). 6. Согласована дата съемки (23.06) и предоставлен список моделей для съемки. 7. Начата отрисовка вышивки на жакет 48-04. 8. Наколота вышивка платья 47-21 Улановой. 8. Утвержден рисунок вышивки платья 47-22 для Кулишовой. 9. Запрошена блуза 48-17 для запуска в работу. 10. Утверждена проба вышивки на 48-17. 11. Решение возникших вопросов, связанных с вышивкой колье на блузу 0-3414 Гонтовой и платья 33-31 Кисловой.</x:v>
      </x:c>
      <x:c r="F838" s="207" t="str">
        <x:v>Назначить production_order_id, operation_type, дату и факт часов</x:v>
      </x:c>
      <x:c r="G838" s="207" t="str">
        <x:v>Производство</x:v>
      </x:c>
      <x:c r="H838" s="207" t="str">
        <x:v>Высокий</x:v>
      </x:c>
      <x:c r="I838" s="207" t="str">
        <x:v>Загрузка; производительность; фактическая cost</x:v>
      </x:c>
      <x:c r="J838" s="207" t="str">
        <x:v>Планирование O43</x:v>
      </x:c>
      <x:c r="K838" s="207" t="str"/>
      <x:c r="L838" s="207" t="str"/>
      <x:c r="M838" s="207" t="str">
        <x:v>Не рассмотрено</x:v>
      </x:c>
      <x:c r="N838" s="207" t="str"/>
      <x:c r="O838" s="207" t="str">
        <x:v>17</x:v>
      </x:c>
      <x:c r="P838" s="207" t="n">
        <x:v>3</x:v>
      </x:c>
      <x:c r="Q838" s="208" t="str">
        <x:v>Wave 2 (31–60 дней)</x:v>
      </x:c>
    </x:row>
    <x:row r="839">
      <x:c r="A839" s="206" t="str">
        <x:v>DEC-00835</x:v>
      </x:c>
      <x:c r="B839" s="207" t="str">
        <x:v>Operation</x:v>
      </x:c>
      <x:c r="C839" s="207" t="str">
        <x:v>OP-DRAFT-00465</x:v>
      </x:c>
      <x:c r="D839" s="207" t="str">
        <x:v>production_order_id; operation_type_id; planned_hours; actual_hours; output_qty; defect_qty; completion_status</x:v>
      </x:c>
      <x:c r="E839" s="207" t="str">
        <x:v>1. Получены от Жуковой А. шорты 48-25 для снятия эскиза вышивки и передачи в отшив. 2. Приготовлена работа для выхода Коваленко В. В ночную смену, в том числе сборка букетиков из веточек на 48-21. 3. Приступили вышвать лиф 48-02. 4. Работа с моделями клиентов: Кислова 47-27 и 33-31, Сазонова 0-3354, Владимирова 47-14. 5. Собираются дополнительне колокольчики на 48-21. 6. Отрисованы лиф на 48-08 и рукава и спинка 48-04. 7. Наколото кружево на топ 48-04.</x:v>
      </x:c>
      <x:c r="F839" s="207" t="str">
        <x:v>Назначить production_order_id, operation_type, дату и факт часов</x:v>
      </x:c>
      <x:c r="G839" s="207" t="str">
        <x:v>Производство</x:v>
      </x:c>
      <x:c r="H839" s="207" t="str">
        <x:v>Высокий</x:v>
      </x:c>
      <x:c r="I839" s="207" t="str">
        <x:v>Загрузка; производительность; фактическая cost</x:v>
      </x:c>
      <x:c r="J839" s="207" t="str">
        <x:v>Планирование V45</x:v>
      </x:c>
      <x:c r="K839" s="207" t="str"/>
      <x:c r="L839" s="207" t="str"/>
      <x:c r="M839" s="207" t="str">
        <x:v>Не рассмотрено</x:v>
      </x:c>
      <x:c r="N839" s="207" t="str"/>
      <x:c r="O839" s="207" t="str">
        <x:v>17</x:v>
      </x:c>
      <x:c r="P839" s="207" t="n">
        <x:v>3</x:v>
      </x:c>
      <x:c r="Q839" s="208" t="str">
        <x:v>Wave 2 (31–60 дней)</x:v>
      </x:c>
    </x:row>
    <x:row r="840">
      <x:c r="A840" s="206" t="str">
        <x:v>DEC-00836</x:v>
      </x:c>
      <x:c r="B840" s="207" t="str">
        <x:v>Operation</x:v>
      </x:c>
      <x:c r="C840" s="207" t="str">
        <x:v>OP-DRAFT-00466</x:v>
      </x:c>
      <x:c r="D840" s="207" t="str">
        <x:v>production_order_id; operation_type_id; planned_hours; actual_hours; output_qty; defect_qty; completion_status</x:v>
      </x:c>
      <x:c r="E840" s="207" t="str">
        <x:v>1. Переданы колокольчики 10шт на 48-21 Жуковой А. 2. Начата машинная вышивка (гладь) на 48-04. 3. Переданы в отшив шорты 48-25. 4. Наколото, утверждено и начато настрачиваться кружево на юбку 48-23. 5. Разложено и наколото кружево на юбку платья 48-26. 6. Заказан необходимый материал для 48-28.</x:v>
      </x:c>
      <x:c r="F840" s="207" t="str">
        <x:v>Назначить production_order_id, operation_type, дату и факт часов</x:v>
      </x:c>
      <x:c r="G840" s="207" t="str">
        <x:v>Производство</x:v>
      </x:c>
      <x:c r="H840" s="207" t="str">
        <x:v>Высокий</x:v>
      </x:c>
      <x:c r="I840" s="207" t="str">
        <x:v>Загрузка; производительность; фактическая cost</x:v>
      </x:c>
      <x:c r="J840" s="207" t="str">
        <x:v>Планирование V46</x:v>
      </x:c>
      <x:c r="K840" s="207" t="str"/>
      <x:c r="L840" s="207" t="str"/>
      <x:c r="M840" s="207" t="str">
        <x:v>Не рассмотрено</x:v>
      </x:c>
      <x:c r="N840" s="207" t="str"/>
      <x:c r="O840" s="207" t="str">
        <x:v>17</x:v>
      </x:c>
      <x:c r="P840" s="207" t="n">
        <x:v>3</x:v>
      </x:c>
      <x:c r="Q840" s="208" t="str">
        <x:v>Wave 2 (31–60 дней)</x:v>
      </x:c>
    </x:row>
    <x:row r="841">
      <x:c r="A841" s="206" t="str">
        <x:v>DEC-00837</x:v>
      </x:c>
      <x:c r="B841" s="207" t="str">
        <x:v>Operation</x:v>
      </x:c>
      <x:c r="C841" s="207" t="str">
        <x:v>OP-DRAFT-00467</x:v>
      </x:c>
      <x:c r="D841" s="207" t="str">
        <x:v>model_id/canonical_sku; production_order_id; operation_type_id; planned_hours; actual_hours; output_qty; defect_qty; completion_status</x:v>
      </x:c>
      <x:c r="E841" s="207" t="str">
        <x:v>Работа 12.06 (5тыс офис, 4тыс дом): Шведова (офис), Березкина (офис), Белялова (дом), Перфилова (офис), Гладюк (дом), Непрынцева (дом), Богдашкина (дом), Нарощенкина?</x:v>
      </x:c>
      <x:c r="F841" s="207" t="str">
        <x:v>Назначить production_order_id, operation_type, дату и факт часов</x:v>
      </x:c>
      <x:c r="G841" s="207" t="str">
        <x:v>Производство</x:v>
      </x:c>
      <x:c r="H841" s="207" t="str">
        <x:v>Высокий</x:v>
      </x:c>
      <x:c r="I841" s="207" t="str">
        <x:v>Загрузка; производительность; фактическая cost</x:v>
      </x:c>
      <x:c r="J841" s="207" t="str">
        <x:v>Планирование V47</x:v>
      </x:c>
      <x:c r="K841" s="207" t="str"/>
      <x:c r="L841" s="207" t="str"/>
      <x:c r="M841" s="207" t="str">
        <x:v>Не рассмотрено</x:v>
      </x:c>
      <x:c r="N841" s="207" t="str"/>
      <x:c r="O841" s="207" t="str">
        <x:v>17</x:v>
      </x:c>
      <x:c r="P841" s="207" t="n">
        <x:v>3</x:v>
      </x:c>
      <x:c r="Q841" s="208" t="str">
        <x:v>Wave 2 (31–60 дней)</x:v>
      </x:c>
    </x:row>
    <x:row r="842">
      <x:c r="A842" s="206" t="str">
        <x:v>DEC-00838</x:v>
      </x:c>
      <x:c r="B842" s="207" t="str">
        <x:v>Operation</x:v>
      </x:c>
      <x:c r="C842" s="207" t="str">
        <x:v>OP-DRAFT-00468</x:v>
      </x:c>
      <x:c r="D842" s="207" t="str">
        <x:v>production_order_id; operation_type_id; planned_hours; actual_hours; output_qty; defect_qty; completion_status</x:v>
      </x:c>
      <x:c r="E842" s="207" t="str">
        <x:v>1. Работа с лифом 48-25 (накалывание, настрачивание кружева). 2. Отрисовывается юбка 48-08. 3. Начата вышивка пайетками веточек на 48-08. 4. Наколото и утверждено платье 48-20. 5. Отрисованы ажурне тонкие выходы на лифе 48-25 (белое кружево), отданы мастеру в работу. 6. Начата приметка кружева на 48-26. 7. Проработан декор на засежку жакета 48-06. 8. Начата работа с лифом комбинезона 48-22 (раскладка кружева).</x:v>
      </x:c>
      <x:c r="F842" s="207" t="str">
        <x:v>Назначить production_order_id, operation_type, дату и факт часов</x:v>
      </x:c>
      <x:c r="G842" s="207" t="str">
        <x:v>Производство</x:v>
      </x:c>
      <x:c r="H842" s="207" t="str">
        <x:v>Высокий</x:v>
      </x:c>
      <x:c r="I842" s="207" t="str">
        <x:v>Загрузка; производительность; фактическая cost</x:v>
      </x:c>
      <x:c r="J842" s="207" t="str">
        <x:v>Планирование V48</x:v>
      </x:c>
      <x:c r="K842" s="207" t="str"/>
      <x:c r="L842" s="207" t="str"/>
      <x:c r="M842" s="207" t="str">
        <x:v>Не рассмотрено</x:v>
      </x:c>
      <x:c r="N842" s="207" t="str"/>
      <x:c r="O842" s="207" t="str">
        <x:v>17</x:v>
      </x:c>
      <x:c r="P842" s="207" t="n">
        <x:v>3</x:v>
      </x:c>
      <x:c r="Q842" s="208" t="str">
        <x:v>Wave 2 (31–60 дней)</x:v>
      </x:c>
    </x:row>
    <x:row r="843">
      <x:c r="A843" s="206" t="str">
        <x:v>DEC-00839</x:v>
      </x:c>
      <x:c r="B843" s="207" t="str">
        <x:v>Operation</x:v>
      </x:c>
      <x:c r="C843" s="207" t="str">
        <x:v>OP-DRAFT-00469</x:v>
      </x:c>
      <x:c r="D843" s="207" t="str">
        <x:v>production_order_id; operation_type_id; planned_hours; actual_hours; output_qty; defect_qty; completion_status</x:v>
      </x:c>
      <x:c r="E843" s="207" t="str">
        <x:v>Начата вышивка шнуром жакета 48-06</x:v>
      </x:c>
      <x:c r="F843" s="207" t="str">
        <x:v>Назначить production_order_id, operation_type, дату и факт часов</x:v>
      </x:c>
      <x:c r="G843" s="207" t="str">
        <x:v>Производство</x:v>
      </x:c>
      <x:c r="H843" s="207" t="str">
        <x:v>Высокий</x:v>
      </x:c>
      <x:c r="I843" s="207" t="str">
        <x:v>Загрузка; производительность; фактическая cost</x:v>
      </x:c>
      <x:c r="J843" s="207" t="str">
        <x:v>Планирование V49</x:v>
      </x:c>
      <x:c r="K843" s="207" t="str"/>
      <x:c r="L843" s="207" t="str"/>
      <x:c r="M843" s="207" t="str">
        <x:v>Не рассмотрено</x:v>
      </x:c>
      <x:c r="N843" s="207" t="str"/>
      <x:c r="O843" s="207" t="str">
        <x:v>17</x:v>
      </x:c>
      <x:c r="P843" s="207" t="n">
        <x:v>3</x:v>
      </x:c>
      <x:c r="Q843" s="208" t="str">
        <x:v>Wave 2 (31–60 дней)</x:v>
      </x:c>
    </x:row>
    <x:row r="844">
      <x:c r="A844" s="206" t="str">
        <x:v>DEC-00840</x:v>
      </x:c>
      <x:c r="B844" s="207" t="str">
        <x:v>Operation</x:v>
      </x:c>
      <x:c r="C844" s="207" t="str">
        <x:v>OP-DRAFT-00470</x:v>
      </x:c>
      <x:c r="D844" s="207" t="str">
        <x:v>production_order_id; operation_type_id; planned_hours; actual_hours; output_qty; defect_qty; completion_status</x:v>
      </x:c>
      <x:c r="E844" s="207" t="str">
        <x:v>1. Начата вышивка лифа комбинезона 48-04. 2. Отдали блузу 48-17 в отшив. 3. Начали пришивать "Листья" на платье 48-20. 4. Разложили спинку, приметали полочку на 48-22. 5. Отрисована полностью полочка платья 48-08. 6. Собран новый более объемный букетик. 7. Утвержден декор на жакет 48-06. 8. Начали вышивать юбку 48-26. 9. Обновлен статус по готовности изделий 48 коллекции. 10. Обрабатываются недельные отчеты вышивальщиц и ведется рачет себестоимости. 11. Принят крой модели 0-3229 осень ЦУМ и определены сроки готовности вышивки.</x:v>
      </x:c>
      <x:c r="F844" s="207" t="str">
        <x:v>Назначить production_order_id, operation_type, дату и факт часов</x:v>
      </x:c>
      <x:c r="G844" s="207" t="str">
        <x:v>Производство</x:v>
      </x:c>
      <x:c r="H844" s="207" t="str">
        <x:v>Высокий</x:v>
      </x:c>
      <x:c r="I844" s="207" t="str">
        <x:v>Загрузка; производительность; фактическая cost</x:v>
      </x:c>
      <x:c r="J844" s="207" t="str">
        <x:v>Планирование V50</x:v>
      </x:c>
      <x:c r="K844" s="207" t="str"/>
      <x:c r="L844" s="207" t="str"/>
      <x:c r="M844" s="207" t="str">
        <x:v>Не рассмотрено</x:v>
      </x:c>
      <x:c r="N844" s="207" t="str"/>
      <x:c r="O844" s="207" t="str">
        <x:v>17</x:v>
      </x:c>
      <x:c r="P844" s="207" t="n">
        <x:v>3</x:v>
      </x:c>
      <x:c r="Q844" s="208" t="str">
        <x:v>Wave 2 (31–60 дней)</x:v>
      </x:c>
    </x:row>
    <x:row r="845">
      <x:c r="A845" s="206" t="str">
        <x:v>DEC-00841</x:v>
      </x:c>
      <x:c r="B845" s="207" t="str">
        <x:v>Operation</x:v>
      </x:c>
      <x:c r="C845" s="207" t="str">
        <x:v>OP-DRAFT-00471</x:v>
      </x:c>
      <x:c r="D845" s="207" t="str">
        <x:v>production_order_id; operation_type_id; planned_hours; actual_hours; output_qty; defect_qty; completion_status</x:v>
      </x:c>
      <x:c r="E845" s="207" t="str">
        <x:v>1. Переданы колокольчики 10шт на 48-21 Жуковой А. 2. Начата машинная вышивка (гладь) на 48-04. 3. Переданы в отшив шорты 48-25. 4. Наколото, утверждено и начато настрачиваться кружево на юбку 48-23. 5. Разложено и наколото кружево на юбку платья 48-26.</x:v>
      </x:c>
      <x:c r="F845" s="207" t="str">
        <x:v>Назначить production_order_id, operation_type, дату и факт часов</x:v>
      </x:c>
      <x:c r="G845" s="207" t="str">
        <x:v>Производство</x:v>
      </x:c>
      <x:c r="H845" s="207" t="str">
        <x:v>Высокий</x:v>
      </x:c>
      <x:c r="I845" s="207" t="str">
        <x:v>Загрузка; производительность; фактическая cost</x:v>
      </x:c>
      <x:c r="J845" s="207" t="str">
        <x:v>Планирование V51</x:v>
      </x:c>
      <x:c r="K845" s="207" t="str"/>
      <x:c r="L845" s="207" t="str"/>
      <x:c r="M845" s="207" t="str">
        <x:v>Не рассмотрено</x:v>
      </x:c>
      <x:c r="N845" s="207" t="str"/>
      <x:c r="O845" s="207" t="str">
        <x:v>17</x:v>
      </x:c>
      <x:c r="P845" s="207" t="n">
        <x:v>3</x:v>
      </x:c>
      <x:c r="Q845" s="208" t="str">
        <x:v>Wave 2 (31–60 дней)</x:v>
      </x:c>
    </x:row>
    <x:row r="846">
      <x:c r="A846" s="206" t="str">
        <x:v>DEC-00842</x:v>
      </x:c>
      <x:c r="B846" s="207" t="str">
        <x:v>Operation</x:v>
      </x:c>
      <x:c r="C846" s="207" t="str">
        <x:v>OP-DRAFT-00473</x:v>
      </x:c>
      <x:c r="D846" s="207" t="str">
        <x:v>production_order_id; operation_type_id; planned_hours; actual_hours; output_qty; defect_qty; completion_status</x:v>
      </x:c>
      <x:c r="E846" s="207" t="str">
        <x:v>1. Дано задание Коваленко В. Записать программу "зубчиков" на 48-24 и записать программы для Галицкого А. 2. Вышиты рукава платья 0-3400 Шелудченко. 3. Передано в работу колье 48-24 и колье 48-26. Отрисовано колье 48-23. 4. 48-02 отрисованы ажурные выходы. 5. 48-26 отрисованы ажурные входы. 6. Закончена вышивка и расшивка жакета 48-04. 7. 48-04 начата вышивка на комбинезоне (полочка). 8. 48-23 отрисованы ажурные выходы.</x:v>
      </x:c>
      <x:c r="F846" s="207" t="str">
        <x:v>Назначить production_order_id, operation_type, дату и факт часов</x:v>
      </x:c>
      <x:c r="G846" s="207" t="str">
        <x:v>Производство</x:v>
      </x:c>
      <x:c r="H846" s="207" t="str">
        <x:v>Высокий</x:v>
      </x:c>
      <x:c r="I846" s="207" t="str">
        <x:v>Загрузка; производительность; фактическая cost</x:v>
      </x:c>
      <x:c r="J846" s="207" t="str">
        <x:v>Планирование AC52</x:v>
      </x:c>
      <x:c r="K846" s="207" t="str"/>
      <x:c r="L846" s="207" t="str"/>
      <x:c r="M846" s="207" t="str">
        <x:v>Не рассмотрено</x:v>
      </x:c>
      <x:c r="N846" s="207" t="str"/>
      <x:c r="O846" s="207" t="str">
        <x:v>17</x:v>
      </x:c>
      <x:c r="P846" s="207" t="n">
        <x:v>3</x:v>
      </x:c>
      <x:c r="Q846" s="208" t="str">
        <x:v>Wave 2 (31–60 дней)</x:v>
      </x:c>
    </x:row>
    <x:row r="847">
      <x:c r="A847" s="206" t="str">
        <x:v>DEC-00843</x:v>
      </x:c>
      <x:c r="B847" s="207" t="str">
        <x:v>Operation</x:v>
      </x:c>
      <x:c r="C847" s="207" t="str">
        <x:v>OP-DRAFT-00474</x:v>
      </x:c>
      <x:c r="D847" s="207" t="str">
        <x:v>production_order_id; operation_type_id; planned_hours; actual_hours; output_qty; defect_qty; completion_status</x:v>
      </x:c>
      <x:c r="E847" s="207" t="str">
        <x:v>1. Передано на вышивку Жуковой А. колье на блузу 0-3414 Баткаевой. 2. За ночь вышиты бутоны герань 2 запяла, сирень 2 запяла, мелкие листочки 1 запял.</x:v>
      </x:c>
      <x:c r="F847" s="207" t="str">
        <x:v>Назначить production_order_id, operation_type, дату и факт часов</x:v>
      </x:c>
      <x:c r="G847" s="207" t="str">
        <x:v>Производство</x:v>
      </x:c>
      <x:c r="H847" s="207" t="str">
        <x:v>Высокий</x:v>
      </x:c>
      <x:c r="I847" s="207" t="str">
        <x:v>Загрузка; производительность; фактическая cost</x:v>
      </x:c>
      <x:c r="J847" s="207" t="str">
        <x:v>Планирование AC53</x:v>
      </x:c>
      <x:c r="K847" s="207" t="str"/>
      <x:c r="L847" s="207" t="str"/>
      <x:c r="M847" s="207" t="str">
        <x:v>Не рассмотрено</x:v>
      </x:c>
      <x:c r="N847" s="207" t="str"/>
      <x:c r="O847" s="207" t="str">
        <x:v>17</x:v>
      </x:c>
      <x:c r="P847" s="207" t="n">
        <x:v>3</x:v>
      </x:c>
      <x:c r="Q847" s="208" t="str">
        <x:v>Wave 2 (31–60 дней)</x:v>
      </x:c>
    </x:row>
    <x:row r="848">
      <x:c r="A848" s="206" t="str">
        <x:v>DEC-00844</x:v>
      </x:c>
      <x:c r="B848" s="207" t="str">
        <x:v>Operation</x:v>
      </x:c>
      <x:c r="C848" s="207" t="str">
        <x:v>OP-DRAFT-00475</x:v>
      </x:c>
      <x:c r="D848" s="207" t="str">
        <x:v>production_order_id; operation_type_id; planned_hours; actual_hours; output_qty; defect_qty; completion_status</x:v>
      </x:c>
      <x:c r="E848" s="207" t="str">
        <x:v>1. Начали собирать апликацию из кружева и накалывать на лиф 48-28. 2. Перевод на пленку, накалывание и вышивка лентами цветов на юбку 48-27. 3. Отрисовка ажурных выходов на лифе 48-31. 4. Добавлены ажурные выходы на 48-23. 5. Закончена расшивка веточек лифа и юбки (без дополнительных веточек по низу юбки) 48-08. 6. Накалывание и приметывание шифона на кальку для дальнейшей вышивки брюк 48-03 (одна нога). 7. Начата наколка кружева на лиф 48-29. 8. Выложили дополнительные ажурные вырезы на лиф 48-22. 9. На автомате вышиты васильки и колокольчики на 48-28.</x:v>
      </x:c>
      <x:c r="F848" s="207" t="str">
        <x:v>Назначить production_order_id, operation_type, дату и факт часов</x:v>
      </x:c>
      <x:c r="G848" s="207" t="str">
        <x:v>Производство</x:v>
      </x:c>
      <x:c r="H848" s="207" t="str">
        <x:v>Высокий</x:v>
      </x:c>
      <x:c r="I848" s="207" t="str">
        <x:v>Загрузка; производительность; фактическая cost</x:v>
      </x:c>
      <x:c r="J848" s="207" t="str">
        <x:v>Планирование AC54</x:v>
      </x:c>
      <x:c r="K848" s="207" t="str"/>
      <x:c r="L848" s="207" t="str"/>
      <x:c r="M848" s="207" t="str">
        <x:v>Не рассмотрено</x:v>
      </x:c>
      <x:c r="N848" s="207" t="str"/>
      <x:c r="O848" s="207" t="str">
        <x:v>17</x:v>
      </x:c>
      <x:c r="P848" s="207" t="n">
        <x:v>3</x:v>
      </x:c>
      <x:c r="Q848" s="208" t="str">
        <x:v>Wave 2 (31–60 дней)</x:v>
      </x:c>
    </x:row>
    <x:row r="849">
      <x:c r="A849" s="206" t="str">
        <x:v>DEC-00845</x:v>
      </x:c>
      <x:c r="B849" s="207" t="str">
        <x:v>Material master</x:v>
      </x:c>
      <x:c r="C849" s="207" t="str">
        <x:v>MAT-DRAFT-0001</x:v>
      </x:c>
      <x:c r="D849" s="207" t="str">
        <x:v>Unlinked</x:v>
      </x:c>
      <x:c r="E849" s="207" t="str">
        <x:v>3 строк; 9940.00 руб.; 20-006</x:v>
      </x:c>
      <x:c r="F849" s="207" t="str">
        <x:v>Подтвердить карточку, UOM, состав, цвет, поставщика и правила объединения</x:v>
      </x:c>
      <x:c r="G849" s="207" t="str">
        <x:v>Закупки + склад</x:v>
      </x:c>
      <x:c r="H849" s="207" t="str">
        <x:v>Средний</x:v>
      </x:c>
      <x:c r="I849" s="207" t="str">
        <x:v>Material aging; BOM; procurement; actual usage</x:v>
      </x:c>
      <x:c r="J849" s="207" t="str">
        <x:v>Остатки ткани 31.05.2026</x:v>
      </x:c>
      <x:c r="K849" s="207" t="str"/>
      <x:c r="L849" s="207" t="str"/>
      <x:c r="M849" s="207" t="str">
        <x:v>Не рассмотрено</x:v>
      </x:c>
      <x:c r="N849" s="207" t="str"/>
      <x:c r="O849" s="207" t="str">
        <x:v>17</x:v>
      </x:c>
      <x:c r="P849" s="207" t="n">
        <x:v>2</x:v>
      </x:c>
      <x:c r="Q849" s="208" t="str">
        <x:v>Wave 3 (61–90 дней)</x:v>
      </x:c>
    </x:row>
    <x:row r="850">
      <x:c r="A850" s="206" t="str">
        <x:v>DEC-00846</x:v>
      </x:c>
      <x:c r="B850" s="207" t="str">
        <x:v>Material master</x:v>
      </x:c>
      <x:c r="C850" s="207" t="str">
        <x:v>MAT-DRAFT-0002</x:v>
      </x:c>
      <x:c r="D850" s="207" t="str">
        <x:v>Unlinked</x:v>
      </x:c>
      <x:c r="E850" s="207" t="str">
        <x:v>1 строк; 7134.00 руб.; 6-047</x:v>
      </x:c>
      <x:c r="F850" s="207" t="str">
        <x:v>Подтвердить карточку, UOM, состав, цвет, поставщика и правила объединения</x:v>
      </x:c>
      <x:c r="G850" s="207" t="str">
        <x:v>Закупки + склад</x:v>
      </x:c>
      <x:c r="H850" s="207" t="str">
        <x:v>Средний</x:v>
      </x:c>
      <x:c r="I850" s="207" t="str">
        <x:v>Material aging; BOM; procurement; actual usage</x:v>
      </x:c>
      <x:c r="J850" s="207" t="str">
        <x:v>Остатки ткани 31.05.2026</x:v>
      </x:c>
      <x:c r="K850" s="207" t="str"/>
      <x:c r="L850" s="207" t="str"/>
      <x:c r="M850" s="207" t="str">
        <x:v>Не рассмотрено</x:v>
      </x:c>
      <x:c r="N850" s="207" t="str"/>
      <x:c r="O850" s="207" t="str">
        <x:v>17</x:v>
      </x:c>
      <x:c r="P850" s="207" t="n">
        <x:v>2</x:v>
      </x:c>
      <x:c r="Q850" s="208" t="str">
        <x:v>Wave 3 (61–90 дней)</x:v>
      </x:c>
    </x:row>
    <x:row r="851">
      <x:c r="A851" s="206" t="str">
        <x:v>DEC-00847</x:v>
      </x:c>
      <x:c r="B851" s="207" t="str">
        <x:v>Material master</x:v>
      </x:c>
      <x:c r="C851" s="207" t="str">
        <x:v>MAT-DRAFT-0004</x:v>
      </x:c>
      <x:c r="D851" s="207" t="str">
        <x:v>Unlinked</x:v>
      </x:c>
      <x:c r="E851" s="207" t="str">
        <x:v>1 строк; 2550.00 руб.; 6-029</x:v>
      </x:c>
      <x:c r="F851" s="207" t="str">
        <x:v>Подтвердить карточку, UOM, состав, цвет, поставщика и правила объединения</x:v>
      </x:c>
      <x:c r="G851" s="207" t="str">
        <x:v>Закупки + склад</x:v>
      </x:c>
      <x:c r="H851" s="207" t="str">
        <x:v>Средний</x:v>
      </x:c>
      <x:c r="I851" s="207" t="str">
        <x:v>Material aging; BOM; procurement; actual usage</x:v>
      </x:c>
      <x:c r="J851" s="207" t="str">
        <x:v>Остатки ткани 31.05.2026</x:v>
      </x:c>
      <x:c r="K851" s="207" t="str"/>
      <x:c r="L851" s="207" t="str"/>
      <x:c r="M851" s="207" t="str">
        <x:v>Не рассмотрено</x:v>
      </x:c>
      <x:c r="N851" s="207" t="str"/>
      <x:c r="O851" s="207" t="str">
        <x:v>17</x:v>
      </x:c>
      <x:c r="P851" s="207" t="n">
        <x:v>2</x:v>
      </x:c>
      <x:c r="Q851" s="208" t="str">
        <x:v>Wave 3 (61–90 дней)</x:v>
      </x:c>
    </x:row>
    <x:row r="852">
      <x:c r="A852" s="206" t="str">
        <x:v>DEC-00848</x:v>
      </x:c>
      <x:c r="B852" s="207" t="str">
        <x:v>Material master</x:v>
      </x:c>
      <x:c r="C852" s="207" t="str">
        <x:v>MAT-DRAFT-0005</x:v>
      </x:c>
      <x:c r="D852" s="207" t="str">
        <x:v>Unlinked</x:v>
      </x:c>
      <x:c r="E852" s="207" t="str">
        <x:v>1 строк; 11685.00 руб.; 6-053</x:v>
      </x:c>
      <x:c r="F852" s="207" t="str">
        <x:v>Подтвердить карточку, UOM, состав, цвет, поставщика и правила объединения</x:v>
      </x:c>
      <x:c r="G852" s="207" t="str">
        <x:v>Закупки + склад</x:v>
      </x:c>
      <x:c r="H852" s="207" t="str">
        <x:v>Высокий</x:v>
      </x:c>
      <x:c r="I852" s="207" t="str">
        <x:v>Material aging; BOM; procurement; actual usage</x:v>
      </x:c>
      <x:c r="J852" s="207" t="str">
        <x:v>Остатки ткани 31.05.2026</x:v>
      </x:c>
      <x:c r="K852" s="207" t="str"/>
      <x:c r="L852" s="207" t="str"/>
      <x:c r="M852" s="207" t="str">
        <x:v>Не рассмотрено</x:v>
      </x:c>
      <x:c r="N852" s="207" t="str"/>
      <x:c r="O852" s="207" t="str">
        <x:v>17</x:v>
      </x:c>
      <x:c r="P852" s="207" t="n">
        <x:v>3</x:v>
      </x:c>
      <x:c r="Q852" s="208" t="str">
        <x:v>Wave 2 (31–60 дней)</x:v>
      </x:c>
    </x:row>
    <x:row r="853">
      <x:c r="A853" s="206" t="str">
        <x:v>DEC-00849</x:v>
      </x:c>
      <x:c r="B853" s="207" t="str">
        <x:v>Material master</x:v>
      </x:c>
      <x:c r="C853" s="207" t="str">
        <x:v>MAT-DRAFT-0006</x:v>
      </x:c>
      <x:c r="D853" s="207" t="str">
        <x:v>Unlinked</x:v>
      </x:c>
      <x:c r="E853" s="207" t="str">
        <x:v>1 строк; 33125.00 руб.; 6-028</x:v>
      </x:c>
      <x:c r="F853" s="207" t="str">
        <x:v>Подтвердить карточку, UOM, состав, цвет, поставщика и правила объединения</x:v>
      </x:c>
      <x:c r="G853" s="207" t="str">
        <x:v>Закупки + склад</x:v>
      </x:c>
      <x:c r="H853" s="207" t="str">
        <x:v>Высокий</x:v>
      </x:c>
      <x:c r="I853" s="207" t="str">
        <x:v>Material aging; BOM; procurement; actual usage</x:v>
      </x:c>
      <x:c r="J853" s="207" t="str">
        <x:v>Остатки ткани 31.05.2026</x:v>
      </x:c>
      <x:c r="K853" s="207" t="str"/>
      <x:c r="L853" s="207" t="str"/>
      <x:c r="M853" s="207" t="str">
        <x:v>Не рассмотрено</x:v>
      </x:c>
      <x:c r="N853" s="207" t="str"/>
      <x:c r="O853" s="207" t="str">
        <x:v>17</x:v>
      </x:c>
      <x:c r="P853" s="207" t="n">
        <x:v>3</x:v>
      </x:c>
      <x:c r="Q853" s="208" t="str">
        <x:v>Wave 2 (31–60 дней)</x:v>
      </x:c>
    </x:row>
    <x:row r="854">
      <x:c r="A854" s="206" t="str">
        <x:v>DEC-00850</x:v>
      </x:c>
      <x:c r="B854" s="207" t="str">
        <x:v>Material master</x:v>
      </x:c>
      <x:c r="C854" s="207" t="str">
        <x:v>MAT-DRAFT-0008</x:v>
      </x:c>
      <x:c r="D854" s="207" t="str">
        <x:v>Unlinked</x:v>
      </x:c>
      <x:c r="E854" s="207" t="str">
        <x:v>2 строк; 10250.00 руб.; 6-050</x:v>
      </x:c>
      <x:c r="F854" s="207" t="str">
        <x:v>Подтвердить карточку, UOM, состав, цвет, поставщика и правила объединения</x:v>
      </x:c>
      <x:c r="G854" s="207" t="str">
        <x:v>Закупки + склад</x:v>
      </x:c>
      <x:c r="H854" s="207" t="str">
        <x:v>Высокий</x:v>
      </x:c>
      <x:c r="I854" s="207" t="str">
        <x:v>Material aging; BOM; procurement; actual usage</x:v>
      </x:c>
      <x:c r="J854" s="207" t="str">
        <x:v>Остатки ткани 31.05.2026</x:v>
      </x:c>
      <x:c r="K854" s="207" t="str"/>
      <x:c r="L854" s="207" t="str"/>
      <x:c r="M854" s="207" t="str">
        <x:v>Не рассмотрено</x:v>
      </x:c>
      <x:c r="N854" s="207" t="str"/>
      <x:c r="O854" s="207" t="str">
        <x:v>17</x:v>
      </x:c>
      <x:c r="P854" s="207" t="n">
        <x:v>3</x:v>
      </x:c>
      <x:c r="Q854" s="208" t="str">
        <x:v>Wave 2 (31–60 дней)</x:v>
      </x:c>
    </x:row>
    <x:row r="855">
      <x:c r="A855" s="206" t="str">
        <x:v>DEC-00851</x:v>
      </x:c>
      <x:c r="B855" s="207" t="str">
        <x:v>Material master</x:v>
      </x:c>
      <x:c r="C855" s="207" t="str">
        <x:v>MAT-DRAFT-0010</x:v>
      </x:c>
      <x:c r="D855" s="207" t="str">
        <x:v>Несколько кодов; Несколько исходных наименований</x:v>
      </x:c>
      <x:c r="E855" s="207" t="str">
        <x:v>2 строк; 13161.00 руб.; 6-051; 6-055</x:v>
      </x:c>
      <x:c r="F855" s="207" t="str">
        <x:v>Подтвердить карточку, UOM, состав, цвет, поставщика и правила объединения</x:v>
      </x:c>
      <x:c r="G855" s="207" t="str">
        <x:v>Закупки + склад</x:v>
      </x:c>
      <x:c r="H855" s="207" t="str">
        <x:v>Высокий</x:v>
      </x:c>
      <x:c r="I855" s="207" t="str">
        <x:v>Material aging; BOM; procurement; actual usage</x:v>
      </x:c>
      <x:c r="J855" s="207" t="str">
        <x:v>Остатки ткани 31.05.2026</x:v>
      </x:c>
      <x:c r="K855" s="207" t="str"/>
      <x:c r="L855" s="207" t="str"/>
      <x:c r="M855" s="207" t="str">
        <x:v>Не рассмотрено</x:v>
      </x:c>
      <x:c r="N855" s="207" t="str"/>
      <x:c r="O855" s="207" t="str">
        <x:v>17</x:v>
      </x:c>
      <x:c r="P855" s="207" t="n">
        <x:v>3</x:v>
      </x:c>
      <x:c r="Q855" s="208" t="str">
        <x:v>Wave 2 (31–60 дней)</x:v>
      </x:c>
    </x:row>
    <x:row r="856">
      <x:c r="A856" s="206" t="str">
        <x:v>DEC-00852</x:v>
      </x:c>
      <x:c r="B856" s="207" t="str">
        <x:v>Material master</x:v>
      </x:c>
      <x:c r="C856" s="207" t="str">
        <x:v>MAT-DRAFT-0012</x:v>
      </x:c>
      <x:c r="D856" s="207" t="str">
        <x:v>Unlinked</x:v>
      </x:c>
      <x:c r="E856" s="207" t="str">
        <x:v>1 строк; 32187.50 руб.; 6-054</x:v>
      </x:c>
      <x:c r="F856" s="207" t="str">
        <x:v>Подтвердить карточку, UOM, состав, цвет, поставщика и правила объединения</x:v>
      </x:c>
      <x:c r="G856" s="207" t="str">
        <x:v>Закупки + склад</x:v>
      </x:c>
      <x:c r="H856" s="207" t="str">
        <x:v>Высокий</x:v>
      </x:c>
      <x:c r="I856" s="207" t="str">
        <x:v>Material aging; BOM; procurement; actual usage</x:v>
      </x:c>
      <x:c r="J856" s="207" t="str">
        <x:v>Остатки ткани 31.05.2026</x:v>
      </x:c>
      <x:c r="K856" s="207" t="str"/>
      <x:c r="L856" s="207" t="str"/>
      <x:c r="M856" s="207" t="str">
        <x:v>Не рассмотрено</x:v>
      </x:c>
      <x:c r="N856" s="207" t="str"/>
      <x:c r="O856" s="207" t="str">
        <x:v>17</x:v>
      </x:c>
      <x:c r="P856" s="207" t="n">
        <x:v>3</x:v>
      </x:c>
      <x:c r="Q856" s="208" t="str">
        <x:v>Wave 2 (31–60 дней)</x:v>
      </x:c>
    </x:row>
    <x:row r="857">
      <x:c r="A857" s="206" t="str">
        <x:v>DEC-00853</x:v>
      </x:c>
      <x:c r="B857" s="207" t="str">
        <x:v>Material master</x:v>
      </x:c>
      <x:c r="C857" s="207" t="str">
        <x:v>MAT-DRAFT-0013</x:v>
      </x:c>
      <x:c r="D857" s="207" t="str">
        <x:v>Unlinked</x:v>
      </x:c>
      <x:c r="E857" s="207" t="str">
        <x:v>1 строк; 11715.00 руб.; 6-003</x:v>
      </x:c>
      <x:c r="F857" s="207" t="str">
        <x:v>Подтвердить карточку, UOM, состав, цвет, поставщика и правила объединения</x:v>
      </x:c>
      <x:c r="G857" s="207" t="str">
        <x:v>Закупки + склад</x:v>
      </x:c>
      <x:c r="H857" s="207" t="str">
        <x:v>Высокий</x:v>
      </x:c>
      <x:c r="I857" s="207" t="str">
        <x:v>Material aging; BOM; procurement; actual usage</x:v>
      </x:c>
      <x:c r="J857" s="207" t="str">
        <x:v>Остатки ткани 31.05.2026</x:v>
      </x:c>
      <x:c r="K857" s="207" t="str"/>
      <x:c r="L857" s="207" t="str"/>
      <x:c r="M857" s="207" t="str">
        <x:v>Не рассмотрено</x:v>
      </x:c>
      <x:c r="N857" s="207" t="str"/>
      <x:c r="O857" s="207" t="str">
        <x:v>17</x:v>
      </x:c>
      <x:c r="P857" s="207" t="n">
        <x:v>3</x:v>
      </x:c>
      <x:c r="Q857" s="208" t="str">
        <x:v>Wave 2 (31–60 дней)</x:v>
      </x:c>
    </x:row>
    <x:row r="858">
      <x:c r="A858" s="206" t="str">
        <x:v>DEC-00854</x:v>
      </x:c>
      <x:c r="B858" s="207" t="str">
        <x:v>Material master</x:v>
      </x:c>
      <x:c r="C858" s="207" t="str">
        <x:v>MAT-DRAFT-0015</x:v>
      </x:c>
      <x:c r="D858" s="207" t="str">
        <x:v>Unlinked</x:v>
      </x:c>
      <x:c r="E858" s="207" t="str">
        <x:v>1 строк; 21450.00 руб.; 6-014</x:v>
      </x:c>
      <x:c r="F858" s="207" t="str">
        <x:v>Подтвердить карточку, UOM, состав, цвет, поставщика и правила объединения</x:v>
      </x:c>
      <x:c r="G858" s="207" t="str">
        <x:v>Закупки + склад</x:v>
      </x:c>
      <x:c r="H858" s="207" t="str">
        <x:v>Высокий</x:v>
      </x:c>
      <x:c r="I858" s="207" t="str">
        <x:v>Material aging; BOM; procurement; actual usage</x:v>
      </x:c>
      <x:c r="J858" s="207" t="str">
        <x:v>Остатки ткани 31.05.2026</x:v>
      </x:c>
      <x:c r="K858" s="207" t="str"/>
      <x:c r="L858" s="207" t="str"/>
      <x:c r="M858" s="207" t="str">
        <x:v>Не рассмотрено</x:v>
      </x:c>
      <x:c r="N858" s="207" t="str"/>
      <x:c r="O858" s="207" t="str">
        <x:v>17</x:v>
      </x:c>
      <x:c r="P858" s="207" t="n">
        <x:v>3</x:v>
      </x:c>
      <x:c r="Q858" s="208" t="str">
        <x:v>Wave 2 (31–60 дней)</x:v>
      </x:c>
    </x:row>
    <x:row r="859">
      <x:c r="A859" s="206" t="str">
        <x:v>DEC-00855</x:v>
      </x:c>
      <x:c r="B859" s="207" t="str">
        <x:v>Material master</x:v>
      </x:c>
      <x:c r="C859" s="207" t="str">
        <x:v>MAT-DRAFT-0016</x:v>
      </x:c>
      <x:c r="D859" s="207" t="str">
        <x:v>Unlinked</x:v>
      </x:c>
      <x:c r="E859" s="207" t="str">
        <x:v>1 строк; 13860.00 руб.; 6-012</x:v>
      </x:c>
      <x:c r="F859" s="207" t="str">
        <x:v>Подтвердить карточку, UOM, состав, цвет, поставщика и правила объединения</x:v>
      </x:c>
      <x:c r="G859" s="207" t="str">
        <x:v>Закупки + склад</x:v>
      </x:c>
      <x:c r="H859" s="207" t="str">
        <x:v>Высокий</x:v>
      </x:c>
      <x:c r="I859" s="207" t="str">
        <x:v>Material aging; BOM; procurement; actual usage</x:v>
      </x:c>
      <x:c r="J859" s="207" t="str">
        <x:v>Остатки ткани 31.05.2026</x:v>
      </x:c>
      <x:c r="K859" s="207" t="str"/>
      <x:c r="L859" s="207" t="str"/>
      <x:c r="M859" s="207" t="str">
        <x:v>Не рассмотрено</x:v>
      </x:c>
      <x:c r="N859" s="207" t="str"/>
      <x:c r="O859" s="207" t="str">
        <x:v>17</x:v>
      </x:c>
      <x:c r="P859" s="207" t="n">
        <x:v>3</x:v>
      </x:c>
      <x:c r="Q859" s="208" t="str">
        <x:v>Wave 2 (31–60 дней)</x:v>
      </x:c>
    </x:row>
    <x:row r="860">
      <x:c r="A860" s="206" t="str">
        <x:v>DEC-00856</x:v>
      </x:c>
      <x:c r="B860" s="207" t="str">
        <x:v>Material master</x:v>
      </x:c>
      <x:c r="C860" s="207" t="str">
        <x:v>MAT-DRAFT-0017</x:v>
      </x:c>
      <x:c r="D860" s="207" t="str">
        <x:v>Unlinked</x:v>
      </x:c>
      <x:c r="E860" s="207" t="str">
        <x:v>1 строк; 23100.00 руб.; 6-011</x:v>
      </x:c>
      <x:c r="F860" s="207" t="str">
        <x:v>Подтвердить карточку, UOM, состав, цвет, поставщика и правила объединения</x:v>
      </x:c>
      <x:c r="G860" s="207" t="str">
        <x:v>Закупки + склад</x:v>
      </x:c>
      <x:c r="H860" s="207" t="str">
        <x:v>Высокий</x:v>
      </x:c>
      <x:c r="I860" s="207" t="str">
        <x:v>Material aging; BOM; procurement; actual usage</x:v>
      </x:c>
      <x:c r="J860" s="207" t="str">
        <x:v>Остатки ткани 31.05.2026</x:v>
      </x:c>
      <x:c r="K860" s="207" t="str"/>
      <x:c r="L860" s="207" t="str"/>
      <x:c r="M860" s="207" t="str">
        <x:v>Не рассмотрено</x:v>
      </x:c>
      <x:c r="N860" s="207" t="str"/>
      <x:c r="O860" s="207" t="str">
        <x:v>17</x:v>
      </x:c>
      <x:c r="P860" s="207" t="n">
        <x:v>3</x:v>
      </x:c>
      <x:c r="Q860" s="208" t="str">
        <x:v>Wave 2 (31–60 дней)</x:v>
      </x:c>
    </x:row>
    <x:row r="861">
      <x:c r="A861" s="206" t="str">
        <x:v>DEC-00857</x:v>
      </x:c>
      <x:c r="B861" s="207" t="str">
        <x:v>Material master</x:v>
      </x:c>
      <x:c r="C861" s="207" t="str">
        <x:v>MAT-DRAFT-0018</x:v>
      </x:c>
      <x:c r="D861" s="207" t="str">
        <x:v>Unlinked</x:v>
      </x:c>
      <x:c r="E861" s="207" t="str">
        <x:v>1 строк; 17160.00 руб.; 6-007</x:v>
      </x:c>
      <x:c r="F861" s="207" t="str">
        <x:v>Подтвердить карточку, UOM, состав, цвет, поставщика и правила объединения</x:v>
      </x:c>
      <x:c r="G861" s="207" t="str">
        <x:v>Закупки + склад</x:v>
      </x:c>
      <x:c r="H861" s="207" t="str">
        <x:v>Высокий</x:v>
      </x:c>
      <x:c r="I861" s="207" t="str">
        <x:v>Material aging; BOM; procurement; actual usage</x:v>
      </x:c>
      <x:c r="J861" s="207" t="str">
        <x:v>Остатки ткани 31.05.2026</x:v>
      </x:c>
      <x:c r="K861" s="207" t="str"/>
      <x:c r="L861" s="207" t="str"/>
      <x:c r="M861" s="207" t="str">
        <x:v>Не рассмотрено</x:v>
      </x:c>
      <x:c r="N861" s="207" t="str"/>
      <x:c r="O861" s="207" t="str">
        <x:v>17</x:v>
      </x:c>
      <x:c r="P861" s="207" t="n">
        <x:v>3</x:v>
      </x:c>
      <x:c r="Q861" s="208" t="str">
        <x:v>Wave 2 (31–60 дней)</x:v>
      </x:c>
    </x:row>
    <x:row r="862">
      <x:c r="A862" s="206" t="str">
        <x:v>DEC-00858</x:v>
      </x:c>
      <x:c r="B862" s="207" t="str">
        <x:v>Material master</x:v>
      </x:c>
      <x:c r="C862" s="207" t="str">
        <x:v>MAT-DRAFT-0019</x:v>
      </x:c>
      <x:c r="D862" s="207" t="str">
        <x:v>Unlinked</x:v>
      </x:c>
      <x:c r="E862" s="207" t="str">
        <x:v>1 строк; 6930.00 руб.; 6-016</x:v>
      </x:c>
      <x:c r="F862" s="207" t="str">
        <x:v>Подтвердить карточку, UOM, состав, цвет, поставщика и правила объединения</x:v>
      </x:c>
      <x:c r="G862" s="207" t="str">
        <x:v>Закупки + склад</x:v>
      </x:c>
      <x:c r="H862" s="207" t="str">
        <x:v>Средний</x:v>
      </x:c>
      <x:c r="I862" s="207" t="str">
        <x:v>Material aging; BOM; procurement; actual usage</x:v>
      </x:c>
      <x:c r="J862" s="207" t="str">
        <x:v>Остатки ткани 31.05.2026</x:v>
      </x:c>
      <x:c r="K862" s="207" t="str"/>
      <x:c r="L862" s="207" t="str"/>
      <x:c r="M862" s="207" t="str">
        <x:v>Не рассмотрено</x:v>
      </x:c>
      <x:c r="N862" s="207" t="str"/>
      <x:c r="O862" s="207" t="str">
        <x:v>17</x:v>
      </x:c>
      <x:c r="P862" s="207" t="n">
        <x:v>2</x:v>
      </x:c>
      <x:c r="Q862" s="208" t="str">
        <x:v>Wave 3 (61–90 дней)</x:v>
      </x:c>
    </x:row>
    <x:row r="863">
      <x:c r="A863" s="206" t="str">
        <x:v>DEC-00859</x:v>
      </x:c>
      <x:c r="B863" s="207" t="str">
        <x:v>Material master</x:v>
      </x:c>
      <x:c r="C863" s="207" t="str">
        <x:v>MAT-DRAFT-0020</x:v>
      </x:c>
      <x:c r="D863" s="207" t="str">
        <x:v>Unlinked</x:v>
      </x:c>
      <x:c r="E863" s="207" t="str">
        <x:v>2 строк; 22275.00 руб.; 6-013</x:v>
      </x:c>
      <x:c r="F863" s="207" t="str">
        <x:v>Подтвердить карточку, UOM, состав, цвет, поставщика и правила объединения</x:v>
      </x:c>
      <x:c r="G863" s="207" t="str">
        <x:v>Закупки + склад</x:v>
      </x:c>
      <x:c r="H863" s="207" t="str">
        <x:v>Высокий</x:v>
      </x:c>
      <x:c r="I863" s="207" t="str">
        <x:v>Material aging; BOM; procurement; actual usage</x:v>
      </x:c>
      <x:c r="J863" s="207" t="str">
        <x:v>Остатки ткани 31.05.2026</x:v>
      </x:c>
      <x:c r="K863" s="207" t="str"/>
      <x:c r="L863" s="207" t="str"/>
      <x:c r="M863" s="207" t="str">
        <x:v>Не рассмотрено</x:v>
      </x:c>
      <x:c r="N863" s="207" t="str"/>
      <x:c r="O863" s="207" t="str">
        <x:v>17</x:v>
      </x:c>
      <x:c r="P863" s="207" t="n">
        <x:v>3</x:v>
      </x:c>
      <x:c r="Q863" s="208" t="str">
        <x:v>Wave 2 (31–60 дней)</x:v>
      </x:c>
    </x:row>
    <x:row r="864">
      <x:c r="A864" s="206" t="str">
        <x:v>DEC-00860</x:v>
      </x:c>
      <x:c r="B864" s="207" t="str">
        <x:v>Material master</x:v>
      </x:c>
      <x:c r="C864" s="207" t="str">
        <x:v>MAT-DRAFT-0021</x:v>
      </x:c>
      <x:c r="D864" s="207" t="str">
        <x:v>Unlinked</x:v>
      </x:c>
      <x:c r="E864" s="207" t="str">
        <x:v>2 строк; 24750.00 руб.; 6-009</x:v>
      </x:c>
      <x:c r="F864" s="207" t="str">
        <x:v>Подтвердить карточку, UOM, состав, цвет, поставщика и правила объединения</x:v>
      </x:c>
      <x:c r="G864" s="207" t="str">
        <x:v>Закупки + склад</x:v>
      </x:c>
      <x:c r="H864" s="207" t="str">
        <x:v>Высокий</x:v>
      </x:c>
      <x:c r="I864" s="207" t="str">
        <x:v>Material aging; BOM; procurement; actual usage</x:v>
      </x:c>
      <x:c r="J864" s="207" t="str">
        <x:v>Остатки ткани 31.05.2026</x:v>
      </x:c>
      <x:c r="K864" s="207" t="str"/>
      <x:c r="L864" s="207" t="str"/>
      <x:c r="M864" s="207" t="str">
        <x:v>Не рассмотрено</x:v>
      </x:c>
      <x:c r="N864" s="207" t="str"/>
      <x:c r="O864" s="207" t="str">
        <x:v>17</x:v>
      </x:c>
      <x:c r="P864" s="207" t="n">
        <x:v>3</x:v>
      </x:c>
      <x:c r="Q864" s="208" t="str">
        <x:v>Wave 2 (31–60 дней)</x:v>
      </x:c>
    </x:row>
    <x:row r="865">
      <x:c r="A865" s="206" t="str">
        <x:v>DEC-00861</x:v>
      </x:c>
      <x:c r="B865" s="207" t="str">
        <x:v>Material master</x:v>
      </x:c>
      <x:c r="C865" s="207" t="str">
        <x:v>MAT-DRAFT-0022</x:v>
      </x:c>
      <x:c r="D865" s="207" t="str">
        <x:v>Unlinked</x:v>
      </x:c>
      <x:c r="E865" s="207" t="str">
        <x:v>1 строк; 34250.00 руб.; 6-041</x:v>
      </x:c>
      <x:c r="F865" s="207" t="str">
        <x:v>Подтвердить карточку, UOM, состав, цвет, поставщика и правила объединения</x:v>
      </x:c>
      <x:c r="G865" s="207" t="str">
        <x:v>Закупки + склад</x:v>
      </x:c>
      <x:c r="H865" s="207" t="str">
        <x:v>Высокий</x:v>
      </x:c>
      <x:c r="I865" s="207" t="str">
        <x:v>Material aging; BOM; procurement; actual usage</x:v>
      </x:c>
      <x:c r="J865" s="207" t="str">
        <x:v>Остатки ткани 31.05.2026</x:v>
      </x:c>
      <x:c r="K865" s="207" t="str"/>
      <x:c r="L865" s="207" t="str"/>
      <x:c r="M865" s="207" t="str">
        <x:v>Не рассмотрено</x:v>
      </x:c>
      <x:c r="N865" s="207" t="str"/>
      <x:c r="O865" s="207" t="str">
        <x:v>17</x:v>
      </x:c>
      <x:c r="P865" s="207" t="n">
        <x:v>3</x:v>
      </x:c>
      <x:c r="Q865" s="208" t="str">
        <x:v>Wave 2 (31–60 дней)</x:v>
      </x:c>
    </x:row>
    <x:row r="866">
      <x:c r="A866" s="206" t="str">
        <x:v>DEC-00862</x:v>
      </x:c>
      <x:c r="B866" s="207" t="str">
        <x:v>Material master</x:v>
      </x:c>
      <x:c r="C866" s="207" t="str">
        <x:v>MAT-DRAFT-0023</x:v>
      </x:c>
      <x:c r="D866" s="207" t="str">
        <x:v>Unlinked</x:v>
      </x:c>
      <x:c r="E866" s="207" t="str">
        <x:v>1 строк; 33500.00 руб.; 6-040</x:v>
      </x:c>
      <x:c r="F866" s="207" t="str">
        <x:v>Подтвердить карточку, UOM, состав, цвет, поставщика и правила объединения</x:v>
      </x:c>
      <x:c r="G866" s="207" t="str">
        <x:v>Закупки + склад</x:v>
      </x:c>
      <x:c r="H866" s="207" t="str">
        <x:v>Высокий</x:v>
      </x:c>
      <x:c r="I866" s="207" t="str">
        <x:v>Material aging; BOM; procurement; actual usage</x:v>
      </x:c>
      <x:c r="J866" s="207" t="str">
        <x:v>Остатки ткани 31.05.2026</x:v>
      </x:c>
      <x:c r="K866" s="207" t="str"/>
      <x:c r="L866" s="207" t="str"/>
      <x:c r="M866" s="207" t="str">
        <x:v>Не рассмотрено</x:v>
      </x:c>
      <x:c r="N866" s="207" t="str"/>
      <x:c r="O866" s="207" t="str">
        <x:v>17</x:v>
      </x:c>
      <x:c r="P866" s="207" t="n">
        <x:v>3</x:v>
      </x:c>
      <x:c r="Q866" s="208" t="str">
        <x:v>Wave 2 (31–60 дней)</x:v>
      </x:c>
    </x:row>
    <x:row r="867">
      <x:c r="A867" s="206" t="str">
        <x:v>DEC-00863</x:v>
      </x:c>
      <x:c r="B867" s="207" t="str">
        <x:v>Material master</x:v>
      </x:c>
      <x:c r="C867" s="207" t="str">
        <x:v>MAT-DRAFT-0024</x:v>
      </x:c>
      <x:c r="D867" s="207" t="str">
        <x:v>Unlinked</x:v>
      </x:c>
      <x:c r="E867" s="207" t="str">
        <x:v>1 строк; 21250.00 руб.; 6-045</x:v>
      </x:c>
      <x:c r="F867" s="207" t="str">
        <x:v>Подтвердить карточку, UOM, состав, цвет, поставщика и правила объединения</x:v>
      </x:c>
      <x:c r="G867" s="207" t="str">
        <x:v>Закупки + склад</x:v>
      </x:c>
      <x:c r="H867" s="207" t="str">
        <x:v>Высокий</x:v>
      </x:c>
      <x:c r="I867" s="207" t="str">
        <x:v>Material aging; BOM; procurement; actual usage</x:v>
      </x:c>
      <x:c r="J867" s="207" t="str">
        <x:v>Остатки ткани 31.05.2026</x:v>
      </x:c>
      <x:c r="K867" s="207" t="str"/>
      <x:c r="L867" s="207" t="str"/>
      <x:c r="M867" s="207" t="str">
        <x:v>Не рассмотрено</x:v>
      </x:c>
      <x:c r="N867" s="207" t="str"/>
      <x:c r="O867" s="207" t="str">
        <x:v>17</x:v>
      </x:c>
      <x:c r="P867" s="207" t="n">
        <x:v>3</x:v>
      </x:c>
      <x:c r="Q867" s="208" t="str">
        <x:v>Wave 2 (31–60 дней)</x:v>
      </x:c>
    </x:row>
    <x:row r="868">
      <x:c r="A868" s="206" t="str">
        <x:v>DEC-00864</x:v>
      </x:c>
      <x:c r="B868" s="207" t="str">
        <x:v>Material master</x:v>
      </x:c>
      <x:c r="C868" s="207" t="str">
        <x:v>MAT-DRAFT-0025</x:v>
      </x:c>
      <x:c r="D868" s="207" t="str">
        <x:v>Unlinked</x:v>
      </x:c>
      <x:c r="E868" s="207" t="str">
        <x:v>1 строк; 6600.00 руб.; 6-015</x:v>
      </x:c>
      <x:c r="F868" s="207" t="str">
        <x:v>Подтвердить карточку, UOM, состав, цвет, поставщика и правила объединения</x:v>
      </x:c>
      <x:c r="G868" s="207" t="str">
        <x:v>Закупки + склад</x:v>
      </x:c>
      <x:c r="H868" s="207" t="str">
        <x:v>Средний</x:v>
      </x:c>
      <x:c r="I868" s="207" t="str">
        <x:v>Material aging; BOM; procurement; actual usage</x:v>
      </x:c>
      <x:c r="J868" s="207" t="str">
        <x:v>Остатки ткани 31.05.2026</x:v>
      </x:c>
      <x:c r="K868" s="207" t="str"/>
      <x:c r="L868" s="207" t="str"/>
      <x:c r="M868" s="207" t="str">
        <x:v>Не рассмотрено</x:v>
      </x:c>
      <x:c r="N868" s="207" t="str"/>
      <x:c r="O868" s="207" t="str">
        <x:v>17</x:v>
      </x:c>
      <x:c r="P868" s="207" t="n">
        <x:v>2</x:v>
      </x:c>
      <x:c r="Q868" s="208" t="str">
        <x:v>Wave 3 (61–90 дней)</x:v>
      </x:c>
    </x:row>
    <x:row r="869">
      <x:c r="A869" s="206" t="str">
        <x:v>DEC-00865</x:v>
      </x:c>
      <x:c r="B869" s="207" t="str">
        <x:v>Material master</x:v>
      </x:c>
      <x:c r="C869" s="207" t="str">
        <x:v>MAT-DRAFT-0026</x:v>
      </x:c>
      <x:c r="D869" s="207" t="str">
        <x:v>Unlinked</x:v>
      </x:c>
      <x:c r="E869" s="207" t="str">
        <x:v>1 строк; 54500.00 руб.; 6-042</x:v>
      </x:c>
      <x:c r="F869" s="207" t="str">
        <x:v>Подтвердить карточку, UOM, состав, цвет, поставщика и правила объединения</x:v>
      </x:c>
      <x:c r="G869" s="207" t="str">
        <x:v>Закупки + склад</x:v>
      </x:c>
      <x:c r="H869" s="207" t="str">
        <x:v>Высокий</x:v>
      </x:c>
      <x:c r="I869" s="207" t="str">
        <x:v>Material aging; BOM; procurement; actual usage</x:v>
      </x:c>
      <x:c r="J869" s="207" t="str">
        <x:v>Остатки ткани 31.05.2026</x:v>
      </x:c>
      <x:c r="K869" s="207" t="str"/>
      <x:c r="L869" s="207" t="str"/>
      <x:c r="M869" s="207" t="str">
        <x:v>Не рассмотрено</x:v>
      </x:c>
      <x:c r="N869" s="207" t="str"/>
      <x:c r="O869" s="207" t="str">
        <x:v>17</x:v>
      </x:c>
      <x:c r="P869" s="207" t="n">
        <x:v>3</x:v>
      </x:c>
      <x:c r="Q869" s="208" t="str">
        <x:v>Wave 2 (31–60 дней)</x:v>
      </x:c>
    </x:row>
    <x:row r="870">
      <x:c r="A870" s="206" t="str">
        <x:v>DEC-00866</x:v>
      </x:c>
      <x:c r="B870" s="207" t="str">
        <x:v>Material master</x:v>
      </x:c>
      <x:c r="C870" s="207" t="str">
        <x:v>MAT-DRAFT-0029</x:v>
      </x:c>
      <x:c r="D870" s="207" t="str">
        <x:v>Unlinked</x:v>
      </x:c>
      <x:c r="E870" s="207" t="str">
        <x:v>1 строк; 51810.00 руб.; 6-002</x:v>
      </x:c>
      <x:c r="F870" s="207" t="str">
        <x:v>Подтвердить карточку, UOM, состав, цвет, поставщика и правила объединения</x:v>
      </x:c>
      <x:c r="G870" s="207" t="str">
        <x:v>Закупки + склад</x:v>
      </x:c>
      <x:c r="H870" s="207" t="str">
        <x:v>Высокий</x:v>
      </x:c>
      <x:c r="I870" s="207" t="str">
        <x:v>Material aging; BOM; procurement; actual usage</x:v>
      </x:c>
      <x:c r="J870" s="207" t="str">
        <x:v>Остатки ткани 31.05.2026</x:v>
      </x:c>
      <x:c r="K870" s="207" t="str"/>
      <x:c r="L870" s="207" t="str"/>
      <x:c r="M870" s="207" t="str">
        <x:v>Не рассмотрено</x:v>
      </x:c>
      <x:c r="N870" s="207" t="str"/>
      <x:c r="O870" s="207" t="str">
        <x:v>17</x:v>
      </x:c>
      <x:c r="P870" s="207" t="n">
        <x:v>3</x:v>
      </x:c>
      <x:c r="Q870" s="208" t="str">
        <x:v>Wave 2 (31–60 дней)</x:v>
      </x:c>
    </x:row>
    <x:row r="871">
      <x:c r="A871" s="206" t="str">
        <x:v>DEC-00867</x:v>
      </x:c>
      <x:c r="B871" s="207" t="str">
        <x:v>Material master</x:v>
      </x:c>
      <x:c r="C871" s="207" t="str">
        <x:v>MAT-DRAFT-0030</x:v>
      </x:c>
      <x:c r="D871" s="207" t="str">
        <x:v>Несколько кодов; Несколько исходных наименований</x:v>
      </x:c>
      <x:c r="E871" s="207" t="str">
        <x:v>2 строк; 19175.00 руб.; 6-017; 6-018</x:v>
      </x:c>
      <x:c r="F871" s="207" t="str">
        <x:v>Подтвердить карточку, UOM, состав, цвет, поставщика и правила объединения</x:v>
      </x:c>
      <x:c r="G871" s="207" t="str">
        <x:v>Закупки + склад</x:v>
      </x:c>
      <x:c r="H871" s="207" t="str">
        <x:v>Высокий</x:v>
      </x:c>
      <x:c r="I871" s="207" t="str">
        <x:v>Material aging; BOM; procurement; actual usage</x:v>
      </x:c>
      <x:c r="J871" s="207" t="str">
        <x:v>Остатки ткани 31.05.2026</x:v>
      </x:c>
      <x:c r="K871" s="207" t="str"/>
      <x:c r="L871" s="207" t="str"/>
      <x:c r="M871" s="207" t="str">
        <x:v>Не рассмотрено</x:v>
      </x:c>
      <x:c r="N871" s="207" t="str"/>
      <x:c r="O871" s="207" t="str">
        <x:v>17</x:v>
      </x:c>
      <x:c r="P871" s="207" t="n">
        <x:v>3</x:v>
      </x:c>
      <x:c r="Q871" s="208" t="str">
        <x:v>Wave 2 (31–60 дней)</x:v>
      </x:c>
    </x:row>
    <x:row r="872">
      <x:c r="A872" s="206" t="str">
        <x:v>DEC-00868</x:v>
      </x:c>
      <x:c r="B872" s="207" t="str">
        <x:v>Material master</x:v>
      </x:c>
      <x:c r="C872" s="207" t="str">
        <x:v>MAT-DRAFT-0031</x:v>
      </x:c>
      <x:c r="D872" s="207" t="str">
        <x:v>Unlinked</x:v>
      </x:c>
      <x:c r="E872" s="207" t="str">
        <x:v>1 строк; 80600.00 руб.; 6-037</x:v>
      </x:c>
      <x:c r="F872" s="207" t="str">
        <x:v>Подтвердить карточку, UOM, состав, цвет, поставщика и правила объединения</x:v>
      </x:c>
      <x:c r="G872" s="207" t="str">
        <x:v>Закупки + склад</x:v>
      </x:c>
      <x:c r="H872" s="207" t="str">
        <x:v>Высокий</x:v>
      </x:c>
      <x:c r="I872" s="207" t="str">
        <x:v>Material aging; BOM; procurement; actual usage</x:v>
      </x:c>
      <x:c r="J872" s="207" t="str">
        <x:v>Остатки ткани 31.05.2026</x:v>
      </x:c>
      <x:c r="K872" s="207" t="str"/>
      <x:c r="L872" s="207" t="str"/>
      <x:c r="M872" s="207" t="str">
        <x:v>Не рассмотрено</x:v>
      </x:c>
      <x:c r="N872" s="207" t="str"/>
      <x:c r="O872" s="207" t="str">
        <x:v>17</x:v>
      </x:c>
      <x:c r="P872" s="207" t="n">
        <x:v>3</x:v>
      </x:c>
      <x:c r="Q872" s="208" t="str">
        <x:v>Wave 2 (31–60 дней)</x:v>
      </x:c>
    </x:row>
    <x:row r="873">
      <x:c r="A873" s="206" t="str">
        <x:v>DEC-00869</x:v>
      </x:c>
      <x:c r="B873" s="207" t="str">
        <x:v>Material master</x:v>
      </x:c>
      <x:c r="C873" s="207" t="str">
        <x:v>MAT-DRAFT-0033</x:v>
      </x:c>
      <x:c r="D873" s="207" t="str">
        <x:v>Unlinked</x:v>
      </x:c>
      <x:c r="E873" s="207" t="str">
        <x:v>1 строк; 14300.00 руб.; 6-025</x:v>
      </x:c>
      <x:c r="F873" s="207" t="str">
        <x:v>Подтвердить карточку, UOM, состав, цвет, поставщика и правила объединения</x:v>
      </x:c>
      <x:c r="G873" s="207" t="str">
        <x:v>Закупки + склад</x:v>
      </x:c>
      <x:c r="H873" s="207" t="str">
        <x:v>Высокий</x:v>
      </x:c>
      <x:c r="I873" s="207" t="str">
        <x:v>Material aging; BOM; procurement; actual usage</x:v>
      </x:c>
      <x:c r="J873" s="207" t="str">
        <x:v>Остатки ткани 31.05.2026</x:v>
      </x:c>
      <x:c r="K873" s="207" t="str"/>
      <x:c r="L873" s="207" t="str"/>
      <x:c r="M873" s="207" t="str">
        <x:v>Не рассмотрено</x:v>
      </x:c>
      <x:c r="N873" s="207" t="str"/>
      <x:c r="O873" s="207" t="str">
        <x:v>17</x:v>
      </x:c>
      <x:c r="P873" s="207" t="n">
        <x:v>3</x:v>
      </x:c>
      <x:c r="Q873" s="208" t="str">
        <x:v>Wave 2 (31–60 дней)</x:v>
      </x:c>
    </x:row>
    <x:row r="874">
      <x:c r="A874" s="206" t="str">
        <x:v>DEC-00870</x:v>
      </x:c>
      <x:c r="B874" s="207" t="str">
        <x:v>Material master</x:v>
      </x:c>
      <x:c r="C874" s="207" t="str">
        <x:v>MAT-DRAFT-0037</x:v>
      </x:c>
      <x:c r="D874" s="207" t="str">
        <x:v>Unlinked</x:v>
      </x:c>
      <x:c r="E874" s="207" t="str">
        <x:v>1 строк; 18460.00 руб.; 6-033</x:v>
      </x:c>
      <x:c r="F874" s="207" t="str">
        <x:v>Подтвердить карточку, UOM, состав, цвет, поставщика и правила объединения</x:v>
      </x:c>
      <x:c r="G874" s="207" t="str">
        <x:v>Закупки + склад</x:v>
      </x:c>
      <x:c r="H874" s="207" t="str">
        <x:v>Высокий</x:v>
      </x:c>
      <x:c r="I874" s="207" t="str">
        <x:v>Material aging; BOM; procurement; actual usage</x:v>
      </x:c>
      <x:c r="J874" s="207" t="str">
        <x:v>Остатки ткани 31.05.2026</x:v>
      </x:c>
      <x:c r="K874" s="207" t="str"/>
      <x:c r="L874" s="207" t="str"/>
      <x:c r="M874" s="207" t="str">
        <x:v>Не рассмотрено</x:v>
      </x:c>
      <x:c r="N874" s="207" t="str"/>
      <x:c r="O874" s="207" t="str">
        <x:v>17</x:v>
      </x:c>
      <x:c r="P874" s="207" t="n">
        <x:v>3</x:v>
      </x:c>
      <x:c r="Q874" s="208" t="str">
        <x:v>Wave 2 (31–60 дней)</x:v>
      </x:c>
    </x:row>
    <x:row r="875">
      <x:c r="A875" s="206" t="str">
        <x:v>DEC-00871</x:v>
      </x:c>
      <x:c r="B875" s="207" t="str">
        <x:v>Material master</x:v>
      </x:c>
      <x:c r="C875" s="207" t="str">
        <x:v>MAT-DRAFT-0038</x:v>
      </x:c>
      <x:c r="D875" s="207" t="str">
        <x:v>Unlinked</x:v>
      </x:c>
      <x:c r="E875" s="207" t="str">
        <x:v>2 строк; 42640.00 руб.; 6-038</x:v>
      </x:c>
      <x:c r="F875" s="207" t="str">
        <x:v>Подтвердить карточку, UOM, состав, цвет, поставщика и правила объединения</x:v>
      </x:c>
      <x:c r="G875" s="207" t="str">
        <x:v>Закупки + склад</x:v>
      </x:c>
      <x:c r="H875" s="207" t="str">
        <x:v>Высокий</x:v>
      </x:c>
      <x:c r="I875" s="207" t="str">
        <x:v>Material aging; BOM; procurement; actual usage</x:v>
      </x:c>
      <x:c r="J875" s="207" t="str">
        <x:v>Остатки ткани 31.05.2026</x:v>
      </x:c>
      <x:c r="K875" s="207" t="str"/>
      <x:c r="L875" s="207" t="str"/>
      <x:c r="M875" s="207" t="str">
        <x:v>Не рассмотрено</x:v>
      </x:c>
      <x:c r="N875" s="207" t="str"/>
      <x:c r="O875" s="207" t="str">
        <x:v>17</x:v>
      </x:c>
      <x:c r="P875" s="207" t="n">
        <x:v>3</x:v>
      </x:c>
      <x:c r="Q875" s="208" t="str">
        <x:v>Wave 2 (31–60 дней)</x:v>
      </x:c>
    </x:row>
    <x:row r="876">
      <x:c r="A876" s="206" t="str">
        <x:v>DEC-00872</x:v>
      </x:c>
      <x:c r="B876" s="207" t="str">
        <x:v>Material master</x:v>
      </x:c>
      <x:c r="C876" s="207" t="str">
        <x:v>MAT-DRAFT-0041</x:v>
      </x:c>
      <x:c r="D876" s="207" t="str">
        <x:v>Несколько кодов; Несколько исходных наименований</x:v>
      </x:c>
      <x:c r="E876" s="207" t="str">
        <x:v>5 строк; 40384.44 руб.; 4-023; 4-026; 4-027</x:v>
      </x:c>
      <x:c r="F876" s="207" t="str">
        <x:v>Подтвердить карточку, UOM, состав, цвет, поставщика и правила объединения</x:v>
      </x:c>
      <x:c r="G876" s="207" t="str">
        <x:v>Закупки + склад</x:v>
      </x:c>
      <x:c r="H876" s="207" t="str">
        <x:v>Высокий</x:v>
      </x:c>
      <x:c r="I876" s="207" t="str">
        <x:v>Material aging; BOM; procurement; actual usage</x:v>
      </x:c>
      <x:c r="J876" s="207" t="str">
        <x:v>Остатки ткани 31.05.2026</x:v>
      </x:c>
      <x:c r="K876" s="207" t="str"/>
      <x:c r="L876" s="207" t="str"/>
      <x:c r="M876" s="207" t="str">
        <x:v>Не рассмотрено</x:v>
      </x:c>
      <x:c r="N876" s="207" t="str"/>
      <x:c r="O876" s="207" t="str">
        <x:v>17</x:v>
      </x:c>
      <x:c r="P876" s="207" t="n">
        <x:v>3</x:v>
      </x:c>
      <x:c r="Q876" s="208" t="str">
        <x:v>Wave 2 (31–60 дней)</x:v>
      </x:c>
    </x:row>
    <x:row r="877">
      <x:c r="A877" s="206" t="str">
        <x:v>DEC-00873</x:v>
      </x:c>
      <x:c r="B877" s="207" t="str">
        <x:v>Material master</x:v>
      </x:c>
      <x:c r="C877" s="207" t="str">
        <x:v>MAT-DRAFT-0042</x:v>
      </x:c>
      <x:c r="D877" s="207" t="str">
        <x:v>Несколько кодов; Несколько исходных наименований</x:v>
      </x:c>
      <x:c r="E877" s="207" t="str">
        <x:v>3 строк; 3705.00 руб.; 4-036; 4-049</x:v>
      </x:c>
      <x:c r="F877" s="207" t="str">
        <x:v>Подтвердить карточку, UOM, состав, цвет, поставщика и правила объединения</x:v>
      </x:c>
      <x:c r="G877" s="207" t="str">
        <x:v>Закупки + склад</x:v>
      </x:c>
      <x:c r="H877" s="207" t="str">
        <x:v>Средний</x:v>
      </x:c>
      <x:c r="I877" s="207" t="str">
        <x:v>Material aging; BOM; procurement; actual usage</x:v>
      </x:c>
      <x:c r="J877" s="207" t="str">
        <x:v>Остатки ткани 31.05.2026</x:v>
      </x:c>
      <x:c r="K877" s="207" t="str"/>
      <x:c r="L877" s="207" t="str"/>
      <x:c r="M877" s="207" t="str">
        <x:v>Не рассмотрено</x:v>
      </x:c>
      <x:c r="N877" s="207" t="str"/>
      <x:c r="O877" s="207" t="str">
        <x:v>17</x:v>
      </x:c>
      <x:c r="P877" s="207" t="n">
        <x:v>2</x:v>
      </x:c>
      <x:c r="Q877" s="208" t="str">
        <x:v>Wave 3 (61–90 дней)</x:v>
      </x:c>
    </x:row>
    <x:row r="878">
      <x:c r="A878" s="206" t="str">
        <x:v>DEC-00874</x:v>
      </x:c>
      <x:c r="B878" s="207" t="str">
        <x:v>Material master</x:v>
      </x:c>
      <x:c r="C878" s="207" t="str">
        <x:v>MAT-DRAFT-0043</x:v>
      </x:c>
      <x:c r="D878" s="207" t="str">
        <x:v>Unlinked</x:v>
      </x:c>
      <x:c r="E878" s="207" t="str">
        <x:v>1 строк; 5110.00 руб.; 4-028</x:v>
      </x:c>
      <x:c r="F878" s="207" t="str">
        <x:v>Подтвердить карточку, UOM, состав, цвет, поставщика и правила объединения</x:v>
      </x:c>
      <x:c r="G878" s="207" t="str">
        <x:v>Закупки + склад</x:v>
      </x:c>
      <x:c r="H878" s="207" t="str">
        <x:v>Средний</x:v>
      </x:c>
      <x:c r="I878" s="207" t="str">
        <x:v>Material aging; BOM; procurement; actual usage</x:v>
      </x:c>
      <x:c r="J878" s="207" t="str">
        <x:v>Остатки ткани 31.05.2026</x:v>
      </x:c>
      <x:c r="K878" s="207" t="str"/>
      <x:c r="L878" s="207" t="str"/>
      <x:c r="M878" s="207" t="str">
        <x:v>Не рассмотрено</x:v>
      </x:c>
      <x:c r="N878" s="207" t="str"/>
      <x:c r="O878" s="207" t="str">
        <x:v>17</x:v>
      </x:c>
      <x:c r="P878" s="207" t="n">
        <x:v>2</x:v>
      </x:c>
      <x:c r="Q878" s="208" t="str">
        <x:v>Wave 3 (61–90 дней)</x:v>
      </x:c>
    </x:row>
    <x:row r="879">
      <x:c r="A879" s="206" t="str">
        <x:v>DEC-00875</x:v>
      </x:c>
      <x:c r="B879" s="207" t="str">
        <x:v>Material master</x:v>
      </x:c>
      <x:c r="C879" s="207" t="str">
        <x:v>MAT-DRAFT-0045</x:v>
      </x:c>
      <x:c r="D879" s="207" t="str">
        <x:v>Unlinked</x:v>
      </x:c>
      <x:c r="E879" s="207" t="str">
        <x:v>1 строк; 1600.00 руб.; 4-021</x:v>
      </x:c>
      <x:c r="F879" s="207" t="str">
        <x:v>Подтвердить карточку, UOM, состав, цвет, поставщика и правила объединения</x:v>
      </x:c>
      <x:c r="G879" s="207" t="str">
        <x:v>Закупки + склад</x:v>
      </x:c>
      <x:c r="H879" s="207" t="str">
        <x:v>Средний</x:v>
      </x:c>
      <x:c r="I879" s="207" t="str">
        <x:v>Material aging; BOM; procurement; actual usage</x:v>
      </x:c>
      <x:c r="J879" s="207" t="str">
        <x:v>Остатки ткани 31.05.2026</x:v>
      </x:c>
      <x:c r="K879" s="207" t="str"/>
      <x:c r="L879" s="207" t="str"/>
      <x:c r="M879" s="207" t="str">
        <x:v>Не рассмотрено</x:v>
      </x:c>
      <x:c r="N879" s="207" t="str"/>
      <x:c r="O879" s="207" t="str">
        <x:v>17</x:v>
      </x:c>
      <x:c r="P879" s="207" t="n">
        <x:v>2</x:v>
      </x:c>
      <x:c r="Q879" s="208" t="str">
        <x:v>Wave 3 (61–90 дней)</x:v>
      </x:c>
    </x:row>
    <x:row r="880">
      <x:c r="A880" s="206" t="str">
        <x:v>DEC-00876</x:v>
      </x:c>
      <x:c r="B880" s="207" t="str">
        <x:v>Material master</x:v>
      </x:c>
      <x:c r="C880" s="207" t="str">
        <x:v>MAT-DRAFT-0046</x:v>
      </x:c>
      <x:c r="D880" s="207" t="str">
        <x:v>Несколько кодов; Несколько исходных наименований</x:v>
      </x:c>
      <x:c r="E880" s="207" t="str">
        <x:v>6 строк; 37392.48 руб.; 4-024; 4-025; 4-046</x:v>
      </x:c>
      <x:c r="F880" s="207" t="str">
        <x:v>Подтвердить карточку, UOM, состав, цвет, поставщика и правила объединения</x:v>
      </x:c>
      <x:c r="G880" s="207" t="str">
        <x:v>Закупки + склад</x:v>
      </x:c>
      <x:c r="H880" s="207" t="str">
        <x:v>Высокий</x:v>
      </x:c>
      <x:c r="I880" s="207" t="str">
        <x:v>Material aging; BOM; procurement; actual usage</x:v>
      </x:c>
      <x:c r="J880" s="207" t="str">
        <x:v>Остатки ткани 31.05.2026</x:v>
      </x:c>
      <x:c r="K880" s="207" t="str"/>
      <x:c r="L880" s="207" t="str"/>
      <x:c r="M880" s="207" t="str">
        <x:v>Не рассмотрено</x:v>
      </x:c>
      <x:c r="N880" s="207" t="str"/>
      <x:c r="O880" s="207" t="str">
        <x:v>17</x:v>
      </x:c>
      <x:c r="P880" s="207" t="n">
        <x:v>3</x:v>
      </x:c>
      <x:c r="Q880" s="208" t="str">
        <x:v>Wave 2 (31–60 дней)</x:v>
      </x:c>
    </x:row>
    <x:row r="881">
      <x:c r="A881" s="206" t="str">
        <x:v>DEC-00877</x:v>
      </x:c>
      <x:c r="B881" s="207" t="str">
        <x:v>Material master</x:v>
      </x:c>
      <x:c r="C881" s="207" t="str">
        <x:v>MAT-DRAFT-0048</x:v>
      </x:c>
      <x:c r="D881" s="207" t="str">
        <x:v>Unlinked</x:v>
      </x:c>
      <x:c r="E881" s="207" t="str">
        <x:v>1 строк; 3100.00 руб.; 23-011</x:v>
      </x:c>
      <x:c r="F881" s="207" t="str">
        <x:v>Подтвердить карточку, UOM, состав, цвет, поставщика и правила объединения</x:v>
      </x:c>
      <x:c r="G881" s="207" t="str">
        <x:v>Закупки + склад</x:v>
      </x:c>
      <x:c r="H881" s="207" t="str">
        <x:v>Средний</x:v>
      </x:c>
      <x:c r="I881" s="207" t="str">
        <x:v>Material aging; BOM; procurement; actual usage</x:v>
      </x:c>
      <x:c r="J881" s="207" t="str">
        <x:v>Остатки ткани 31.05.2026</x:v>
      </x:c>
      <x:c r="K881" s="207" t="str"/>
      <x:c r="L881" s="207" t="str"/>
      <x:c r="M881" s="207" t="str">
        <x:v>Не рассмотрено</x:v>
      </x:c>
      <x:c r="N881" s="207" t="str"/>
      <x:c r="O881" s="207" t="str">
        <x:v>17</x:v>
      </x:c>
      <x:c r="P881" s="207" t="n">
        <x:v>2</x:v>
      </x:c>
      <x:c r="Q881" s="208" t="str">
        <x:v>Wave 3 (61–90 дней)</x:v>
      </x:c>
    </x:row>
    <x:row r="882">
      <x:c r="A882" s="206" t="str">
        <x:v>DEC-00878</x:v>
      </x:c>
      <x:c r="B882" s="207" t="str">
        <x:v>Material master</x:v>
      </x:c>
      <x:c r="C882" s="207" t="str">
        <x:v>MAT-DRAFT-0049</x:v>
      </x:c>
      <x:c r="D882" s="207" t="str">
        <x:v>Unlinked</x:v>
      </x:c>
      <x:c r="E882" s="207" t="str">
        <x:v>1 строк; 10980.00 руб.; 4A-096</x:v>
      </x:c>
      <x:c r="F882" s="207" t="str">
        <x:v>Подтвердить карточку, UOM, состав, цвет, поставщика и правила объединения</x:v>
      </x:c>
      <x:c r="G882" s="207" t="str">
        <x:v>Закупки + склад</x:v>
      </x:c>
      <x:c r="H882" s="207" t="str">
        <x:v>Высокий</x:v>
      </x:c>
      <x:c r="I882" s="207" t="str">
        <x:v>Material aging; BOM; procurement; actual usage</x:v>
      </x:c>
      <x:c r="J882" s="207" t="str">
        <x:v>Остатки ткани 31.05.2026</x:v>
      </x:c>
      <x:c r="K882" s="207" t="str"/>
      <x:c r="L882" s="207" t="str"/>
      <x:c r="M882" s="207" t="str">
        <x:v>Не рассмотрено</x:v>
      </x:c>
      <x:c r="N882" s="207" t="str"/>
      <x:c r="O882" s="207" t="str">
        <x:v>17</x:v>
      </x:c>
      <x:c r="P882" s="207" t="n">
        <x:v>3</x:v>
      </x:c>
      <x:c r="Q882" s="208" t="str">
        <x:v>Wave 2 (31–60 дней)</x:v>
      </x:c>
    </x:row>
    <x:row r="883">
      <x:c r="A883" s="206" t="str">
        <x:v>DEC-00879</x:v>
      </x:c>
      <x:c r="B883" s="207" t="str">
        <x:v>Material master</x:v>
      </x:c>
      <x:c r="C883" s="207" t="str">
        <x:v>MAT-DRAFT-0050</x:v>
      </x:c>
      <x:c r="D883" s="207" t="str">
        <x:v>Unlinked</x:v>
      </x:c>
      <x:c r="E883" s="207" t="str">
        <x:v>1 строк; 1829.70 руб.; 4A-097</x:v>
      </x:c>
      <x:c r="F883" s="207" t="str">
        <x:v>Подтвердить карточку, UOM, состав, цвет, поставщика и правила объединения</x:v>
      </x:c>
      <x:c r="G883" s="207" t="str">
        <x:v>Закупки + склад</x:v>
      </x:c>
      <x:c r="H883" s="207" t="str">
        <x:v>Средний</x:v>
      </x:c>
      <x:c r="I883" s="207" t="str">
        <x:v>Material aging; BOM; procurement; actual usage</x:v>
      </x:c>
      <x:c r="J883" s="207" t="str">
        <x:v>Остатки ткани 31.05.2026</x:v>
      </x:c>
      <x:c r="K883" s="207" t="str"/>
      <x:c r="L883" s="207" t="str"/>
      <x:c r="M883" s="207" t="str">
        <x:v>Не рассмотрено</x:v>
      </x:c>
      <x:c r="N883" s="207" t="str"/>
      <x:c r="O883" s="207" t="str">
        <x:v>17</x:v>
      </x:c>
      <x:c r="P883" s="207" t="n">
        <x:v>2</x:v>
      </x:c>
      <x:c r="Q883" s="208" t="str">
        <x:v>Wave 3 (61–90 дней)</x:v>
      </x:c>
    </x:row>
    <x:row r="884">
      <x:c r="A884" s="206" t="str">
        <x:v>DEC-00880</x:v>
      </x:c>
      <x:c r="B884" s="207" t="str">
        <x:v>Material master</x:v>
      </x:c>
      <x:c r="C884" s="207" t="str">
        <x:v>MAT-DRAFT-0051</x:v>
      </x:c>
      <x:c r="D884" s="207" t="str">
        <x:v>Unlinked</x:v>
      </x:c>
      <x:c r="E884" s="207" t="str">
        <x:v>1 строк; 1830.00 руб.; 4A-099</x:v>
      </x:c>
      <x:c r="F884" s="207" t="str">
        <x:v>Подтвердить карточку, UOM, состав, цвет, поставщика и правила объединения</x:v>
      </x:c>
      <x:c r="G884" s="207" t="str">
        <x:v>Закупки + склад</x:v>
      </x:c>
      <x:c r="H884" s="207" t="str">
        <x:v>Средний</x:v>
      </x:c>
      <x:c r="I884" s="207" t="str">
        <x:v>Material aging; BOM; procurement; actual usage</x:v>
      </x:c>
      <x:c r="J884" s="207" t="str">
        <x:v>Остатки ткани 31.05.2026</x:v>
      </x:c>
      <x:c r="K884" s="207" t="str"/>
      <x:c r="L884" s="207" t="str"/>
      <x:c r="M884" s="207" t="str">
        <x:v>Не рассмотрено</x:v>
      </x:c>
      <x:c r="N884" s="207" t="str"/>
      <x:c r="O884" s="207" t="str">
        <x:v>17</x:v>
      </x:c>
      <x:c r="P884" s="207" t="n">
        <x:v>2</x:v>
      </x:c>
      <x:c r="Q884" s="208" t="str">
        <x:v>Wave 3 (61–90 дней)</x:v>
      </x:c>
    </x:row>
    <x:row r="885">
      <x:c r="A885" s="206" t="str">
        <x:v>DEC-00881</x:v>
      </x:c>
      <x:c r="B885" s="207" t="str">
        <x:v>Material master</x:v>
      </x:c>
      <x:c r="C885" s="207" t="str">
        <x:v>MAT-DRAFT-0052</x:v>
      </x:c>
      <x:c r="D885" s="207" t="str">
        <x:v>Unlinked</x:v>
      </x:c>
      <x:c r="E885" s="207" t="str">
        <x:v>1 строк; 7320.00 руб.; 4A-098</x:v>
      </x:c>
      <x:c r="F885" s="207" t="str">
        <x:v>Подтвердить карточку, UOM, состав, цвет, поставщика и правила объединения</x:v>
      </x:c>
      <x:c r="G885" s="207" t="str">
        <x:v>Закупки + склад</x:v>
      </x:c>
      <x:c r="H885" s="207" t="str">
        <x:v>Средний</x:v>
      </x:c>
      <x:c r="I885" s="207" t="str">
        <x:v>Material aging; BOM; procurement; actual usage</x:v>
      </x:c>
      <x:c r="J885" s="207" t="str">
        <x:v>Остатки ткани 31.05.2026</x:v>
      </x:c>
      <x:c r="K885" s="207" t="str"/>
      <x:c r="L885" s="207" t="str"/>
      <x:c r="M885" s="207" t="str">
        <x:v>Не рассмотрено</x:v>
      </x:c>
      <x:c r="N885" s="207" t="str"/>
      <x:c r="O885" s="207" t="str">
        <x:v>17</x:v>
      </x:c>
      <x:c r="P885" s="207" t="n">
        <x:v>2</x:v>
      </x:c>
      <x:c r="Q885" s="208" t="str">
        <x:v>Wave 3 (61–90 дней)</x:v>
      </x:c>
    </x:row>
    <x:row r="886">
      <x:c r="A886" s="206" t="str">
        <x:v>DEC-00882</x:v>
      </x:c>
      <x:c r="B886" s="207" t="str">
        <x:v>Material master</x:v>
      </x:c>
      <x:c r="C886" s="207" t="str">
        <x:v>MAT-DRAFT-0053</x:v>
      </x:c>
      <x:c r="D886" s="207" t="str">
        <x:v>Unlinked</x:v>
      </x:c>
      <x:c r="E886" s="207" t="str">
        <x:v>1 строк; 1830.00 руб.; 4A-100</x:v>
      </x:c>
      <x:c r="F886" s="207" t="str">
        <x:v>Подтвердить карточку, UOM, состав, цвет, поставщика и правила объединения</x:v>
      </x:c>
      <x:c r="G886" s="207" t="str">
        <x:v>Закупки + склад</x:v>
      </x:c>
      <x:c r="H886" s="207" t="str">
        <x:v>Средний</x:v>
      </x:c>
      <x:c r="I886" s="207" t="str">
        <x:v>Material aging; BOM; procurement; actual usage</x:v>
      </x:c>
      <x:c r="J886" s="207" t="str">
        <x:v>Остатки ткани 31.05.2026</x:v>
      </x:c>
      <x:c r="K886" s="207" t="str"/>
      <x:c r="L886" s="207" t="str"/>
      <x:c r="M886" s="207" t="str">
        <x:v>Не рассмотрено</x:v>
      </x:c>
      <x:c r="N886" s="207" t="str"/>
      <x:c r="O886" s="207" t="str">
        <x:v>17</x:v>
      </x:c>
      <x:c r="P886" s="207" t="n">
        <x:v>2</x:v>
      </x:c>
      <x:c r="Q886" s="208" t="str">
        <x:v>Wave 3 (61–90 дней)</x:v>
      </x:c>
    </x:row>
    <x:row r="887">
      <x:c r="A887" s="206" t="str">
        <x:v>DEC-00883</x:v>
      </x:c>
      <x:c r="B887" s="207" t="str">
        <x:v>Material master</x:v>
      </x:c>
      <x:c r="C887" s="207" t="str">
        <x:v>MAT-DRAFT-0054</x:v>
      </x:c>
      <x:c r="D887" s="207" t="str">
        <x:v>Unlinked</x:v>
      </x:c>
      <x:c r="E887" s="207" t="str">
        <x:v>4 строк; 18620.71 руб.; 4-007</x:v>
      </x:c>
      <x:c r="F887" s="207" t="str">
        <x:v>Подтвердить карточку, UOM, состав, цвет, поставщика и правила объединения</x:v>
      </x:c>
      <x:c r="G887" s="207" t="str">
        <x:v>Закупки + склад</x:v>
      </x:c>
      <x:c r="H887" s="207" t="str">
        <x:v>Высокий</x:v>
      </x:c>
      <x:c r="I887" s="207" t="str">
        <x:v>Material aging; BOM; procurement; actual usage</x:v>
      </x:c>
      <x:c r="J887" s="207" t="str">
        <x:v>Остатки ткани 31.05.2026</x:v>
      </x:c>
      <x:c r="K887" s="207" t="str"/>
      <x:c r="L887" s="207" t="str"/>
      <x:c r="M887" s="207" t="str">
        <x:v>Не рассмотрено</x:v>
      </x:c>
      <x:c r="N887" s="207" t="str"/>
      <x:c r="O887" s="207" t="str">
        <x:v>17</x:v>
      </x:c>
      <x:c r="P887" s="207" t="n">
        <x:v>3</x:v>
      </x:c>
      <x:c r="Q887" s="208" t="str">
        <x:v>Wave 2 (31–60 дней)</x:v>
      </x:c>
    </x:row>
    <x:row r="888">
      <x:c r="A888" s="206" t="str">
        <x:v>DEC-00884</x:v>
      </x:c>
      <x:c r="B888" s="207" t="str">
        <x:v>Material master</x:v>
      </x:c>
      <x:c r="C888" s="207" t="str">
        <x:v>MAT-DRAFT-0055</x:v>
      </x:c>
      <x:c r="D888" s="207" t="str">
        <x:v>Unlinked</x:v>
      </x:c>
      <x:c r="E888" s="207" t="str">
        <x:v>1 строк; 2200.00 руб.; 12-012</x:v>
      </x:c>
      <x:c r="F888" s="207" t="str">
        <x:v>Подтвердить карточку, UOM, состав, цвет, поставщика и правила объединения</x:v>
      </x:c>
      <x:c r="G888" s="207" t="str">
        <x:v>Закупки + склад</x:v>
      </x:c>
      <x:c r="H888" s="207" t="str">
        <x:v>Средний</x:v>
      </x:c>
      <x:c r="I888" s="207" t="str">
        <x:v>Material aging; BOM; procurement; actual usage</x:v>
      </x:c>
      <x:c r="J888" s="207" t="str">
        <x:v>Остатки ткани 31.05.2026</x:v>
      </x:c>
      <x:c r="K888" s="207" t="str"/>
      <x:c r="L888" s="207" t="str"/>
      <x:c r="M888" s="207" t="str">
        <x:v>Не рассмотрено</x:v>
      </x:c>
      <x:c r="N888" s="207" t="str"/>
      <x:c r="O888" s="207" t="str">
        <x:v>17</x:v>
      </x:c>
      <x:c r="P888" s="207" t="n">
        <x:v>2</x:v>
      </x:c>
      <x:c r="Q888" s="208" t="str">
        <x:v>Wave 3 (61–90 дней)</x:v>
      </x:c>
    </x:row>
    <x:row r="889">
      <x:c r="A889" s="206" t="str">
        <x:v>DEC-00885</x:v>
      </x:c>
      <x:c r="B889" s="207" t="str">
        <x:v>Material master</x:v>
      </x:c>
      <x:c r="C889" s="207" t="str">
        <x:v>MAT-DRAFT-0056</x:v>
      </x:c>
      <x:c r="D889" s="207" t="str">
        <x:v>Unlinked</x:v>
      </x:c>
      <x:c r="E889" s="207" t="str">
        <x:v>1 строк; 6160.00 руб.; 12-010</x:v>
      </x:c>
      <x:c r="F889" s="207" t="str">
        <x:v>Подтвердить карточку, UOM, состав, цвет, поставщика и правила объединения</x:v>
      </x:c>
      <x:c r="G889" s="207" t="str">
        <x:v>Закупки + склад</x:v>
      </x:c>
      <x:c r="H889" s="207" t="str">
        <x:v>Средний</x:v>
      </x:c>
      <x:c r="I889" s="207" t="str">
        <x:v>Material aging; BOM; procurement; actual usage</x:v>
      </x:c>
      <x:c r="J889" s="207" t="str">
        <x:v>Остатки ткани 31.05.2026</x:v>
      </x:c>
      <x:c r="K889" s="207" t="str"/>
      <x:c r="L889" s="207" t="str"/>
      <x:c r="M889" s="207" t="str">
        <x:v>Не рассмотрено</x:v>
      </x:c>
      <x:c r="N889" s="207" t="str"/>
      <x:c r="O889" s="207" t="str">
        <x:v>17</x:v>
      </x:c>
      <x:c r="P889" s="207" t="n">
        <x:v>2</x:v>
      </x:c>
      <x:c r="Q889" s="208" t="str">
        <x:v>Wave 3 (61–90 дней)</x:v>
      </x:c>
    </x:row>
    <x:row r="890">
      <x:c r="A890" s="206" t="str">
        <x:v>DEC-00886</x:v>
      </x:c>
      <x:c r="B890" s="207" t="str">
        <x:v>Material master</x:v>
      </x:c>
      <x:c r="C890" s="207" t="str">
        <x:v>MAT-DRAFT-0057</x:v>
      </x:c>
      <x:c r="D890" s="207" t="str">
        <x:v>Unlinked</x:v>
      </x:c>
      <x:c r="E890" s="207" t="str">
        <x:v>1 строк; 15750.00 руб.; 12-060</x:v>
      </x:c>
      <x:c r="F890" s="207" t="str">
        <x:v>Подтвердить карточку, UOM, состав, цвет, поставщика и правила объединения</x:v>
      </x:c>
      <x:c r="G890" s="207" t="str">
        <x:v>Закупки + склад</x:v>
      </x:c>
      <x:c r="H890" s="207" t="str">
        <x:v>Высокий</x:v>
      </x:c>
      <x:c r="I890" s="207" t="str">
        <x:v>Material aging; BOM; procurement; actual usage</x:v>
      </x:c>
      <x:c r="J890" s="207" t="str">
        <x:v>Остатки ткани 31.05.2026</x:v>
      </x:c>
      <x:c r="K890" s="207" t="str"/>
      <x:c r="L890" s="207" t="str"/>
      <x:c r="M890" s="207" t="str">
        <x:v>Не рассмотрено</x:v>
      </x:c>
      <x:c r="N890" s="207" t="str"/>
      <x:c r="O890" s="207" t="str">
        <x:v>17</x:v>
      </x:c>
      <x:c r="P890" s="207" t="n">
        <x:v>3</x:v>
      </x:c>
      <x:c r="Q890" s="208" t="str">
        <x:v>Wave 2 (31–60 дней)</x:v>
      </x:c>
    </x:row>
    <x:row r="891">
      <x:c r="A891" s="206" t="str">
        <x:v>DEC-00887</x:v>
      </x:c>
      <x:c r="B891" s="207" t="str">
        <x:v>Material master</x:v>
      </x:c>
      <x:c r="C891" s="207" t="str">
        <x:v>MAT-DRAFT-0058</x:v>
      </x:c>
      <x:c r="D891" s="207" t="str">
        <x:v>Unlinked</x:v>
      </x:c>
      <x:c r="E891" s="207" t="str">
        <x:v>1 строк; 21000.00 руб.; 12-059</x:v>
      </x:c>
      <x:c r="F891" s="207" t="str">
        <x:v>Подтвердить карточку, UOM, состав, цвет, поставщика и правила объединения</x:v>
      </x:c>
      <x:c r="G891" s="207" t="str">
        <x:v>Закупки + склад</x:v>
      </x:c>
      <x:c r="H891" s="207" t="str">
        <x:v>Высокий</x:v>
      </x:c>
      <x:c r="I891" s="207" t="str">
        <x:v>Material aging; BOM; procurement; actual usage</x:v>
      </x:c>
      <x:c r="J891" s="207" t="str">
        <x:v>Остатки ткани 31.05.2026</x:v>
      </x:c>
      <x:c r="K891" s="207" t="str"/>
      <x:c r="L891" s="207" t="str"/>
      <x:c r="M891" s="207" t="str">
        <x:v>Не рассмотрено</x:v>
      </x:c>
      <x:c r="N891" s="207" t="str"/>
      <x:c r="O891" s="207" t="str">
        <x:v>17</x:v>
      </x:c>
      <x:c r="P891" s="207" t="n">
        <x:v>3</x:v>
      </x:c>
      <x:c r="Q891" s="208" t="str">
        <x:v>Wave 2 (31–60 дней)</x:v>
      </x:c>
    </x:row>
    <x:row r="892">
      <x:c r="A892" s="206" t="str">
        <x:v>DEC-00888</x:v>
      </x:c>
      <x:c r="B892" s="207" t="str">
        <x:v>Material master</x:v>
      </x:c>
      <x:c r="C892" s="207" t="str">
        <x:v>MAT-DRAFT-0060</x:v>
      </x:c>
      <x:c r="D892" s="207" t="str">
        <x:v>Unlinked</x:v>
      </x:c>
      <x:c r="E892" s="207" t="str">
        <x:v>2 строк; 280695.00 руб.; 12-090</x:v>
      </x:c>
      <x:c r="F892" s="207" t="str">
        <x:v>Подтвердить карточку, UOM, состав, цвет, поставщика и правила объединения</x:v>
      </x:c>
      <x:c r="G892" s="207" t="str">
        <x:v>Закупки + склад</x:v>
      </x:c>
      <x:c r="H892" s="207" t="str">
        <x:v>Критический</x:v>
      </x:c>
      <x:c r="I892" s="207" t="str">
        <x:v>Material aging; BOM; procurement; actual usage</x:v>
      </x:c>
      <x:c r="J892" s="207" t="str">
        <x:v>Остатки ткани 31.05.2026</x:v>
      </x:c>
      <x:c r="K892" s="207" t="str"/>
      <x:c r="L892" s="207" t="str"/>
      <x:c r="M892" s="207" t="str">
        <x:v>Не рассмотрено</x:v>
      </x:c>
      <x:c r="N892" s="207" t="str"/>
      <x:c r="O892" s="207" t="str">
        <x:v>17</x:v>
      </x:c>
      <x:c r="P892" s="207" t="n">
        <x:v>4</x:v>
      </x:c>
      <x:c r="Q892" s="208" t="str">
        <x:v>Wave 1 (0–30 дней)</x:v>
      </x:c>
    </x:row>
    <x:row r="893">
      <x:c r="A893" s="206" t="str">
        <x:v>DEC-00889</x:v>
      </x:c>
      <x:c r="B893" s="207" t="str">
        <x:v>Material master</x:v>
      </x:c>
      <x:c r="C893" s="207" t="str">
        <x:v>MAT-DRAFT-0061</x:v>
      </x:c>
      <x:c r="D893" s="207" t="str">
        <x:v>Unlinked</x:v>
      </x:c>
      <x:c r="E893" s="207" t="str">
        <x:v>1 строк; 8680.00 руб.; 12-062</x:v>
      </x:c>
      <x:c r="F893" s="207" t="str">
        <x:v>Подтвердить карточку, UOM, состав, цвет, поставщика и правила объединения</x:v>
      </x:c>
      <x:c r="G893" s="207" t="str">
        <x:v>Закупки + склад</x:v>
      </x:c>
      <x:c r="H893" s="207" t="str">
        <x:v>Средний</x:v>
      </x:c>
      <x:c r="I893" s="207" t="str">
        <x:v>Material aging; BOM; procurement; actual usage</x:v>
      </x:c>
      <x:c r="J893" s="207" t="str">
        <x:v>Остатки ткани 31.05.2026</x:v>
      </x:c>
      <x:c r="K893" s="207" t="str"/>
      <x:c r="L893" s="207" t="str"/>
      <x:c r="M893" s="207" t="str">
        <x:v>Не рассмотрено</x:v>
      </x:c>
      <x:c r="N893" s="207" t="str"/>
      <x:c r="O893" s="207" t="str">
        <x:v>17</x:v>
      </x:c>
      <x:c r="P893" s="207" t="n">
        <x:v>2</x:v>
      </x:c>
      <x:c r="Q893" s="208" t="str">
        <x:v>Wave 3 (61–90 дней)</x:v>
      </x:c>
    </x:row>
    <x:row r="894">
      <x:c r="A894" s="206" t="str">
        <x:v>DEC-00890</x:v>
      </x:c>
      <x:c r="B894" s="207" t="str">
        <x:v>Material master</x:v>
      </x:c>
      <x:c r="C894" s="207" t="str">
        <x:v>MAT-DRAFT-0062</x:v>
      </x:c>
      <x:c r="D894" s="207" t="str">
        <x:v>Unlinked</x:v>
      </x:c>
      <x:c r="E894" s="207" t="str">
        <x:v>2 строк; 8910.00 руб.; 12-053</x:v>
      </x:c>
      <x:c r="F894" s="207" t="str">
        <x:v>Подтвердить карточку, UOM, состав, цвет, поставщика и правила объединения</x:v>
      </x:c>
      <x:c r="G894" s="207" t="str">
        <x:v>Закупки + склад</x:v>
      </x:c>
      <x:c r="H894" s="207" t="str">
        <x:v>Средний</x:v>
      </x:c>
      <x:c r="I894" s="207" t="str">
        <x:v>Material aging; BOM; procurement; actual usage</x:v>
      </x:c>
      <x:c r="J894" s="207" t="str">
        <x:v>Остатки ткани 31.05.2026</x:v>
      </x:c>
      <x:c r="K894" s="207" t="str"/>
      <x:c r="L894" s="207" t="str"/>
      <x:c r="M894" s="207" t="str">
        <x:v>Не рассмотрено</x:v>
      </x:c>
      <x:c r="N894" s="207" t="str"/>
      <x:c r="O894" s="207" t="str">
        <x:v>17</x:v>
      </x:c>
      <x:c r="P894" s="207" t="n">
        <x:v>2</x:v>
      </x:c>
      <x:c r="Q894" s="208" t="str">
        <x:v>Wave 3 (61–90 дней)</x:v>
      </x:c>
    </x:row>
    <x:row r="895">
      <x:c r="A895" s="206" t="str">
        <x:v>DEC-00891</x:v>
      </x:c>
      <x:c r="B895" s="207" t="str">
        <x:v>Material master</x:v>
      </x:c>
      <x:c r="C895" s="207" t="str">
        <x:v>MAT-DRAFT-0063</x:v>
      </x:c>
      <x:c r="D895" s="207" t="str">
        <x:v>Unlinked</x:v>
      </x:c>
      <x:c r="E895" s="207" t="str">
        <x:v>1 строк; 9000.00 руб.; 12-019</x:v>
      </x:c>
      <x:c r="F895" s="207" t="str">
        <x:v>Подтвердить карточку, UOM, состав, цвет, поставщика и правила объединения</x:v>
      </x:c>
      <x:c r="G895" s="207" t="str">
        <x:v>Закупки + склад</x:v>
      </x:c>
      <x:c r="H895" s="207" t="str">
        <x:v>Средний</x:v>
      </x:c>
      <x:c r="I895" s="207" t="str">
        <x:v>Material aging; BOM; procurement; actual usage</x:v>
      </x:c>
      <x:c r="J895" s="207" t="str">
        <x:v>Остатки ткани 31.05.2026</x:v>
      </x:c>
      <x:c r="K895" s="207" t="str"/>
      <x:c r="L895" s="207" t="str"/>
      <x:c r="M895" s="207" t="str">
        <x:v>Не рассмотрено</x:v>
      </x:c>
      <x:c r="N895" s="207" t="str"/>
      <x:c r="O895" s="207" t="str">
        <x:v>17</x:v>
      </x:c>
      <x:c r="P895" s="207" t="n">
        <x:v>2</x:v>
      </x:c>
      <x:c r="Q895" s="208" t="str">
        <x:v>Wave 3 (61–90 дней)</x:v>
      </x:c>
    </x:row>
    <x:row r="896">
      <x:c r="A896" s="206" t="str">
        <x:v>DEC-00892</x:v>
      </x:c>
      <x:c r="B896" s="207" t="str">
        <x:v>Material master</x:v>
      </x:c>
      <x:c r="C896" s="207" t="str">
        <x:v>MAT-DRAFT-0064</x:v>
      </x:c>
      <x:c r="D896" s="207" t="str">
        <x:v>Unlinked</x:v>
      </x:c>
      <x:c r="E896" s="207" t="str">
        <x:v>1 строк; 42900.00 руб.; 12-030</x:v>
      </x:c>
      <x:c r="F896" s="207" t="str">
        <x:v>Подтвердить карточку, UOM, состав, цвет, поставщика и правила объединения</x:v>
      </x:c>
      <x:c r="G896" s="207" t="str">
        <x:v>Закупки + склад</x:v>
      </x:c>
      <x:c r="H896" s="207" t="str">
        <x:v>Высокий</x:v>
      </x:c>
      <x:c r="I896" s="207" t="str">
        <x:v>Material aging; BOM; procurement; actual usage</x:v>
      </x:c>
      <x:c r="J896" s="207" t="str">
        <x:v>Остатки ткани 31.05.2026</x:v>
      </x:c>
      <x:c r="K896" s="207" t="str"/>
      <x:c r="L896" s="207" t="str"/>
      <x:c r="M896" s="207" t="str">
        <x:v>Не рассмотрено</x:v>
      </x:c>
      <x:c r="N896" s="207" t="str"/>
      <x:c r="O896" s="207" t="str">
        <x:v>17</x:v>
      </x:c>
      <x:c r="P896" s="207" t="n">
        <x:v>3</x:v>
      </x:c>
      <x:c r="Q896" s="208" t="str">
        <x:v>Wave 2 (31–60 дней)</x:v>
      </x:c>
    </x:row>
    <x:row r="897">
      <x:c r="A897" s="206" t="str">
        <x:v>DEC-00893</x:v>
      </x:c>
      <x:c r="B897" s="207" t="str">
        <x:v>Material master</x:v>
      </x:c>
      <x:c r="C897" s="207" t="str">
        <x:v>MAT-DRAFT-0065</x:v>
      </x:c>
      <x:c r="D897" s="207" t="str">
        <x:v>Unlinked</x:v>
      </x:c>
      <x:c r="E897" s="207" t="str">
        <x:v>1 строк; 11220.00 руб.; 12-031</x:v>
      </x:c>
      <x:c r="F897" s="207" t="str">
        <x:v>Подтвердить карточку, UOM, состав, цвет, поставщика и правила объединения</x:v>
      </x:c>
      <x:c r="G897" s="207" t="str">
        <x:v>Закупки + склад</x:v>
      </x:c>
      <x:c r="H897" s="207" t="str">
        <x:v>Высокий</x:v>
      </x:c>
      <x:c r="I897" s="207" t="str">
        <x:v>Material aging; BOM; procurement; actual usage</x:v>
      </x:c>
      <x:c r="J897" s="207" t="str">
        <x:v>Остатки ткани 31.05.2026</x:v>
      </x:c>
      <x:c r="K897" s="207" t="str"/>
      <x:c r="L897" s="207" t="str"/>
      <x:c r="M897" s="207" t="str">
        <x:v>Не рассмотрено</x:v>
      </x:c>
      <x:c r="N897" s="207" t="str"/>
      <x:c r="O897" s="207" t="str">
        <x:v>17</x:v>
      </x:c>
      <x:c r="P897" s="207" t="n">
        <x:v>3</x:v>
      </x:c>
      <x:c r="Q897" s="208" t="str">
        <x:v>Wave 2 (31–60 дней)</x:v>
      </x:c>
    </x:row>
    <x:row r="898">
      <x:c r="A898" s="206" t="str">
        <x:v>DEC-00894</x:v>
      </x:c>
      <x:c r="B898" s="207" t="str">
        <x:v>Material master</x:v>
      </x:c>
      <x:c r="C898" s="207" t="str">
        <x:v>MAT-DRAFT-0066</x:v>
      </x:c>
      <x:c r="D898" s="207" t="str">
        <x:v>Unlinked</x:v>
      </x:c>
      <x:c r="E898" s="207" t="str">
        <x:v>1 строк; 13800.00 руб.; 12-057</x:v>
      </x:c>
      <x:c r="F898" s="207" t="str">
        <x:v>Подтвердить карточку, UOM, состав, цвет, поставщика и правила объединения</x:v>
      </x:c>
      <x:c r="G898" s="207" t="str">
        <x:v>Закупки + склад</x:v>
      </x:c>
      <x:c r="H898" s="207" t="str">
        <x:v>Высокий</x:v>
      </x:c>
      <x:c r="I898" s="207" t="str">
        <x:v>Material aging; BOM; procurement; actual usage</x:v>
      </x:c>
      <x:c r="J898" s="207" t="str">
        <x:v>Остатки ткани 31.05.2026</x:v>
      </x:c>
      <x:c r="K898" s="207" t="str"/>
      <x:c r="L898" s="207" t="str"/>
      <x:c r="M898" s="207" t="str">
        <x:v>Не рассмотрено</x:v>
      </x:c>
      <x:c r="N898" s="207" t="str"/>
      <x:c r="O898" s="207" t="str">
        <x:v>17</x:v>
      </x:c>
      <x:c r="P898" s="207" t="n">
        <x:v>3</x:v>
      </x:c>
      <x:c r="Q898" s="208" t="str">
        <x:v>Wave 2 (31–60 дней)</x:v>
      </x:c>
    </x:row>
    <x:row r="899">
      <x:c r="A899" s="206" t="str">
        <x:v>DEC-00895</x:v>
      </x:c>
      <x:c r="B899" s="207" t="str">
        <x:v>Material master</x:v>
      </x:c>
      <x:c r="C899" s="207" t="str">
        <x:v>MAT-DRAFT-0067</x:v>
      </x:c>
      <x:c r="D899" s="207" t="str">
        <x:v>Unlinked</x:v>
      </x:c>
      <x:c r="E899" s="207" t="str">
        <x:v>1 строк; 21300.00 руб.; 12-056</x:v>
      </x:c>
      <x:c r="F899" s="207" t="str">
        <x:v>Подтвердить карточку, UOM, состав, цвет, поставщика и правила объединения</x:v>
      </x:c>
      <x:c r="G899" s="207" t="str">
        <x:v>Закупки + склад</x:v>
      </x:c>
      <x:c r="H899" s="207" t="str">
        <x:v>Высокий</x:v>
      </x:c>
      <x:c r="I899" s="207" t="str">
        <x:v>Material aging; BOM; procurement; actual usage</x:v>
      </x:c>
      <x:c r="J899" s="207" t="str">
        <x:v>Остатки ткани 31.05.2026</x:v>
      </x:c>
      <x:c r="K899" s="207" t="str"/>
      <x:c r="L899" s="207" t="str"/>
      <x:c r="M899" s="207" t="str">
        <x:v>Не рассмотрено</x:v>
      </x:c>
      <x:c r="N899" s="207" t="str"/>
      <x:c r="O899" s="207" t="str">
        <x:v>17</x:v>
      </x:c>
      <x:c r="P899" s="207" t="n">
        <x:v>3</x:v>
      </x:c>
      <x:c r="Q899" s="208" t="str">
        <x:v>Wave 2 (31–60 дней)</x:v>
      </x:c>
    </x:row>
    <x:row r="900">
      <x:c r="A900" s="206" t="str">
        <x:v>DEC-00896</x:v>
      </x:c>
      <x:c r="B900" s="207" t="str">
        <x:v>Material master</x:v>
      </x:c>
      <x:c r="C900" s="207" t="str">
        <x:v>MAT-DRAFT-0068</x:v>
      </x:c>
      <x:c r="D900" s="207" t="str">
        <x:v>Несколько кодов; Несколько исходных наименований</x:v>
      </x:c>
      <x:c r="E900" s="207" t="str">
        <x:v>2 строк; 16920.00 руб.; 12-051; 12-055</x:v>
      </x:c>
      <x:c r="F900" s="207" t="str">
        <x:v>Подтвердить карточку, UOM, состав, цвет, поставщика и правила объединения</x:v>
      </x:c>
      <x:c r="G900" s="207" t="str">
        <x:v>Закупки + склад</x:v>
      </x:c>
      <x:c r="H900" s="207" t="str">
        <x:v>Высокий</x:v>
      </x:c>
      <x:c r="I900" s="207" t="str">
        <x:v>Material aging; BOM; procurement; actual usage</x:v>
      </x:c>
      <x:c r="J900" s="207" t="str">
        <x:v>Остатки ткани 31.05.2026</x:v>
      </x:c>
      <x:c r="K900" s="207" t="str"/>
      <x:c r="L900" s="207" t="str"/>
      <x:c r="M900" s="207" t="str">
        <x:v>Не рассмотрено</x:v>
      </x:c>
      <x:c r="N900" s="207" t="str"/>
      <x:c r="O900" s="207" t="str">
        <x:v>17</x:v>
      </x:c>
      <x:c r="P900" s="207" t="n">
        <x:v>3</x:v>
      </x:c>
      <x:c r="Q900" s="208" t="str">
        <x:v>Wave 2 (31–60 дней)</x:v>
      </x:c>
    </x:row>
    <x:row r="901">
      <x:c r="A901" s="206" t="str">
        <x:v>DEC-00897</x:v>
      </x:c>
      <x:c r="B901" s="207" t="str">
        <x:v>Material master</x:v>
      </x:c>
      <x:c r="C901" s="207" t="str">
        <x:v>MAT-DRAFT-0069</x:v>
      </x:c>
      <x:c r="D901" s="207" t="str">
        <x:v>Unlinked</x:v>
      </x:c>
      <x:c r="E901" s="207" t="str">
        <x:v>1 строк; 19800.00 руб.; 12-054</x:v>
      </x:c>
      <x:c r="F901" s="207" t="str">
        <x:v>Подтвердить карточку, UOM, состав, цвет, поставщика и правила объединения</x:v>
      </x:c>
      <x:c r="G901" s="207" t="str">
        <x:v>Закупки + склад</x:v>
      </x:c>
      <x:c r="H901" s="207" t="str">
        <x:v>Высокий</x:v>
      </x:c>
      <x:c r="I901" s="207" t="str">
        <x:v>Material aging; BOM; procurement; actual usage</x:v>
      </x:c>
      <x:c r="J901" s="207" t="str">
        <x:v>Остатки ткани 31.05.2026</x:v>
      </x:c>
      <x:c r="K901" s="207" t="str"/>
      <x:c r="L901" s="207" t="str"/>
      <x:c r="M901" s="207" t="str">
        <x:v>Не рассмотрено</x:v>
      </x:c>
      <x:c r="N901" s="207" t="str"/>
      <x:c r="O901" s="207" t="str">
        <x:v>17</x:v>
      </x:c>
      <x:c r="P901" s="207" t="n">
        <x:v>3</x:v>
      </x:c>
      <x:c r="Q901" s="208" t="str">
        <x:v>Wave 2 (31–60 дней)</x:v>
      </x:c>
    </x:row>
    <x:row r="902">
      <x:c r="A902" s="206" t="str">
        <x:v>DEC-00898</x:v>
      </x:c>
      <x:c r="B902" s="207" t="str">
        <x:v>Material master</x:v>
      </x:c>
      <x:c r="C902" s="207" t="str">
        <x:v>MAT-DRAFT-0070</x:v>
      </x:c>
      <x:c r="D902" s="207" t="str">
        <x:v>Unlinked</x:v>
      </x:c>
      <x:c r="E902" s="207" t="str">
        <x:v>1 строк; 38775.00 руб.; 12-036</x:v>
      </x:c>
      <x:c r="F902" s="207" t="str">
        <x:v>Подтвердить карточку, UOM, состав, цвет, поставщика и правила объединения</x:v>
      </x:c>
      <x:c r="G902" s="207" t="str">
        <x:v>Закупки + склад</x:v>
      </x:c>
      <x:c r="H902" s="207" t="str">
        <x:v>Высокий</x:v>
      </x:c>
      <x:c r="I902" s="207" t="str">
        <x:v>Material aging; BOM; procurement; actual usage</x:v>
      </x:c>
      <x:c r="J902" s="207" t="str">
        <x:v>Остатки ткани 31.05.2026</x:v>
      </x:c>
      <x:c r="K902" s="207" t="str"/>
      <x:c r="L902" s="207" t="str"/>
      <x:c r="M902" s="207" t="str">
        <x:v>Не рассмотрено</x:v>
      </x:c>
      <x:c r="N902" s="207" t="str"/>
      <x:c r="O902" s="207" t="str">
        <x:v>17</x:v>
      </x:c>
      <x:c r="P902" s="207" t="n">
        <x:v>3</x:v>
      </x:c>
      <x:c r="Q902" s="208" t="str">
        <x:v>Wave 2 (31–60 дней)</x:v>
      </x:c>
    </x:row>
    <x:row r="903">
      <x:c r="A903" s="206" t="str">
        <x:v>DEC-00899</x:v>
      </x:c>
      <x:c r="B903" s="207" t="str">
        <x:v>Material master</x:v>
      </x:c>
      <x:c r="C903" s="207" t="str">
        <x:v>MAT-DRAFT-0071</x:v>
      </x:c>
      <x:c r="D903" s="207" t="str">
        <x:v>Unlinked</x:v>
      </x:c>
      <x:c r="E903" s="207" t="str">
        <x:v>1 строк; 5500.00 руб.; 12-003</x:v>
      </x:c>
      <x:c r="F903" s="207" t="str">
        <x:v>Подтвердить карточку, UOM, состав, цвет, поставщика и правила объединения</x:v>
      </x:c>
      <x:c r="G903" s="207" t="str">
        <x:v>Закупки + склад</x:v>
      </x:c>
      <x:c r="H903" s="207" t="str">
        <x:v>Средний</x:v>
      </x:c>
      <x:c r="I903" s="207" t="str">
        <x:v>Material aging; BOM; procurement; actual usage</x:v>
      </x:c>
      <x:c r="J903" s="207" t="str">
        <x:v>Остатки ткани 31.05.2026</x:v>
      </x:c>
      <x:c r="K903" s="207" t="str"/>
      <x:c r="L903" s="207" t="str"/>
      <x:c r="M903" s="207" t="str">
        <x:v>Не рассмотрено</x:v>
      </x:c>
      <x:c r="N903" s="207" t="str"/>
      <x:c r="O903" s="207" t="str">
        <x:v>17</x:v>
      </x:c>
      <x:c r="P903" s="207" t="n">
        <x:v>2</x:v>
      </x:c>
      <x:c r="Q903" s="208" t="str">
        <x:v>Wave 3 (61–90 дней)</x:v>
      </x:c>
    </x:row>
    <x:row r="904">
      <x:c r="A904" s="206" t="str">
        <x:v>DEC-00900</x:v>
      </x:c>
      <x:c r="B904" s="207" t="str">
        <x:v>Material master</x:v>
      </x:c>
      <x:c r="C904" s="207" t="str">
        <x:v>MAT-DRAFT-0072</x:v>
      </x:c>
      <x:c r="D904" s="207" t="str">
        <x:v>Unlinked</x:v>
      </x:c>
      <x:c r="E904" s="207" t="str">
        <x:v>1 строк; 2150.00 руб.; 12-047</x:v>
      </x:c>
      <x:c r="F904" s="207" t="str">
        <x:v>Подтвердить карточку, UOM, состав, цвет, поставщика и правила объединения</x:v>
      </x:c>
      <x:c r="G904" s="207" t="str">
        <x:v>Закупки + склад</x:v>
      </x:c>
      <x:c r="H904" s="207" t="str">
        <x:v>Средний</x:v>
      </x:c>
      <x:c r="I904" s="207" t="str">
        <x:v>Material aging; BOM; procurement; actual usage</x:v>
      </x:c>
      <x:c r="J904" s="207" t="str">
        <x:v>Остатки ткани 31.05.2026</x:v>
      </x:c>
      <x:c r="K904" s="207" t="str"/>
      <x:c r="L904" s="207" t="str"/>
      <x:c r="M904" s="207" t="str">
        <x:v>Не рассмотрено</x:v>
      </x:c>
      <x:c r="N904" s="207" t="str"/>
      <x:c r="O904" s="207" t="str">
        <x:v>17</x:v>
      </x:c>
      <x:c r="P904" s="207" t="n">
        <x:v>2</x:v>
      </x:c>
      <x:c r="Q904" s="208" t="str">
        <x:v>Wave 3 (61–90 дней)</x:v>
      </x:c>
    </x:row>
    <x:row r="905">
      <x:c r="A905" s="206" t="str">
        <x:v>DEC-00901</x:v>
      </x:c>
      <x:c r="B905" s="207" t="str">
        <x:v>Material master</x:v>
      </x:c>
      <x:c r="C905" s="207" t="str">
        <x:v>MAT-DRAFT-0073</x:v>
      </x:c>
      <x:c r="D905" s="207" t="str">
        <x:v>Unlinked</x:v>
      </x:c>
      <x:c r="E905" s="207" t="str">
        <x:v>1 строк; 5280.00 руб.; 12-013</x:v>
      </x:c>
      <x:c r="F905" s="207" t="str">
        <x:v>Подтвердить карточку, UOM, состав, цвет, поставщика и правила объединения</x:v>
      </x:c>
      <x:c r="G905" s="207" t="str">
        <x:v>Закупки + склад</x:v>
      </x:c>
      <x:c r="H905" s="207" t="str">
        <x:v>Средний</x:v>
      </x:c>
      <x:c r="I905" s="207" t="str">
        <x:v>Material aging; BOM; procurement; actual usage</x:v>
      </x:c>
      <x:c r="J905" s="207" t="str">
        <x:v>Остатки ткани 31.05.2026</x:v>
      </x:c>
      <x:c r="K905" s="207" t="str"/>
      <x:c r="L905" s="207" t="str"/>
      <x:c r="M905" s="207" t="str">
        <x:v>Не рассмотрено</x:v>
      </x:c>
      <x:c r="N905" s="207" t="str"/>
      <x:c r="O905" s="207" t="str">
        <x:v>17</x:v>
      </x:c>
      <x:c r="P905" s="207" t="n">
        <x:v>2</x:v>
      </x:c>
      <x:c r="Q905" s="208" t="str">
        <x:v>Wave 3 (61–90 дней)</x:v>
      </x:c>
    </x:row>
    <x:row r="906">
      <x:c r="A906" s="206" t="str">
        <x:v>DEC-00902</x:v>
      </x:c>
      <x:c r="B906" s="207" t="str">
        <x:v>Material master</x:v>
      </x:c>
      <x:c r="C906" s="207" t="str">
        <x:v>MAT-DRAFT-0074</x:v>
      </x:c>
      <x:c r="D906" s="207" t="str">
        <x:v>Unlinked</x:v>
      </x:c>
      <x:c r="E906" s="207" t="str">
        <x:v>1 строк; 4200.00 руб.; 12-040</x:v>
      </x:c>
      <x:c r="F906" s="207" t="str">
        <x:v>Подтвердить карточку, UOM, состав, цвет, поставщика и правила объединения</x:v>
      </x:c>
      <x:c r="G906" s="207" t="str">
        <x:v>Закупки + склад</x:v>
      </x:c>
      <x:c r="H906" s="207" t="str">
        <x:v>Средний</x:v>
      </x:c>
      <x:c r="I906" s="207" t="str">
        <x:v>Material aging; BOM; procurement; actual usage</x:v>
      </x:c>
      <x:c r="J906" s="207" t="str">
        <x:v>Остатки ткани 31.05.2026</x:v>
      </x:c>
      <x:c r="K906" s="207" t="str"/>
      <x:c r="L906" s="207" t="str"/>
      <x:c r="M906" s="207" t="str">
        <x:v>Не рассмотрено</x:v>
      </x:c>
      <x:c r="N906" s="207" t="str"/>
      <x:c r="O906" s="207" t="str">
        <x:v>17</x:v>
      </x:c>
      <x:c r="P906" s="207" t="n">
        <x:v>2</x:v>
      </x:c>
      <x:c r="Q906" s="208" t="str">
        <x:v>Wave 3 (61–90 дней)</x:v>
      </x:c>
    </x:row>
    <x:row r="907">
      <x:c r="A907" s="206" t="str">
        <x:v>DEC-00903</x:v>
      </x:c>
      <x:c r="B907" s="207" t="str">
        <x:v>Material master</x:v>
      </x:c>
      <x:c r="C907" s="207" t="str">
        <x:v>MAT-DRAFT-0075</x:v>
      </x:c>
      <x:c r="D907" s="207" t="str">
        <x:v>Unlinked</x:v>
      </x:c>
      <x:c r="E907" s="207" t="str">
        <x:v>1 строк; 118800.00 руб.; 12-034</x:v>
      </x:c>
      <x:c r="F907" s="207" t="str">
        <x:v>Подтвердить карточку, UOM, состав, цвет, поставщика и правила объединения</x:v>
      </x:c>
      <x:c r="G907" s="207" t="str">
        <x:v>Закупки + склад</x:v>
      </x:c>
      <x:c r="H907" s="207" t="str">
        <x:v>Критический</x:v>
      </x:c>
      <x:c r="I907" s="207" t="str">
        <x:v>Material aging; BOM; procurement; actual usage</x:v>
      </x:c>
      <x:c r="J907" s="207" t="str">
        <x:v>Остатки ткани 31.05.2026</x:v>
      </x:c>
      <x:c r="K907" s="207" t="str"/>
      <x:c r="L907" s="207" t="str"/>
      <x:c r="M907" s="207" t="str">
        <x:v>Не рассмотрено</x:v>
      </x:c>
      <x:c r="N907" s="207" t="str"/>
      <x:c r="O907" s="207" t="str">
        <x:v>17</x:v>
      </x:c>
      <x:c r="P907" s="207" t="n">
        <x:v>4</x:v>
      </x:c>
      <x:c r="Q907" s="208" t="str">
        <x:v>Wave 1 (0–30 дней)</x:v>
      </x:c>
    </x:row>
    <x:row r="908">
      <x:c r="A908" s="206" t="str">
        <x:v>DEC-00904</x:v>
      </x:c>
      <x:c r="B908" s="207" t="str">
        <x:v>Material master</x:v>
      </x:c>
      <x:c r="C908" s="207" t="str">
        <x:v>MAT-DRAFT-0076</x:v>
      </x:c>
      <x:c r="D908" s="207" t="str">
        <x:v>Unlinked</x:v>
      </x:c>
      <x:c r="E908" s="207" t="str">
        <x:v>1 строк; 5760.00 руб.; 12-070</x:v>
      </x:c>
      <x:c r="F908" s="207" t="str">
        <x:v>Подтвердить карточку, UOM, состав, цвет, поставщика и правила объединения</x:v>
      </x:c>
      <x:c r="G908" s="207" t="str">
        <x:v>Закупки + склад</x:v>
      </x:c>
      <x:c r="H908" s="207" t="str">
        <x:v>Средний</x:v>
      </x:c>
      <x:c r="I908" s="207" t="str">
        <x:v>Material aging; BOM; procurement; actual usage</x:v>
      </x:c>
      <x:c r="J908" s="207" t="str">
        <x:v>Остатки ткани 31.05.2026</x:v>
      </x:c>
      <x:c r="K908" s="207" t="str"/>
      <x:c r="L908" s="207" t="str"/>
      <x:c r="M908" s="207" t="str">
        <x:v>Не рассмотрено</x:v>
      </x:c>
      <x:c r="N908" s="207" t="str"/>
      <x:c r="O908" s="207" t="str">
        <x:v>17</x:v>
      </x:c>
      <x:c r="P908" s="207" t="n">
        <x:v>2</x:v>
      </x:c>
      <x:c r="Q908" s="208" t="str">
        <x:v>Wave 3 (61–90 дней)</x:v>
      </x:c>
    </x:row>
    <x:row r="909">
      <x:c r="A909" s="206" t="str">
        <x:v>DEC-00905</x:v>
      </x:c>
      <x:c r="B909" s="207" t="str">
        <x:v>Material master</x:v>
      </x:c>
      <x:c r="C909" s="207" t="str">
        <x:v>MAT-DRAFT-0077</x:v>
      </x:c>
      <x:c r="D909" s="207" t="str">
        <x:v>Unlinked</x:v>
      </x:c>
      <x:c r="E909" s="207" t="str">
        <x:v>1 строк; 7350.00 руб.; 12-068</x:v>
      </x:c>
      <x:c r="F909" s="207" t="str">
        <x:v>Подтвердить карточку, UOM, состав, цвет, поставщика и правила объединения</x:v>
      </x:c>
      <x:c r="G909" s="207" t="str">
        <x:v>Закупки + склад</x:v>
      </x:c>
      <x:c r="H909" s="207" t="str">
        <x:v>Средний</x:v>
      </x:c>
      <x:c r="I909" s="207" t="str">
        <x:v>Material aging; BOM; procurement; actual usage</x:v>
      </x:c>
      <x:c r="J909" s="207" t="str">
        <x:v>Остатки ткани 31.05.2026</x:v>
      </x:c>
      <x:c r="K909" s="207" t="str"/>
      <x:c r="L909" s="207" t="str"/>
      <x:c r="M909" s="207" t="str">
        <x:v>Не рассмотрено</x:v>
      </x:c>
      <x:c r="N909" s="207" t="str"/>
      <x:c r="O909" s="207" t="str">
        <x:v>17</x:v>
      </x:c>
      <x:c r="P909" s="207" t="n">
        <x:v>2</x:v>
      </x:c>
      <x:c r="Q909" s="208" t="str">
        <x:v>Wave 3 (61–90 дней)</x:v>
      </x:c>
    </x:row>
    <x:row r="910">
      <x:c r="A910" s="206" t="str">
        <x:v>DEC-00906</x:v>
      </x:c>
      <x:c r="B910" s="207" t="str">
        <x:v>Material master</x:v>
      </x:c>
      <x:c r="C910" s="207" t="str">
        <x:v>MAT-DRAFT-0078</x:v>
      </x:c>
      <x:c r="D910" s="207" t="str">
        <x:v>Unlinked</x:v>
      </x:c>
      <x:c r="E910" s="207" t="str">
        <x:v>1 строк; 95700.00 руб.; 12-025</x:v>
      </x:c>
      <x:c r="F910" s="207" t="str">
        <x:v>Подтвердить карточку, UOM, состав, цвет, поставщика и правила объединения</x:v>
      </x:c>
      <x:c r="G910" s="207" t="str">
        <x:v>Закупки + склад</x:v>
      </x:c>
      <x:c r="H910" s="207" t="str">
        <x:v>Высокий</x:v>
      </x:c>
      <x:c r="I910" s="207" t="str">
        <x:v>Material aging; BOM; procurement; actual usage</x:v>
      </x:c>
      <x:c r="J910" s="207" t="str">
        <x:v>Остатки ткани 31.05.2026</x:v>
      </x:c>
      <x:c r="K910" s="207" t="str"/>
      <x:c r="L910" s="207" t="str"/>
      <x:c r="M910" s="207" t="str">
        <x:v>Не рассмотрено</x:v>
      </x:c>
      <x:c r="N910" s="207" t="str"/>
      <x:c r="O910" s="207" t="str">
        <x:v>17</x:v>
      </x:c>
      <x:c r="P910" s="207" t="n">
        <x:v>3</x:v>
      </x:c>
      <x:c r="Q910" s="208" t="str">
        <x:v>Wave 2 (31–60 дней)</x:v>
      </x:c>
    </x:row>
    <x:row r="911">
      <x:c r="A911" s="206" t="str">
        <x:v>DEC-00907</x:v>
      </x:c>
      <x:c r="B911" s="207" t="str">
        <x:v>Material master</x:v>
      </x:c>
      <x:c r="C911" s="207" t="str">
        <x:v>MAT-DRAFT-0079</x:v>
      </x:c>
      <x:c r="D911" s="207" t="str">
        <x:v>Unlinked</x:v>
      </x:c>
      <x:c r="E911" s="207" t="str">
        <x:v>1 строк; 15145.00 руб.; 12-017</x:v>
      </x:c>
      <x:c r="F911" s="207" t="str">
        <x:v>Подтвердить карточку, UOM, состав, цвет, поставщика и правила объединения</x:v>
      </x:c>
      <x:c r="G911" s="207" t="str">
        <x:v>Закупки + склад</x:v>
      </x:c>
      <x:c r="H911" s="207" t="str">
        <x:v>Высокий</x:v>
      </x:c>
      <x:c r="I911" s="207" t="str">
        <x:v>Material aging; BOM; procurement; actual usage</x:v>
      </x:c>
      <x:c r="J911" s="207" t="str">
        <x:v>Остатки ткани 31.05.2026</x:v>
      </x:c>
      <x:c r="K911" s="207" t="str"/>
      <x:c r="L911" s="207" t="str"/>
      <x:c r="M911" s="207" t="str">
        <x:v>Не рассмотрено</x:v>
      </x:c>
      <x:c r="N911" s="207" t="str"/>
      <x:c r="O911" s="207" t="str">
        <x:v>17</x:v>
      </x:c>
      <x:c r="P911" s="207" t="n">
        <x:v>3</x:v>
      </x:c>
      <x:c r="Q911" s="208" t="str">
        <x:v>Wave 2 (31–60 дней)</x:v>
      </x:c>
    </x:row>
    <x:row r="912">
      <x:c r="A912" s="206" t="str">
        <x:v>DEC-00908</x:v>
      </x:c>
      <x:c r="B912" s="207" t="str">
        <x:v>Material master</x:v>
      </x:c>
      <x:c r="C912" s="207" t="str">
        <x:v>MAT-DRAFT-0080</x:v>
      </x:c>
      <x:c r="D912" s="207" t="str">
        <x:v>Unlinked</x:v>
      </x:c>
      <x:c r="E912" s="207" t="str">
        <x:v>1 строк; 8800.00 руб.; 12-014</x:v>
      </x:c>
      <x:c r="F912" s="207" t="str">
        <x:v>Подтвердить карточку, UOM, состав, цвет, поставщика и правила объединения</x:v>
      </x:c>
      <x:c r="G912" s="207" t="str">
        <x:v>Закупки + склад</x:v>
      </x:c>
      <x:c r="H912" s="207" t="str">
        <x:v>Средний</x:v>
      </x:c>
      <x:c r="I912" s="207" t="str">
        <x:v>Material aging; BOM; procurement; actual usage</x:v>
      </x:c>
      <x:c r="J912" s="207" t="str">
        <x:v>Остатки ткани 31.05.2026</x:v>
      </x:c>
      <x:c r="K912" s="207" t="str"/>
      <x:c r="L912" s="207" t="str"/>
      <x:c r="M912" s="207" t="str">
        <x:v>Не рассмотрено</x:v>
      </x:c>
      <x:c r="N912" s="207" t="str"/>
      <x:c r="O912" s="207" t="str">
        <x:v>17</x:v>
      </x:c>
      <x:c r="P912" s="207" t="n">
        <x:v>2</x:v>
      </x:c>
      <x:c r="Q912" s="208" t="str">
        <x:v>Wave 3 (61–90 дней)</x:v>
      </x:c>
    </x:row>
    <x:row r="913">
      <x:c r="A913" s="206" t="str">
        <x:v>DEC-00909</x:v>
      </x:c>
      <x:c r="B913" s="207" t="str">
        <x:v>Material master</x:v>
      </x:c>
      <x:c r="C913" s="207" t="str">
        <x:v>MAT-DRAFT-0081</x:v>
      </x:c>
      <x:c r="D913" s="207" t="str">
        <x:v>Unlinked</x:v>
      </x:c>
      <x:c r="E913" s="207" t="str">
        <x:v>1 строк; 4800.00 руб.; 12-052</x:v>
      </x:c>
      <x:c r="F913" s="207" t="str">
        <x:v>Подтвердить карточку, UOM, состав, цвет, поставщика и правила объединения</x:v>
      </x:c>
      <x:c r="G913" s="207" t="str">
        <x:v>Закупки + склад</x:v>
      </x:c>
      <x:c r="H913" s="207" t="str">
        <x:v>Средний</x:v>
      </x:c>
      <x:c r="I913" s="207" t="str">
        <x:v>Material aging; BOM; procurement; actual usage</x:v>
      </x:c>
      <x:c r="J913" s="207" t="str">
        <x:v>Остатки ткани 31.05.2026</x:v>
      </x:c>
      <x:c r="K913" s="207" t="str"/>
      <x:c r="L913" s="207" t="str"/>
      <x:c r="M913" s="207" t="str">
        <x:v>Не рассмотрено</x:v>
      </x:c>
      <x:c r="N913" s="207" t="str"/>
      <x:c r="O913" s="207" t="str">
        <x:v>17</x:v>
      </x:c>
      <x:c r="P913" s="207" t="n">
        <x:v>2</x:v>
      </x:c>
      <x:c r="Q913" s="208" t="str">
        <x:v>Wave 3 (61–90 дней)</x:v>
      </x:c>
    </x:row>
    <x:row r="914">
      <x:c r="A914" s="206" t="str">
        <x:v>DEC-00910</x:v>
      </x:c>
      <x:c r="B914" s="207" t="str">
        <x:v>Material master</x:v>
      </x:c>
      <x:c r="C914" s="207" t="str">
        <x:v>MAT-DRAFT-0082</x:v>
      </x:c>
      <x:c r="D914" s="207" t="str">
        <x:v>Unlinked</x:v>
      </x:c>
      <x:c r="E914" s="207" t="str">
        <x:v>1 строк; 3000.00 руб.; 12-042</x:v>
      </x:c>
      <x:c r="F914" s="207" t="str">
        <x:v>Подтвердить карточку, UOM, состав, цвет, поставщика и правила объединения</x:v>
      </x:c>
      <x:c r="G914" s="207" t="str">
        <x:v>Закупки + склад</x:v>
      </x:c>
      <x:c r="H914" s="207" t="str">
        <x:v>Средний</x:v>
      </x:c>
      <x:c r="I914" s="207" t="str">
        <x:v>Material aging; BOM; procurement; actual usage</x:v>
      </x:c>
      <x:c r="J914" s="207" t="str">
        <x:v>Остатки ткани 31.05.2026</x:v>
      </x:c>
      <x:c r="K914" s="207" t="str"/>
      <x:c r="L914" s="207" t="str"/>
      <x:c r="M914" s="207" t="str">
        <x:v>Не рассмотрено</x:v>
      </x:c>
      <x:c r="N914" s="207" t="str"/>
      <x:c r="O914" s="207" t="str">
        <x:v>17</x:v>
      </x:c>
      <x:c r="P914" s="207" t="n">
        <x:v>2</x:v>
      </x:c>
      <x:c r="Q914" s="208" t="str">
        <x:v>Wave 3 (61–90 дней)</x:v>
      </x:c>
    </x:row>
    <x:row r="915">
      <x:c r="A915" s="206" t="str">
        <x:v>DEC-00911</x:v>
      </x:c>
      <x:c r="B915" s="207" t="str">
        <x:v>Material master</x:v>
      </x:c>
      <x:c r="C915" s="207" t="str">
        <x:v>MAT-DRAFT-0083</x:v>
      </x:c>
      <x:c r="D915" s="207" t="str">
        <x:v>Unlinked</x:v>
      </x:c>
      <x:c r="E915" s="207" t="str">
        <x:v>1 строк; 5750.00 руб.; 12-046</x:v>
      </x:c>
      <x:c r="F915" s="207" t="str">
        <x:v>Подтвердить карточку, UOM, состав, цвет, поставщика и правила объединения</x:v>
      </x:c>
      <x:c r="G915" s="207" t="str">
        <x:v>Закупки + склад</x:v>
      </x:c>
      <x:c r="H915" s="207" t="str">
        <x:v>Средний</x:v>
      </x:c>
      <x:c r="I915" s="207" t="str">
        <x:v>Material aging; BOM; procurement; actual usage</x:v>
      </x:c>
      <x:c r="J915" s="207" t="str">
        <x:v>Остатки ткани 31.05.2026</x:v>
      </x:c>
      <x:c r="K915" s="207" t="str"/>
      <x:c r="L915" s="207" t="str"/>
      <x:c r="M915" s="207" t="str">
        <x:v>Не рассмотрено</x:v>
      </x:c>
      <x:c r="N915" s="207" t="str"/>
      <x:c r="O915" s="207" t="str">
        <x:v>17</x:v>
      </x:c>
      <x:c r="P915" s="207" t="n">
        <x:v>2</x:v>
      </x:c>
      <x:c r="Q915" s="208" t="str">
        <x:v>Wave 3 (61–90 дней)</x:v>
      </x:c>
    </x:row>
    <x:row r="916">
      <x:c r="A916" s="206" t="str">
        <x:v>DEC-00912</x:v>
      </x:c>
      <x:c r="B916" s="207" t="str">
        <x:v>Material master</x:v>
      </x:c>
      <x:c r="C916" s="207" t="str">
        <x:v>MAT-DRAFT-0084</x:v>
      </x:c>
      <x:c r="D916" s="207" t="str">
        <x:v>Unlinked</x:v>
      </x:c>
      <x:c r="E916" s="207" t="str">
        <x:v>1 строк; 1600.00 руб.; 12-049</x:v>
      </x:c>
      <x:c r="F916" s="207" t="str">
        <x:v>Подтвердить карточку, UOM, состав, цвет, поставщика и правила объединения</x:v>
      </x:c>
      <x:c r="G916" s="207" t="str">
        <x:v>Закупки + склад</x:v>
      </x:c>
      <x:c r="H916" s="207" t="str">
        <x:v>Средний</x:v>
      </x:c>
      <x:c r="I916" s="207" t="str">
        <x:v>Material aging; BOM; procurement; actual usage</x:v>
      </x:c>
      <x:c r="J916" s="207" t="str">
        <x:v>Остатки ткани 31.05.2026</x:v>
      </x:c>
      <x:c r="K916" s="207" t="str"/>
      <x:c r="L916" s="207" t="str"/>
      <x:c r="M916" s="207" t="str">
        <x:v>Не рассмотрено</x:v>
      </x:c>
      <x:c r="N916" s="207" t="str"/>
      <x:c r="O916" s="207" t="str">
        <x:v>17</x:v>
      </x:c>
      <x:c r="P916" s="207" t="n">
        <x:v>2</x:v>
      </x:c>
      <x:c r="Q916" s="208" t="str">
        <x:v>Wave 3 (61–90 дней)</x:v>
      </x:c>
    </x:row>
    <x:row r="917">
      <x:c r="A917" s="206" t="str">
        <x:v>DEC-00913</x:v>
      </x:c>
      <x:c r="B917" s="207" t="str">
        <x:v>Material master</x:v>
      </x:c>
      <x:c r="C917" s="207" t="str">
        <x:v>MAT-DRAFT-0086</x:v>
      </x:c>
      <x:c r="D917" s="207" t="str">
        <x:v>Unlinked</x:v>
      </x:c>
      <x:c r="E917" s="207" t="str">
        <x:v>1 строк; 172040.00 руб.; 12-089</x:v>
      </x:c>
      <x:c r="F917" s="207" t="str">
        <x:v>Подтвердить карточку, UOM, состав, цвет, поставщика и правила объединения</x:v>
      </x:c>
      <x:c r="G917" s="207" t="str">
        <x:v>Закупки + склад</x:v>
      </x:c>
      <x:c r="H917" s="207" t="str">
        <x:v>Критический</x:v>
      </x:c>
      <x:c r="I917" s="207" t="str">
        <x:v>Material aging; BOM; procurement; actual usage</x:v>
      </x:c>
      <x:c r="J917" s="207" t="str">
        <x:v>Остатки ткани 31.05.2026</x:v>
      </x:c>
      <x:c r="K917" s="207" t="str"/>
      <x:c r="L917" s="207" t="str"/>
      <x:c r="M917" s="207" t="str">
        <x:v>Не рассмотрено</x:v>
      </x:c>
      <x:c r="N917" s="207" t="str"/>
      <x:c r="O917" s="207" t="str">
        <x:v>17</x:v>
      </x:c>
      <x:c r="P917" s="207" t="n">
        <x:v>4</x:v>
      </x:c>
      <x:c r="Q917" s="208" t="str">
        <x:v>Wave 1 (0–30 дней)</x:v>
      </x:c>
    </x:row>
    <x:row r="918">
      <x:c r="A918" s="206" t="str">
        <x:v>DEC-00914</x:v>
      </x:c>
      <x:c r="B918" s="207" t="str">
        <x:v>Material master</x:v>
      </x:c>
      <x:c r="C918" s="207" t="str">
        <x:v>MAT-DRAFT-0087</x:v>
      </x:c>
      <x:c r="D918" s="207" t="str">
        <x:v>Unlinked</x:v>
      </x:c>
      <x:c r="E918" s="207" t="str">
        <x:v>1 строк; 4130.00 руб.; 12-039</x:v>
      </x:c>
      <x:c r="F918" s="207" t="str">
        <x:v>Подтвердить карточку, UOM, состав, цвет, поставщика и правила объединения</x:v>
      </x:c>
      <x:c r="G918" s="207" t="str">
        <x:v>Закупки + склад</x:v>
      </x:c>
      <x:c r="H918" s="207" t="str">
        <x:v>Средний</x:v>
      </x:c>
      <x:c r="I918" s="207" t="str">
        <x:v>Material aging; BOM; procurement; actual usage</x:v>
      </x:c>
      <x:c r="J918" s="207" t="str">
        <x:v>Остатки ткани 31.05.2026</x:v>
      </x:c>
      <x:c r="K918" s="207" t="str"/>
      <x:c r="L918" s="207" t="str"/>
      <x:c r="M918" s="207" t="str">
        <x:v>Не рассмотрено</x:v>
      </x:c>
      <x:c r="N918" s="207" t="str"/>
      <x:c r="O918" s="207" t="str">
        <x:v>17</x:v>
      </x:c>
      <x:c r="P918" s="207" t="n">
        <x:v>2</x:v>
      </x:c>
      <x:c r="Q918" s="208" t="str">
        <x:v>Wave 3 (61–90 дней)</x:v>
      </x:c>
    </x:row>
    <x:row r="919">
      <x:c r="A919" s="206" t="str">
        <x:v>DEC-00915</x:v>
      </x:c>
      <x:c r="B919" s="207" t="str">
        <x:v>Material master</x:v>
      </x:c>
      <x:c r="C919" s="207" t="str">
        <x:v>MAT-DRAFT-0088</x:v>
      </x:c>
      <x:c r="D919" s="207" t="str">
        <x:v>Unlinked</x:v>
      </x:c>
      <x:c r="E919" s="207" t="str">
        <x:v>1 строк; 13650.00 руб.; 12-045</x:v>
      </x:c>
      <x:c r="F919" s="207" t="str">
        <x:v>Подтвердить карточку, UOM, состав, цвет, поставщика и правила объединения</x:v>
      </x:c>
      <x:c r="G919" s="207" t="str">
        <x:v>Закупки + склад</x:v>
      </x:c>
      <x:c r="H919" s="207" t="str">
        <x:v>Высокий</x:v>
      </x:c>
      <x:c r="I919" s="207" t="str">
        <x:v>Material aging; BOM; procurement; actual usage</x:v>
      </x:c>
      <x:c r="J919" s="207" t="str">
        <x:v>Остатки ткани 31.05.2026</x:v>
      </x:c>
      <x:c r="K919" s="207" t="str"/>
      <x:c r="L919" s="207" t="str"/>
      <x:c r="M919" s="207" t="str">
        <x:v>Не рассмотрено</x:v>
      </x:c>
      <x:c r="N919" s="207" t="str"/>
      <x:c r="O919" s="207" t="str">
        <x:v>17</x:v>
      </x:c>
      <x:c r="P919" s="207" t="n">
        <x:v>3</x:v>
      </x:c>
      <x:c r="Q919" s="208" t="str">
        <x:v>Wave 2 (31–60 дней)</x:v>
      </x:c>
    </x:row>
    <x:row r="920">
      <x:c r="A920" s="206" t="str">
        <x:v>DEC-00916</x:v>
      </x:c>
      <x:c r="B920" s="207" t="str">
        <x:v>Material master</x:v>
      </x:c>
      <x:c r="C920" s="207" t="str">
        <x:v>MAT-DRAFT-0090</x:v>
      </x:c>
      <x:c r="D920" s="207" t="str">
        <x:v>Unlinked</x:v>
      </x:c>
      <x:c r="E920" s="207" t="str">
        <x:v>1 строк; 109800.00 руб.; 12-026</x:v>
      </x:c>
      <x:c r="F920" s="207" t="str">
        <x:v>Подтвердить карточку, UOM, состав, цвет, поставщика и правила объединения</x:v>
      </x:c>
      <x:c r="G920" s="207" t="str">
        <x:v>Закупки + склад</x:v>
      </x:c>
      <x:c r="H920" s="207" t="str">
        <x:v>Критический</x:v>
      </x:c>
      <x:c r="I920" s="207" t="str">
        <x:v>Material aging; BOM; procurement; actual usage</x:v>
      </x:c>
      <x:c r="J920" s="207" t="str">
        <x:v>Остатки ткани 31.05.2026</x:v>
      </x:c>
      <x:c r="K920" s="207" t="str"/>
      <x:c r="L920" s="207" t="str"/>
      <x:c r="M920" s="207" t="str">
        <x:v>Не рассмотрено</x:v>
      </x:c>
      <x:c r="N920" s="207" t="str"/>
      <x:c r="O920" s="207" t="str">
        <x:v>17</x:v>
      </x:c>
      <x:c r="P920" s="207" t="n">
        <x:v>4</x:v>
      </x:c>
      <x:c r="Q920" s="208" t="str">
        <x:v>Wave 1 (0–30 дней)</x:v>
      </x:c>
    </x:row>
    <x:row r="921">
      <x:c r="A921" s="206" t="str">
        <x:v>DEC-00917</x:v>
      </x:c>
      <x:c r="B921" s="207" t="str">
        <x:v>Material master</x:v>
      </x:c>
      <x:c r="C921" s="207" t="str">
        <x:v>MAT-DRAFT-0092</x:v>
      </x:c>
      <x:c r="D921" s="207" t="str">
        <x:v>Unlinked</x:v>
      </x:c>
      <x:c r="E921" s="207" t="str">
        <x:v>2 строк; 52220.00 руб.; 12-082</x:v>
      </x:c>
      <x:c r="F921" s="207" t="str">
        <x:v>Подтвердить карточку, UOM, состав, цвет, поставщика и правила объединения</x:v>
      </x:c>
      <x:c r="G921" s="207" t="str">
        <x:v>Закупки + склад</x:v>
      </x:c>
      <x:c r="H921" s="207" t="str">
        <x:v>Высокий</x:v>
      </x:c>
      <x:c r="I921" s="207" t="str">
        <x:v>Material aging; BOM; procurement; actual usage</x:v>
      </x:c>
      <x:c r="J921" s="207" t="str">
        <x:v>Остатки ткани 31.05.2026</x:v>
      </x:c>
      <x:c r="K921" s="207" t="str"/>
      <x:c r="L921" s="207" t="str"/>
      <x:c r="M921" s="207" t="str">
        <x:v>Не рассмотрено</x:v>
      </x:c>
      <x:c r="N921" s="207" t="str"/>
      <x:c r="O921" s="207" t="str">
        <x:v>17</x:v>
      </x:c>
      <x:c r="P921" s="207" t="n">
        <x:v>3</x:v>
      </x:c>
      <x:c r="Q921" s="208" t="str">
        <x:v>Wave 2 (31–60 дней)</x:v>
      </x:c>
    </x:row>
    <x:row r="922">
      <x:c r="A922" s="206" t="str">
        <x:v>DEC-00918</x:v>
      </x:c>
      <x:c r="B922" s="207" t="str">
        <x:v>Material master</x:v>
      </x:c>
      <x:c r="C922" s="207" t="str">
        <x:v>MAT-DRAFT-0096</x:v>
      </x:c>
      <x:c r="D922" s="207" t="str">
        <x:v>Unlinked</x:v>
      </x:c>
      <x:c r="E922" s="207" t="str">
        <x:v>2 строк; 4560.00 руб.; 12-069</x:v>
      </x:c>
      <x:c r="F922" s="207" t="str">
        <x:v>Подтвердить карточку, UOM, состав, цвет, поставщика и правила объединения</x:v>
      </x:c>
      <x:c r="G922" s="207" t="str">
        <x:v>Закупки + склад</x:v>
      </x:c>
      <x:c r="H922" s="207" t="str">
        <x:v>Средний</x:v>
      </x:c>
      <x:c r="I922" s="207" t="str">
        <x:v>Material aging; BOM; procurement; actual usage</x:v>
      </x:c>
      <x:c r="J922" s="207" t="str">
        <x:v>Остатки ткани 31.05.2026</x:v>
      </x:c>
      <x:c r="K922" s="207" t="str"/>
      <x:c r="L922" s="207" t="str"/>
      <x:c r="M922" s="207" t="str">
        <x:v>Не рассмотрено</x:v>
      </x:c>
      <x:c r="N922" s="207" t="str"/>
      <x:c r="O922" s="207" t="str">
        <x:v>17</x:v>
      </x:c>
      <x:c r="P922" s="207" t="n">
        <x:v>2</x:v>
      </x:c>
      <x:c r="Q922" s="208" t="str">
        <x:v>Wave 3 (61–90 дней)</x:v>
      </x:c>
    </x:row>
    <x:row r="923">
      <x:c r="A923" s="206" t="str">
        <x:v>DEC-00919</x:v>
      </x:c>
      <x:c r="B923" s="207" t="str">
        <x:v>Material master</x:v>
      </x:c>
      <x:c r="C923" s="207" t="str">
        <x:v>MAT-DRAFT-0097</x:v>
      </x:c>
      <x:c r="D923" s="207" t="str">
        <x:v>Unlinked</x:v>
      </x:c>
      <x:c r="E923" s="207" t="str">
        <x:v>1 строк; 27630.00 руб.; 12-050</x:v>
      </x:c>
      <x:c r="F923" s="207" t="str">
        <x:v>Подтвердить карточку, UOM, состав, цвет, поставщика и правила объединения</x:v>
      </x:c>
      <x:c r="G923" s="207" t="str">
        <x:v>Закупки + склад</x:v>
      </x:c>
      <x:c r="H923" s="207" t="str">
        <x:v>Высокий</x:v>
      </x:c>
      <x:c r="I923" s="207" t="str">
        <x:v>Material aging; BOM; procurement; actual usage</x:v>
      </x:c>
      <x:c r="J923" s="207" t="str">
        <x:v>Остатки ткани 31.05.2026</x:v>
      </x:c>
      <x:c r="K923" s="207" t="str"/>
      <x:c r="L923" s="207" t="str"/>
      <x:c r="M923" s="207" t="str">
        <x:v>Не рассмотрено</x:v>
      </x:c>
      <x:c r="N923" s="207" t="str"/>
      <x:c r="O923" s="207" t="str">
        <x:v>17</x:v>
      </x:c>
      <x:c r="P923" s="207" t="n">
        <x:v>3</x:v>
      </x:c>
      <x:c r="Q923" s="208" t="str">
        <x:v>Wave 2 (31–60 дней)</x:v>
      </x:c>
    </x:row>
    <x:row r="924">
      <x:c r="A924" s="206" t="str">
        <x:v>DEC-00920</x:v>
      </x:c>
      <x:c r="B924" s="207" t="str">
        <x:v>Material master</x:v>
      </x:c>
      <x:c r="C924" s="207" t="str">
        <x:v>MAT-DRAFT-0098</x:v>
      </x:c>
      <x:c r="D924" s="207" t="str">
        <x:v>Unlinked</x:v>
      </x:c>
      <x:c r="E924" s="207" t="str">
        <x:v>1 строк; 12400.00 руб.; 12-064</x:v>
      </x:c>
      <x:c r="F924" s="207" t="str">
        <x:v>Подтвердить карточку, UOM, состав, цвет, поставщика и правила объединения</x:v>
      </x:c>
      <x:c r="G924" s="207" t="str">
        <x:v>Закупки + склад</x:v>
      </x:c>
      <x:c r="H924" s="207" t="str">
        <x:v>Высокий</x:v>
      </x:c>
      <x:c r="I924" s="207" t="str">
        <x:v>Material aging; BOM; procurement; actual usage</x:v>
      </x:c>
      <x:c r="J924" s="207" t="str">
        <x:v>Остатки ткани 31.05.2026</x:v>
      </x:c>
      <x:c r="K924" s="207" t="str"/>
      <x:c r="L924" s="207" t="str"/>
      <x:c r="M924" s="207" t="str">
        <x:v>Не рассмотрено</x:v>
      </x:c>
      <x:c r="N924" s="207" t="str"/>
      <x:c r="O924" s="207" t="str">
        <x:v>17</x:v>
      </x:c>
      <x:c r="P924" s="207" t="n">
        <x:v>3</x:v>
      </x:c>
      <x:c r="Q924" s="208" t="str">
        <x:v>Wave 2 (31–60 дней)</x:v>
      </x:c>
    </x:row>
    <x:row r="925">
      <x:c r="A925" s="206" t="str">
        <x:v>DEC-00921</x:v>
      </x:c>
      <x:c r="B925" s="207" t="str">
        <x:v>Material master</x:v>
      </x:c>
      <x:c r="C925" s="207" t="str">
        <x:v>MAT-DRAFT-0099</x:v>
      </x:c>
      <x:c r="D925" s="207" t="str">
        <x:v>Unlinked</x:v>
      </x:c>
      <x:c r="E925" s="207" t="str">
        <x:v>1 строк; 4800.00 руб.; 12-072</x:v>
      </x:c>
      <x:c r="F925" s="207" t="str">
        <x:v>Подтвердить карточку, UOM, состав, цвет, поставщика и правила объединения</x:v>
      </x:c>
      <x:c r="G925" s="207" t="str">
        <x:v>Закупки + склад</x:v>
      </x:c>
      <x:c r="H925" s="207" t="str">
        <x:v>Средний</x:v>
      </x:c>
      <x:c r="I925" s="207" t="str">
        <x:v>Material aging; BOM; procurement; actual usage</x:v>
      </x:c>
      <x:c r="J925" s="207" t="str">
        <x:v>Остатки ткани 31.05.2026</x:v>
      </x:c>
      <x:c r="K925" s="207" t="str"/>
      <x:c r="L925" s="207" t="str"/>
      <x:c r="M925" s="207" t="str">
        <x:v>Не рассмотрено</x:v>
      </x:c>
      <x:c r="N925" s="207" t="str"/>
      <x:c r="O925" s="207" t="str">
        <x:v>17</x:v>
      </x:c>
      <x:c r="P925" s="207" t="n">
        <x:v>2</x:v>
      </x:c>
      <x:c r="Q925" s="208" t="str">
        <x:v>Wave 3 (61–90 дней)</x:v>
      </x:c>
    </x:row>
    <x:row r="926">
      <x:c r="A926" s="206" t="str">
        <x:v>DEC-00922</x:v>
      </x:c>
      <x:c r="B926" s="207" t="str">
        <x:v>Material master</x:v>
      </x:c>
      <x:c r="C926" s="207" t="str">
        <x:v>MAT-DRAFT-0101</x:v>
      </x:c>
      <x:c r="D926" s="207" t="str">
        <x:v>Unlinked</x:v>
      </x:c>
      <x:c r="E926" s="207" t="str">
        <x:v>1 строк; 3840.00 руб.; 12-063</x:v>
      </x:c>
      <x:c r="F926" s="207" t="str">
        <x:v>Подтвердить карточку, UOM, состав, цвет, поставщика и правила объединения</x:v>
      </x:c>
      <x:c r="G926" s="207" t="str">
        <x:v>Закупки + склад</x:v>
      </x:c>
      <x:c r="H926" s="207" t="str">
        <x:v>Средний</x:v>
      </x:c>
      <x:c r="I926" s="207" t="str">
        <x:v>Material aging; BOM; procurement; actual usage</x:v>
      </x:c>
      <x:c r="J926" s="207" t="str">
        <x:v>Остатки ткани 31.05.2026</x:v>
      </x:c>
      <x:c r="K926" s="207" t="str"/>
      <x:c r="L926" s="207" t="str"/>
      <x:c r="M926" s="207" t="str">
        <x:v>Не рассмотрено</x:v>
      </x:c>
      <x:c r="N926" s="207" t="str"/>
      <x:c r="O926" s="207" t="str">
        <x:v>17</x:v>
      </x:c>
      <x:c r="P926" s="207" t="n">
        <x:v>2</x:v>
      </x:c>
      <x:c r="Q926" s="208" t="str">
        <x:v>Wave 3 (61–90 дней)</x:v>
      </x:c>
    </x:row>
    <x:row r="927">
      <x:c r="A927" s="206" t="str">
        <x:v>DEC-00923</x:v>
      </x:c>
      <x:c r="B927" s="207" t="str">
        <x:v>Material master</x:v>
      </x:c>
      <x:c r="C927" s="207" t="str">
        <x:v>MAT-DRAFT-0106</x:v>
      </x:c>
      <x:c r="D927" s="207" t="str">
        <x:v>Несколько кодов; Несколько исходных наименований</x:v>
      </x:c>
      <x:c r="E927" s="207" t="str">
        <x:v>2 строк; 12900.00 руб.; 12-066; 12-078</x:v>
      </x:c>
      <x:c r="F927" s="207" t="str">
        <x:v>Подтвердить карточку, UOM, состав, цвет, поставщика и правила объединения</x:v>
      </x:c>
      <x:c r="G927" s="207" t="str">
        <x:v>Закупки + склад</x:v>
      </x:c>
      <x:c r="H927" s="207" t="str">
        <x:v>Высокий</x:v>
      </x:c>
      <x:c r="I927" s="207" t="str">
        <x:v>Material aging; BOM; procurement; actual usage</x:v>
      </x:c>
      <x:c r="J927" s="207" t="str">
        <x:v>Остатки ткани 31.05.2026</x:v>
      </x:c>
      <x:c r="K927" s="207" t="str"/>
      <x:c r="L927" s="207" t="str"/>
      <x:c r="M927" s="207" t="str">
        <x:v>Не рассмотрено</x:v>
      </x:c>
      <x:c r="N927" s="207" t="str"/>
      <x:c r="O927" s="207" t="str">
        <x:v>17</x:v>
      </x:c>
      <x:c r="P927" s="207" t="n">
        <x:v>3</x:v>
      </x:c>
      <x:c r="Q927" s="208" t="str">
        <x:v>Wave 2 (31–60 дней)</x:v>
      </x:c>
    </x:row>
    <x:row r="928">
      <x:c r="A928" s="206" t="str">
        <x:v>DEC-00924</x:v>
      </x:c>
      <x:c r="B928" s="207" t="str">
        <x:v>Material master</x:v>
      </x:c>
      <x:c r="C928" s="207" t="str">
        <x:v>MAT-DRAFT-0107</x:v>
      </x:c>
      <x:c r="D928" s="207" t="str">
        <x:v>Unlinked</x:v>
      </x:c>
      <x:c r="E928" s="207" t="str">
        <x:v>1 строк; 21360.00 руб.; 12-058</x:v>
      </x:c>
      <x:c r="F928" s="207" t="str">
        <x:v>Подтвердить карточку, UOM, состав, цвет, поставщика и правила объединения</x:v>
      </x:c>
      <x:c r="G928" s="207" t="str">
        <x:v>Закупки + склад</x:v>
      </x:c>
      <x:c r="H928" s="207" t="str">
        <x:v>Высокий</x:v>
      </x:c>
      <x:c r="I928" s="207" t="str">
        <x:v>Material aging; BOM; procurement; actual usage</x:v>
      </x:c>
      <x:c r="J928" s="207" t="str">
        <x:v>Остатки ткани 31.05.2026</x:v>
      </x:c>
      <x:c r="K928" s="207" t="str"/>
      <x:c r="L928" s="207" t="str"/>
      <x:c r="M928" s="207" t="str">
        <x:v>Не рассмотрено</x:v>
      </x:c>
      <x:c r="N928" s="207" t="str"/>
      <x:c r="O928" s="207" t="str">
        <x:v>17</x:v>
      </x:c>
      <x:c r="P928" s="207" t="n">
        <x:v>3</x:v>
      </x:c>
      <x:c r="Q928" s="208" t="str">
        <x:v>Wave 2 (31–60 дней)</x:v>
      </x:c>
    </x:row>
    <x:row r="929">
      <x:c r="A929" s="206" t="str">
        <x:v>DEC-00925</x:v>
      </x:c>
      <x:c r="B929" s="207" t="str">
        <x:v>Material master</x:v>
      </x:c>
      <x:c r="C929" s="207" t="str">
        <x:v>MAT-DRAFT-0108</x:v>
      </x:c>
      <x:c r="D929" s="207" t="str">
        <x:v>Unlinked</x:v>
      </x:c>
      <x:c r="E929" s="207" t="str">
        <x:v>1 строк; 231750.00 руб.; 12-091</x:v>
      </x:c>
      <x:c r="F929" s="207" t="str">
        <x:v>Подтвердить карточку, UOM, состав, цвет, поставщика и правила объединения</x:v>
      </x:c>
      <x:c r="G929" s="207" t="str">
        <x:v>Закупки + склад</x:v>
      </x:c>
      <x:c r="H929" s="207" t="str">
        <x:v>Критический</x:v>
      </x:c>
      <x:c r="I929" s="207" t="str">
        <x:v>Material aging; BOM; procurement; actual usage</x:v>
      </x:c>
      <x:c r="J929" s="207" t="str">
        <x:v>Остатки ткани 31.05.2026</x:v>
      </x:c>
      <x:c r="K929" s="207" t="str"/>
      <x:c r="L929" s="207" t="str"/>
      <x:c r="M929" s="207" t="str">
        <x:v>Не рассмотрено</x:v>
      </x:c>
      <x:c r="N929" s="207" t="str"/>
      <x:c r="O929" s="207" t="str">
        <x:v>17</x:v>
      </x:c>
      <x:c r="P929" s="207" t="n">
        <x:v>4</x:v>
      </x:c>
      <x:c r="Q929" s="208" t="str">
        <x:v>Wave 1 (0–30 дней)</x:v>
      </x:c>
    </x:row>
    <x:row r="930">
      <x:c r="A930" s="206" t="str">
        <x:v>DEC-00926</x:v>
      </x:c>
      <x:c r="B930" s="207" t="str">
        <x:v>Material master</x:v>
      </x:c>
      <x:c r="C930" s="207" t="str">
        <x:v>MAT-DRAFT-0111</x:v>
      </x:c>
      <x:c r="D930" s="207" t="str">
        <x:v>Unlinked</x:v>
      </x:c>
      <x:c r="E930" s="207" t="str">
        <x:v>1 строк; 9900.00 руб.; 12-005</x:v>
      </x:c>
      <x:c r="F930" s="207" t="str">
        <x:v>Подтвердить карточку, UOM, состав, цвет, поставщика и правила объединения</x:v>
      </x:c>
      <x:c r="G930" s="207" t="str">
        <x:v>Закупки + склад</x:v>
      </x:c>
      <x:c r="H930" s="207" t="str">
        <x:v>Средний</x:v>
      </x:c>
      <x:c r="I930" s="207" t="str">
        <x:v>Material aging; BOM; procurement; actual usage</x:v>
      </x:c>
      <x:c r="J930" s="207" t="str">
        <x:v>Остатки ткани 31.05.2026</x:v>
      </x:c>
      <x:c r="K930" s="207" t="str"/>
      <x:c r="L930" s="207" t="str"/>
      <x:c r="M930" s="207" t="str">
        <x:v>Не рассмотрено</x:v>
      </x:c>
      <x:c r="N930" s="207" t="str"/>
      <x:c r="O930" s="207" t="str">
        <x:v>17</x:v>
      </x:c>
      <x:c r="P930" s="207" t="n">
        <x:v>2</x:v>
      </x:c>
      <x:c r="Q930" s="208" t="str">
        <x:v>Wave 3 (61–90 дней)</x:v>
      </x:c>
    </x:row>
    <x:row r="931">
      <x:c r="A931" s="206" t="str">
        <x:v>DEC-00927</x:v>
      </x:c>
      <x:c r="B931" s="207" t="str">
        <x:v>Material master</x:v>
      </x:c>
      <x:c r="C931" s="207" t="str">
        <x:v>MAT-DRAFT-0112</x:v>
      </x:c>
      <x:c r="D931" s="207" t="str">
        <x:v>Unlinked</x:v>
      </x:c>
      <x:c r="E931" s="207" t="str">
        <x:v>1 строк; 5250.00 руб.; 12-048</x:v>
      </x:c>
      <x:c r="F931" s="207" t="str">
        <x:v>Подтвердить карточку, UOM, состав, цвет, поставщика и правила объединения</x:v>
      </x:c>
      <x:c r="G931" s="207" t="str">
        <x:v>Закупки + склад</x:v>
      </x:c>
      <x:c r="H931" s="207" t="str">
        <x:v>Средний</x:v>
      </x:c>
      <x:c r="I931" s="207" t="str">
        <x:v>Material aging; BOM; procurement; actual usage</x:v>
      </x:c>
      <x:c r="J931" s="207" t="str">
        <x:v>Остатки ткани 31.05.2026</x:v>
      </x:c>
      <x:c r="K931" s="207" t="str"/>
      <x:c r="L931" s="207" t="str"/>
      <x:c r="M931" s="207" t="str">
        <x:v>Не рассмотрено</x:v>
      </x:c>
      <x:c r="N931" s="207" t="str"/>
      <x:c r="O931" s="207" t="str">
        <x:v>17</x:v>
      </x:c>
      <x:c r="P931" s="207" t="n">
        <x:v>2</x:v>
      </x:c>
      <x:c r="Q931" s="208" t="str">
        <x:v>Wave 3 (61–90 дней)</x:v>
      </x:c>
    </x:row>
    <x:row r="932">
      <x:c r="A932" s="206" t="str">
        <x:v>DEC-00928</x:v>
      </x:c>
      <x:c r="B932" s="207" t="str">
        <x:v>Material master</x:v>
      </x:c>
      <x:c r="C932" s="207" t="str">
        <x:v>MAT-DRAFT-0113</x:v>
      </x:c>
      <x:c r="D932" s="207" t="str">
        <x:v>Unlinked</x:v>
      </x:c>
      <x:c r="E932" s="207" t="str">
        <x:v>1 строк; 2800.00 руб.; 12-061</x:v>
      </x:c>
      <x:c r="F932" s="207" t="str">
        <x:v>Подтвердить карточку, UOM, состав, цвет, поставщика и правила объединения</x:v>
      </x:c>
      <x:c r="G932" s="207" t="str">
        <x:v>Закупки + склад</x:v>
      </x:c>
      <x:c r="H932" s="207" t="str">
        <x:v>Средний</x:v>
      </x:c>
      <x:c r="I932" s="207" t="str">
        <x:v>Material aging; BOM; procurement; actual usage</x:v>
      </x:c>
      <x:c r="J932" s="207" t="str">
        <x:v>Остатки ткани 31.05.2026</x:v>
      </x:c>
      <x:c r="K932" s="207" t="str"/>
      <x:c r="L932" s="207" t="str"/>
      <x:c r="M932" s="207" t="str">
        <x:v>Не рассмотрено</x:v>
      </x:c>
      <x:c r="N932" s="207" t="str"/>
      <x:c r="O932" s="207" t="str">
        <x:v>17</x:v>
      </x:c>
      <x:c r="P932" s="207" t="n">
        <x:v>2</x:v>
      </x:c>
      <x:c r="Q932" s="208" t="str">
        <x:v>Wave 3 (61–90 дней)</x:v>
      </x:c>
    </x:row>
    <x:row r="933">
      <x:c r="A933" s="206" t="str">
        <x:v>DEC-00929</x:v>
      </x:c>
      <x:c r="B933" s="207" t="str">
        <x:v>Material master</x:v>
      </x:c>
      <x:c r="C933" s="207" t="str">
        <x:v>MAT-DRAFT-0114</x:v>
      </x:c>
      <x:c r="D933" s="207" t="str">
        <x:v>Unlinked</x:v>
      </x:c>
      <x:c r="E933" s="207" t="str">
        <x:v>2 строк; 10625.00 руб.; 12-018</x:v>
      </x:c>
      <x:c r="F933" s="207" t="str">
        <x:v>Подтвердить карточку, UOM, состав, цвет, поставщика и правила объединения</x:v>
      </x:c>
      <x:c r="G933" s="207" t="str">
        <x:v>Закупки + склад</x:v>
      </x:c>
      <x:c r="H933" s="207" t="str">
        <x:v>Высокий</x:v>
      </x:c>
      <x:c r="I933" s="207" t="str">
        <x:v>Material aging; BOM; procurement; actual usage</x:v>
      </x:c>
      <x:c r="J933" s="207" t="str">
        <x:v>Остатки ткани 31.05.2026</x:v>
      </x:c>
      <x:c r="K933" s="207" t="str"/>
      <x:c r="L933" s="207" t="str"/>
      <x:c r="M933" s="207" t="str">
        <x:v>Не рассмотрено</x:v>
      </x:c>
      <x:c r="N933" s="207" t="str"/>
      <x:c r="O933" s="207" t="str">
        <x:v>17</x:v>
      </x:c>
      <x:c r="P933" s="207" t="n">
        <x:v>3</x:v>
      </x:c>
      <x:c r="Q933" s="208" t="str">
        <x:v>Wave 2 (31–60 дней)</x:v>
      </x:c>
    </x:row>
    <x:row r="934">
      <x:c r="A934" s="206" t="str">
        <x:v>DEC-00930</x:v>
      </x:c>
      <x:c r="B934" s="207" t="str">
        <x:v>Material master</x:v>
      </x:c>
      <x:c r="C934" s="207" t="str">
        <x:v>MAT-DRAFT-0116</x:v>
      </x:c>
      <x:c r="D934" s="207" t="str">
        <x:v>Unlinked</x:v>
      </x:c>
      <x:c r="E934" s="207" t="str">
        <x:v>1 строк; 46500.00 руб.; 12-093</x:v>
      </x:c>
      <x:c r="F934" s="207" t="str">
        <x:v>Подтвердить карточку, UOM, состав, цвет, поставщика и правила объединения</x:v>
      </x:c>
      <x:c r="G934" s="207" t="str">
        <x:v>Закупки + склад</x:v>
      </x:c>
      <x:c r="H934" s="207" t="str">
        <x:v>Высокий</x:v>
      </x:c>
      <x:c r="I934" s="207" t="str">
        <x:v>Material aging; BOM; procurement; actual usage</x:v>
      </x:c>
      <x:c r="J934" s="207" t="str">
        <x:v>Остатки ткани 31.05.2026</x:v>
      </x:c>
      <x:c r="K934" s="207" t="str"/>
      <x:c r="L934" s="207" t="str"/>
      <x:c r="M934" s="207" t="str">
        <x:v>Не рассмотрено</x:v>
      </x:c>
      <x:c r="N934" s="207" t="str"/>
      <x:c r="O934" s="207" t="str">
        <x:v>17</x:v>
      </x:c>
      <x:c r="P934" s="207" t="n">
        <x:v>3</x:v>
      </x:c>
      <x:c r="Q934" s="208" t="str">
        <x:v>Wave 2 (31–60 дней)</x:v>
      </x:c>
    </x:row>
    <x:row r="935">
      <x:c r="A935" s="206" t="str">
        <x:v>DEC-00931</x:v>
      </x:c>
      <x:c r="B935" s="207" t="str">
        <x:v>Material master</x:v>
      </x:c>
      <x:c r="C935" s="207" t="str">
        <x:v>MAT-DRAFT-0118</x:v>
      </x:c>
      <x:c r="D935" s="207" t="str">
        <x:v>Unlinked</x:v>
      </x:c>
      <x:c r="E935" s="207" t="str">
        <x:v>1 строк; 21675.00 руб.; 12-016</x:v>
      </x:c>
      <x:c r="F935" s="207" t="str">
        <x:v>Подтвердить карточку, UOM, состав, цвет, поставщика и правила объединения</x:v>
      </x:c>
      <x:c r="G935" s="207" t="str">
        <x:v>Закупки + склад</x:v>
      </x:c>
      <x:c r="H935" s="207" t="str">
        <x:v>Высокий</x:v>
      </x:c>
      <x:c r="I935" s="207" t="str">
        <x:v>Material aging; BOM; procurement; actual usage</x:v>
      </x:c>
      <x:c r="J935" s="207" t="str">
        <x:v>Остатки ткани 31.05.2026</x:v>
      </x:c>
      <x:c r="K935" s="207" t="str"/>
      <x:c r="L935" s="207" t="str"/>
      <x:c r="M935" s="207" t="str">
        <x:v>Не рассмотрено</x:v>
      </x:c>
      <x:c r="N935" s="207" t="str"/>
      <x:c r="O935" s="207" t="str">
        <x:v>17</x:v>
      </x:c>
      <x:c r="P935" s="207" t="n">
        <x:v>3</x:v>
      </x:c>
      <x:c r="Q935" s="208" t="str">
        <x:v>Wave 2 (31–60 дней)</x:v>
      </x:c>
    </x:row>
    <x:row r="936">
      <x:c r="A936" s="206" t="str">
        <x:v>DEC-00932</x:v>
      </x:c>
      <x:c r="B936" s="207" t="str">
        <x:v>Material master</x:v>
      </x:c>
      <x:c r="C936" s="207" t="str">
        <x:v>MAT-DRAFT-0119</x:v>
      </x:c>
      <x:c r="D936" s="207" t="str">
        <x:v>Unlinked</x:v>
      </x:c>
      <x:c r="E936" s="207" t="str">
        <x:v>1 строк; 4180.00 руб.; 12-001</x:v>
      </x:c>
      <x:c r="F936" s="207" t="str">
        <x:v>Подтвердить карточку, UOM, состав, цвет, поставщика и правила объединения</x:v>
      </x:c>
      <x:c r="G936" s="207" t="str">
        <x:v>Закупки + склад</x:v>
      </x:c>
      <x:c r="H936" s="207" t="str">
        <x:v>Средний</x:v>
      </x:c>
      <x:c r="I936" s="207" t="str">
        <x:v>Material aging; BOM; procurement; actual usage</x:v>
      </x:c>
      <x:c r="J936" s="207" t="str">
        <x:v>Остатки ткани 31.05.2026</x:v>
      </x:c>
      <x:c r="K936" s="207" t="str"/>
      <x:c r="L936" s="207" t="str"/>
      <x:c r="M936" s="207" t="str">
        <x:v>Не рассмотрено</x:v>
      </x:c>
      <x:c r="N936" s="207" t="str"/>
      <x:c r="O936" s="207" t="str">
        <x:v>17</x:v>
      </x:c>
      <x:c r="P936" s="207" t="n">
        <x:v>2</x:v>
      </x:c>
      <x:c r="Q936" s="208" t="str">
        <x:v>Wave 3 (61–90 дней)</x:v>
      </x:c>
    </x:row>
    <x:row r="937">
      <x:c r="A937" s="206" t="str">
        <x:v>DEC-00933</x:v>
      </x:c>
      <x:c r="B937" s="207" t="str">
        <x:v>Material master</x:v>
      </x:c>
      <x:c r="C937" s="207" t="str">
        <x:v>MAT-DRAFT-0123</x:v>
      </x:c>
      <x:c r="D937" s="207" t="str">
        <x:v>Unlinked</x:v>
      </x:c>
      <x:c r="E937" s="207" t="str">
        <x:v>1 строк; 60490.00 руб.; 11-002</x:v>
      </x:c>
      <x:c r="F937" s="207" t="str">
        <x:v>Подтвердить карточку, UOM, состав, цвет, поставщика и правила объединения</x:v>
      </x:c>
      <x:c r="G937" s="207" t="str">
        <x:v>Закупки + склад</x:v>
      </x:c>
      <x:c r="H937" s="207" t="str">
        <x:v>Высокий</x:v>
      </x:c>
      <x:c r="I937" s="207" t="str">
        <x:v>Material aging; BOM; procurement; actual usage</x:v>
      </x:c>
      <x:c r="J937" s="207" t="str">
        <x:v>Остатки ткани 31.05.2026</x:v>
      </x:c>
      <x:c r="K937" s="207" t="str"/>
      <x:c r="L937" s="207" t="str"/>
      <x:c r="M937" s="207" t="str">
        <x:v>Не рассмотрено</x:v>
      </x:c>
      <x:c r="N937" s="207" t="str"/>
      <x:c r="O937" s="207" t="str">
        <x:v>17</x:v>
      </x:c>
      <x:c r="P937" s="207" t="n">
        <x:v>3</x:v>
      </x:c>
      <x:c r="Q937" s="208" t="str">
        <x:v>Wave 2 (31–60 дней)</x:v>
      </x:c>
    </x:row>
    <x:row r="938">
      <x:c r="A938" s="206" t="str">
        <x:v>DEC-00934</x:v>
      </x:c>
      <x:c r="B938" s="207" t="str">
        <x:v>Material master</x:v>
      </x:c>
      <x:c r="C938" s="207" t="str">
        <x:v>MAT-DRAFT-0125</x:v>
      </x:c>
      <x:c r="D938" s="207" t="str">
        <x:v>Несколько кодов; Несколько исходных наименований</x:v>
      </x:c>
      <x:c r="E938" s="207" t="str">
        <x:v>2 строк; 113390.00 руб.; 11-014; 11-026</x:v>
      </x:c>
      <x:c r="F938" s="207" t="str">
        <x:v>Подтвердить карточку, UOM, состав, цвет, поставщика и правила объединения</x:v>
      </x:c>
      <x:c r="G938" s="207" t="str">
        <x:v>Закупки + склад</x:v>
      </x:c>
      <x:c r="H938" s="207" t="str">
        <x:v>Высокий</x:v>
      </x:c>
      <x:c r="I938" s="207" t="str">
        <x:v>Material aging; BOM; procurement; actual usage</x:v>
      </x:c>
      <x:c r="J938" s="207" t="str">
        <x:v>Остатки ткани 31.05.2026</x:v>
      </x:c>
      <x:c r="K938" s="207" t="str"/>
      <x:c r="L938" s="207" t="str"/>
      <x:c r="M938" s="207" t="str">
        <x:v>Не рассмотрено</x:v>
      </x:c>
      <x:c r="N938" s="207" t="str"/>
      <x:c r="O938" s="207" t="str">
        <x:v>17</x:v>
      </x:c>
      <x:c r="P938" s="207" t="n">
        <x:v>3</x:v>
      </x:c>
      <x:c r="Q938" s="208" t="str">
        <x:v>Wave 2 (31–60 дней)</x:v>
      </x:c>
    </x:row>
    <x:row r="939">
      <x:c r="A939" s="206" t="str">
        <x:v>DEC-00935</x:v>
      </x:c>
      <x:c r="B939" s="207" t="str">
        <x:v>Material master</x:v>
      </x:c>
      <x:c r="C939" s="207" t="str">
        <x:v>MAT-DRAFT-0126</x:v>
      </x:c>
      <x:c r="D939" s="207" t="str">
        <x:v>Несколько кодов; Несколько исходных наименований</x:v>
      </x:c>
      <x:c r="E939" s="207" t="str">
        <x:v>2 строк; 74980.00 руб.; 11-007; 11-025</x:v>
      </x:c>
      <x:c r="F939" s="207" t="str">
        <x:v>Подтвердить карточку, UOM, состав, цвет, поставщика и правила объединения</x:v>
      </x:c>
      <x:c r="G939" s="207" t="str">
        <x:v>Закупки + склад</x:v>
      </x:c>
      <x:c r="H939" s="207" t="str">
        <x:v>Высокий</x:v>
      </x:c>
      <x:c r="I939" s="207" t="str">
        <x:v>Material aging; BOM; procurement; actual usage</x:v>
      </x:c>
      <x:c r="J939" s="207" t="str">
        <x:v>Остатки ткани 31.05.2026</x:v>
      </x:c>
      <x:c r="K939" s="207" t="str"/>
      <x:c r="L939" s="207" t="str"/>
      <x:c r="M939" s="207" t="str">
        <x:v>Не рассмотрено</x:v>
      </x:c>
      <x:c r="N939" s="207" t="str"/>
      <x:c r="O939" s="207" t="str">
        <x:v>17</x:v>
      </x:c>
      <x:c r="P939" s="207" t="n">
        <x:v>3</x:v>
      </x:c>
      <x:c r="Q939" s="208" t="str">
        <x:v>Wave 2 (31–60 дней)</x:v>
      </x:c>
    </x:row>
    <x:row r="940">
      <x:c r="A940" s="206" t="str">
        <x:v>DEC-00936</x:v>
      </x:c>
      <x:c r="B940" s="207" t="str">
        <x:v>Material master</x:v>
      </x:c>
      <x:c r="C940" s="207" t="str">
        <x:v>MAT-DRAFT-0127</x:v>
      </x:c>
      <x:c r="D940" s="207" t="str">
        <x:v>Unlinked</x:v>
      </x:c>
      <x:c r="E940" s="207" t="str">
        <x:v>1 строк; 9200.00 руб.; 11-018</x:v>
      </x:c>
      <x:c r="F940" s="207" t="str">
        <x:v>Подтвердить карточку, UOM, состав, цвет, поставщика и правила объединения</x:v>
      </x:c>
      <x:c r="G940" s="207" t="str">
        <x:v>Закупки + склад</x:v>
      </x:c>
      <x:c r="H940" s="207" t="str">
        <x:v>Средний</x:v>
      </x:c>
      <x:c r="I940" s="207" t="str">
        <x:v>Material aging; BOM; procurement; actual usage</x:v>
      </x:c>
      <x:c r="J940" s="207" t="str">
        <x:v>Остатки ткани 31.05.2026</x:v>
      </x:c>
      <x:c r="K940" s="207" t="str"/>
      <x:c r="L940" s="207" t="str"/>
      <x:c r="M940" s="207" t="str">
        <x:v>Не рассмотрено</x:v>
      </x:c>
      <x:c r="N940" s="207" t="str"/>
      <x:c r="O940" s="207" t="str">
        <x:v>17</x:v>
      </x:c>
      <x:c r="P940" s="207" t="n">
        <x:v>2</x:v>
      </x:c>
      <x:c r="Q940" s="208" t="str">
        <x:v>Wave 3 (61–90 дней)</x:v>
      </x:c>
    </x:row>
    <x:row r="941">
      <x:c r="A941" s="206" t="str">
        <x:v>DEC-00937</x:v>
      </x:c>
      <x:c r="B941" s="207" t="str">
        <x:v>Material master</x:v>
      </x:c>
      <x:c r="C941" s="207" t="str">
        <x:v>MAT-DRAFT-0128</x:v>
      </x:c>
      <x:c r="D941" s="207" t="str">
        <x:v>Несколько кодов; Несколько исходных наименований</x:v>
      </x:c>
      <x:c r="E941" s="207" t="str">
        <x:v>2 строк; 97060.00 руб.; 11-016; 11-024</x:v>
      </x:c>
      <x:c r="F941" s="207" t="str">
        <x:v>Подтвердить карточку, UOM, состав, цвет, поставщика и правила объединения</x:v>
      </x:c>
      <x:c r="G941" s="207" t="str">
        <x:v>Закупки + склад</x:v>
      </x:c>
      <x:c r="H941" s="207" t="str">
        <x:v>Высокий</x:v>
      </x:c>
      <x:c r="I941" s="207" t="str">
        <x:v>Material aging; BOM; procurement; actual usage</x:v>
      </x:c>
      <x:c r="J941" s="207" t="str">
        <x:v>Остатки ткани 31.05.2026</x:v>
      </x:c>
      <x:c r="K941" s="207" t="str"/>
      <x:c r="L941" s="207" t="str"/>
      <x:c r="M941" s="207" t="str">
        <x:v>Не рассмотрено</x:v>
      </x:c>
      <x:c r="N941" s="207" t="str"/>
      <x:c r="O941" s="207" t="str">
        <x:v>17</x:v>
      </x:c>
      <x:c r="P941" s="207" t="n">
        <x:v>3</x:v>
      </x:c>
      <x:c r="Q941" s="208" t="str">
        <x:v>Wave 2 (31–60 дней)</x:v>
      </x:c>
    </x:row>
    <x:row r="942">
      <x:c r="A942" s="206" t="str">
        <x:v>DEC-00938</x:v>
      </x:c>
      <x:c r="B942" s="207" t="str">
        <x:v>Material master</x:v>
      </x:c>
      <x:c r="C942" s="207" t="str">
        <x:v>MAT-DRAFT-0130</x:v>
      </x:c>
      <x:c r="D942" s="207" t="str">
        <x:v>Unlinked</x:v>
      </x:c>
      <x:c r="E942" s="207" t="str">
        <x:v>1 строк; 21620.00 руб.; 11-008</x:v>
      </x:c>
      <x:c r="F942" s="207" t="str">
        <x:v>Подтвердить карточку, UOM, состав, цвет, поставщика и правила объединения</x:v>
      </x:c>
      <x:c r="G942" s="207" t="str">
        <x:v>Закупки + склад</x:v>
      </x:c>
      <x:c r="H942" s="207" t="str">
        <x:v>Высокий</x:v>
      </x:c>
      <x:c r="I942" s="207" t="str">
        <x:v>Material aging; BOM; procurement; actual usage</x:v>
      </x:c>
      <x:c r="J942" s="207" t="str">
        <x:v>Остатки ткани 31.05.2026</x:v>
      </x:c>
      <x:c r="K942" s="207" t="str"/>
      <x:c r="L942" s="207" t="str"/>
      <x:c r="M942" s="207" t="str">
        <x:v>Не рассмотрено</x:v>
      </x:c>
      <x:c r="N942" s="207" t="str"/>
      <x:c r="O942" s="207" t="str">
        <x:v>17</x:v>
      </x:c>
      <x:c r="P942" s="207" t="n">
        <x:v>3</x:v>
      </x:c>
      <x:c r="Q942" s="208" t="str">
        <x:v>Wave 2 (31–60 дней)</x:v>
      </x:c>
    </x:row>
    <x:row r="943">
      <x:c r="A943" s="206" t="str">
        <x:v>DEC-00939</x:v>
      </x:c>
      <x:c r="B943" s="207" t="str">
        <x:v>Material master</x:v>
      </x:c>
      <x:c r="C943" s="207" t="str">
        <x:v>MAT-DRAFT-0131</x:v>
      </x:c>
      <x:c r="D943" s="207" t="str">
        <x:v>Unlinked</x:v>
      </x:c>
      <x:c r="E943" s="207" t="str">
        <x:v>1 строк; 52210.00 руб.; 11-013</x:v>
      </x:c>
      <x:c r="F943" s="207" t="str">
        <x:v>Подтвердить карточку, UOM, состав, цвет, поставщика и правила объединения</x:v>
      </x:c>
      <x:c r="G943" s="207" t="str">
        <x:v>Закупки + склад</x:v>
      </x:c>
      <x:c r="H943" s="207" t="str">
        <x:v>Высокий</x:v>
      </x:c>
      <x:c r="I943" s="207" t="str">
        <x:v>Material aging; BOM; procurement; actual usage</x:v>
      </x:c>
      <x:c r="J943" s="207" t="str">
        <x:v>Остатки ткани 31.05.2026</x:v>
      </x:c>
      <x:c r="K943" s="207" t="str"/>
      <x:c r="L943" s="207" t="str"/>
      <x:c r="M943" s="207" t="str">
        <x:v>Не рассмотрено</x:v>
      </x:c>
      <x:c r="N943" s="207" t="str"/>
      <x:c r="O943" s="207" t="str">
        <x:v>17</x:v>
      </x:c>
      <x:c r="P943" s="207" t="n">
        <x:v>3</x:v>
      </x:c>
      <x:c r="Q943" s="208" t="str">
        <x:v>Wave 2 (31–60 дней)</x:v>
      </x:c>
    </x:row>
    <x:row r="944">
      <x:c r="A944" s="206" t="str">
        <x:v>DEC-00940</x:v>
      </x:c>
      <x:c r="B944" s="207" t="str">
        <x:v>Material master</x:v>
      </x:c>
      <x:c r="C944" s="207" t="str">
        <x:v>MAT-DRAFT-0132</x:v>
      </x:c>
      <x:c r="D944" s="207" t="str">
        <x:v>Unlinked</x:v>
      </x:c>
      <x:c r="E944" s="207" t="str">
        <x:v>1 строк; 30590.00 руб.; 11-019</x:v>
      </x:c>
      <x:c r="F944" s="207" t="str">
        <x:v>Подтвердить карточку, UOM, состав, цвет, поставщика и правила объединения</x:v>
      </x:c>
      <x:c r="G944" s="207" t="str">
        <x:v>Закупки + склад</x:v>
      </x:c>
      <x:c r="H944" s="207" t="str">
        <x:v>Высокий</x:v>
      </x:c>
      <x:c r="I944" s="207" t="str">
        <x:v>Material aging; BOM; procurement; actual usage</x:v>
      </x:c>
      <x:c r="J944" s="207" t="str">
        <x:v>Остатки ткани 31.05.2026</x:v>
      </x:c>
      <x:c r="K944" s="207" t="str"/>
      <x:c r="L944" s="207" t="str"/>
      <x:c r="M944" s="207" t="str">
        <x:v>Не рассмотрено</x:v>
      </x:c>
      <x:c r="N944" s="207" t="str"/>
      <x:c r="O944" s="207" t="str">
        <x:v>17</x:v>
      </x:c>
      <x:c r="P944" s="207" t="n">
        <x:v>3</x:v>
      </x:c>
      <x:c r="Q944" s="208" t="str">
        <x:v>Wave 2 (31–60 дней)</x:v>
      </x:c>
    </x:row>
    <x:row r="945">
      <x:c r="A945" s="206" t="str">
        <x:v>DEC-00941</x:v>
      </x:c>
      <x:c r="B945" s="207" t="str">
        <x:v>Material master</x:v>
      </x:c>
      <x:c r="C945" s="207" t="str">
        <x:v>MAT-DRAFT-0133</x:v>
      </x:c>
      <x:c r="D945" s="207" t="str">
        <x:v>Unlinked</x:v>
      </x:c>
      <x:c r="E945" s="207" t="str">
        <x:v>1 строк; 28520.00 руб.; 11-023</x:v>
      </x:c>
      <x:c r="F945" s="207" t="str">
        <x:v>Подтвердить карточку, UOM, состав, цвет, поставщика и правила объединения</x:v>
      </x:c>
      <x:c r="G945" s="207" t="str">
        <x:v>Закупки + склад</x:v>
      </x:c>
      <x:c r="H945" s="207" t="str">
        <x:v>Высокий</x:v>
      </x:c>
      <x:c r="I945" s="207" t="str">
        <x:v>Material aging; BOM; procurement; actual usage</x:v>
      </x:c>
      <x:c r="J945" s="207" t="str">
        <x:v>Остатки ткани 31.05.2026</x:v>
      </x:c>
      <x:c r="K945" s="207" t="str"/>
      <x:c r="L945" s="207" t="str"/>
      <x:c r="M945" s="207" t="str">
        <x:v>Не рассмотрено</x:v>
      </x:c>
      <x:c r="N945" s="207" t="str"/>
      <x:c r="O945" s="207" t="str">
        <x:v>17</x:v>
      </x:c>
      <x:c r="P945" s="207" t="n">
        <x:v>3</x:v>
      </x:c>
      <x:c r="Q945" s="208" t="str">
        <x:v>Wave 2 (31–60 дней)</x:v>
      </x:c>
    </x:row>
    <x:row r="946">
      <x:c r="A946" s="206" t="str">
        <x:v>DEC-00942</x:v>
      </x:c>
      <x:c r="B946" s="207" t="str">
        <x:v>Material master</x:v>
      </x:c>
      <x:c r="C946" s="207" t="str">
        <x:v>MAT-DRAFT-0134</x:v>
      </x:c>
      <x:c r="D946" s="207" t="str">
        <x:v>Несколько кодов; Несколько исходных наименований</x:v>
      </x:c>
      <x:c r="E946" s="207" t="str">
        <x:v>4 строк; 269330.00 руб.; 11-020; 11-027; 11-028</x:v>
      </x:c>
      <x:c r="F946" s="207" t="str">
        <x:v>Подтвердить карточку, UOM, состав, цвет, поставщика и правила объединения</x:v>
      </x:c>
      <x:c r="G946" s="207" t="str">
        <x:v>Закупки + склад</x:v>
      </x:c>
      <x:c r="H946" s="207" t="str">
        <x:v>Высокий</x:v>
      </x:c>
      <x:c r="I946" s="207" t="str">
        <x:v>Material aging; BOM; procurement; actual usage</x:v>
      </x:c>
      <x:c r="J946" s="207" t="str">
        <x:v>Остатки ткани 31.05.2026</x:v>
      </x:c>
      <x:c r="K946" s="207" t="str"/>
      <x:c r="L946" s="207" t="str"/>
      <x:c r="M946" s="207" t="str">
        <x:v>Не рассмотрено</x:v>
      </x:c>
      <x:c r="N946" s="207" t="str"/>
      <x:c r="O946" s="207" t="str">
        <x:v>17</x:v>
      </x:c>
      <x:c r="P946" s="207" t="n">
        <x:v>3</x:v>
      </x:c>
      <x:c r="Q946" s="208" t="str">
        <x:v>Wave 2 (31–60 дней)</x:v>
      </x:c>
    </x:row>
    <x:row r="947">
      <x:c r="A947" s="206" t="str">
        <x:v>DEC-00943</x:v>
      </x:c>
      <x:c r="B947" s="207" t="str">
        <x:v>Material master</x:v>
      </x:c>
      <x:c r="C947" s="207" t="str">
        <x:v>MAT-DRAFT-0135</x:v>
      </x:c>
      <x:c r="D947" s="207" t="str">
        <x:v>Unlinked</x:v>
      </x:c>
      <x:c r="E947" s="207" t="str">
        <x:v>1 строк; 30245.00 руб.; 11-021</x:v>
      </x:c>
      <x:c r="F947" s="207" t="str">
        <x:v>Подтвердить карточку, UOM, состав, цвет, поставщика и правила объединения</x:v>
      </x:c>
      <x:c r="G947" s="207" t="str">
        <x:v>Закупки + склад</x:v>
      </x:c>
      <x:c r="H947" s="207" t="str">
        <x:v>Высокий</x:v>
      </x:c>
      <x:c r="I947" s="207" t="str">
        <x:v>Material aging; BOM; procurement; actual usage</x:v>
      </x:c>
      <x:c r="J947" s="207" t="str">
        <x:v>Остатки ткани 31.05.2026</x:v>
      </x:c>
      <x:c r="K947" s="207" t="str"/>
      <x:c r="L947" s="207" t="str"/>
      <x:c r="M947" s="207" t="str">
        <x:v>Не рассмотрено</x:v>
      </x:c>
      <x:c r="N947" s="207" t="str"/>
      <x:c r="O947" s="207" t="str">
        <x:v>17</x:v>
      </x:c>
      <x:c r="P947" s="207" t="n">
        <x:v>3</x:v>
      </x:c>
      <x:c r="Q947" s="208" t="str">
        <x:v>Wave 2 (31–60 дней)</x:v>
      </x:c>
    </x:row>
    <x:row r="948">
      <x:c r="A948" s="206" t="str">
        <x:v>DEC-00944</x:v>
      </x:c>
      <x:c r="B948" s="207" t="str">
        <x:v>Material master</x:v>
      </x:c>
      <x:c r="C948" s="207" t="str">
        <x:v>MAT-DRAFT-0136</x:v>
      </x:c>
      <x:c r="D948" s="207" t="str">
        <x:v>Несколько кодов; Несколько исходных наименований</x:v>
      </x:c>
      <x:c r="E948" s="207" t="str">
        <x:v>2 строк; 119600.00 руб.; 11-004; 11-012</x:v>
      </x:c>
      <x:c r="F948" s="207" t="str">
        <x:v>Подтвердить карточку, UOM, состав, цвет, поставщика и правила объединения</x:v>
      </x:c>
      <x:c r="G948" s="207" t="str">
        <x:v>Закупки + склад</x:v>
      </x:c>
      <x:c r="H948" s="207" t="str">
        <x:v>Критический</x:v>
      </x:c>
      <x:c r="I948" s="207" t="str">
        <x:v>Material aging; BOM; procurement; actual usage</x:v>
      </x:c>
      <x:c r="J948" s="207" t="str">
        <x:v>Остатки ткани 31.05.2026</x:v>
      </x:c>
      <x:c r="K948" s="207" t="str"/>
      <x:c r="L948" s="207" t="str"/>
      <x:c r="M948" s="207" t="str">
        <x:v>Не рассмотрено</x:v>
      </x:c>
      <x:c r="N948" s="207" t="str"/>
      <x:c r="O948" s="207" t="str">
        <x:v>17</x:v>
      </x:c>
      <x:c r="P948" s="207" t="n">
        <x:v>4</x:v>
      </x:c>
      <x:c r="Q948" s="208" t="str">
        <x:v>Wave 1 (0–30 дней)</x:v>
      </x:c>
    </x:row>
    <x:row r="949">
      <x:c r="A949" s="206" t="str">
        <x:v>DEC-00945</x:v>
      </x:c>
      <x:c r="B949" s="207" t="str">
        <x:v>Material master</x:v>
      </x:c>
      <x:c r="C949" s="207" t="str">
        <x:v>MAT-DRAFT-0138</x:v>
      </x:c>
      <x:c r="D949" s="207" t="str">
        <x:v>Unlinked</x:v>
      </x:c>
      <x:c r="E949" s="207" t="str">
        <x:v>1 строк; 23000.00 руб.; 11-006</x:v>
      </x:c>
      <x:c r="F949" s="207" t="str">
        <x:v>Подтвердить карточку, UOM, состав, цвет, поставщика и правила объединения</x:v>
      </x:c>
      <x:c r="G949" s="207" t="str">
        <x:v>Закупки + склад</x:v>
      </x:c>
      <x:c r="H949" s="207" t="str">
        <x:v>Высокий</x:v>
      </x:c>
      <x:c r="I949" s="207" t="str">
        <x:v>Material aging; BOM; procurement; actual usage</x:v>
      </x:c>
      <x:c r="J949" s="207" t="str">
        <x:v>Остатки ткани 31.05.2026</x:v>
      </x:c>
      <x:c r="K949" s="207" t="str"/>
      <x:c r="L949" s="207" t="str"/>
      <x:c r="M949" s="207" t="str">
        <x:v>Не рассмотрено</x:v>
      </x:c>
      <x:c r="N949" s="207" t="str"/>
      <x:c r="O949" s="207" t="str">
        <x:v>17</x:v>
      </x:c>
      <x:c r="P949" s="207" t="n">
        <x:v>3</x:v>
      </x:c>
      <x:c r="Q949" s="208" t="str">
        <x:v>Wave 2 (31–60 дней)</x:v>
      </x:c>
    </x:row>
    <x:row r="950">
      <x:c r="A950" s="206" t="str">
        <x:v>DEC-00946</x:v>
      </x:c>
      <x:c r="B950" s="207" t="str">
        <x:v>Material master</x:v>
      </x:c>
      <x:c r="C950" s="207" t="str">
        <x:v>MAT-DRAFT-0139</x:v>
      </x:c>
      <x:c r="D950" s="207" t="str">
        <x:v>Unlinked</x:v>
      </x:c>
      <x:c r="E950" s="207" t="str">
        <x:v>2 строк; 45770.00 руб.; 11-017</x:v>
      </x:c>
      <x:c r="F950" s="207" t="str">
        <x:v>Подтвердить карточку, UOM, состав, цвет, поставщика и правила объединения</x:v>
      </x:c>
      <x:c r="G950" s="207" t="str">
        <x:v>Закупки + склад</x:v>
      </x:c>
      <x:c r="H950" s="207" t="str">
        <x:v>Высокий</x:v>
      </x:c>
      <x:c r="I950" s="207" t="str">
        <x:v>Material aging; BOM; procurement; actual usage</x:v>
      </x:c>
      <x:c r="J950" s="207" t="str">
        <x:v>Остатки ткани 31.05.2026</x:v>
      </x:c>
      <x:c r="K950" s="207" t="str"/>
      <x:c r="L950" s="207" t="str"/>
      <x:c r="M950" s="207" t="str">
        <x:v>Не рассмотрено</x:v>
      </x:c>
      <x:c r="N950" s="207" t="str"/>
      <x:c r="O950" s="207" t="str">
        <x:v>17</x:v>
      </x:c>
      <x:c r="P950" s="207" t="n">
        <x:v>3</x:v>
      </x:c>
      <x:c r="Q950" s="208" t="str">
        <x:v>Wave 2 (31–60 дней)</x:v>
      </x:c>
    </x:row>
    <x:row r="951">
      <x:c r="A951" s="206" t="str">
        <x:v>DEC-00947</x:v>
      </x:c>
      <x:c r="B951" s="207" t="str">
        <x:v>Material master</x:v>
      </x:c>
      <x:c r="C951" s="207" t="str">
        <x:v>MAT-DRAFT-0144</x:v>
      </x:c>
      <x:c r="D951" s="207" t="str">
        <x:v>Unlinked</x:v>
      </x:c>
      <x:c r="E951" s="207" t="str">
        <x:v>1 строк; 16000.00 руб.; 5-009</x:v>
      </x:c>
      <x:c r="F951" s="207" t="str">
        <x:v>Подтвердить карточку, UOM, состав, цвет, поставщика и правила объединения</x:v>
      </x:c>
      <x:c r="G951" s="207" t="str">
        <x:v>Закупки + склад</x:v>
      </x:c>
      <x:c r="H951" s="207" t="str">
        <x:v>Высокий</x:v>
      </x:c>
      <x:c r="I951" s="207" t="str">
        <x:v>Material aging; BOM; procurement; actual usage</x:v>
      </x:c>
      <x:c r="J951" s="207" t="str">
        <x:v>Остатки ткани 31.05.2026</x:v>
      </x:c>
      <x:c r="K951" s="207" t="str"/>
      <x:c r="L951" s="207" t="str"/>
      <x:c r="M951" s="207" t="str">
        <x:v>Не рассмотрено</x:v>
      </x:c>
      <x:c r="N951" s="207" t="str"/>
      <x:c r="O951" s="207" t="str">
        <x:v>17</x:v>
      </x:c>
      <x:c r="P951" s="207" t="n">
        <x:v>3</x:v>
      </x:c>
      <x:c r="Q951" s="208" t="str">
        <x:v>Wave 2 (31–60 дней)</x:v>
      </x:c>
    </x:row>
    <x:row r="952">
      <x:c r="A952" s="206" t="str">
        <x:v>DEC-00948</x:v>
      </x:c>
      <x:c r="B952" s="207" t="str">
        <x:v>Material master</x:v>
      </x:c>
      <x:c r="C952" s="207" t="str">
        <x:v>MAT-DRAFT-0145</x:v>
      </x:c>
      <x:c r="D952" s="207" t="str">
        <x:v>Unlinked</x:v>
      </x:c>
      <x:c r="E952" s="207" t="str">
        <x:v>1 строк; 53900.00 руб.; 5-013</x:v>
      </x:c>
      <x:c r="F952" s="207" t="str">
        <x:v>Подтвердить карточку, UOM, состав, цвет, поставщика и правила объединения</x:v>
      </x:c>
      <x:c r="G952" s="207" t="str">
        <x:v>Закупки + склад</x:v>
      </x:c>
      <x:c r="H952" s="207" t="str">
        <x:v>Высокий</x:v>
      </x:c>
      <x:c r="I952" s="207" t="str">
        <x:v>Material aging; BOM; procurement; actual usage</x:v>
      </x:c>
      <x:c r="J952" s="207" t="str">
        <x:v>Остатки ткани 31.05.2026</x:v>
      </x:c>
      <x:c r="K952" s="207" t="str"/>
      <x:c r="L952" s="207" t="str"/>
      <x:c r="M952" s="207" t="str">
        <x:v>Не рассмотрено</x:v>
      </x:c>
      <x:c r="N952" s="207" t="str"/>
      <x:c r="O952" s="207" t="str">
        <x:v>17</x:v>
      </x:c>
      <x:c r="P952" s="207" t="n">
        <x:v>3</x:v>
      </x:c>
      <x:c r="Q952" s="208" t="str">
        <x:v>Wave 2 (31–60 дней)</x:v>
      </x:c>
    </x:row>
    <x:row r="953">
      <x:c r="A953" s="206" t="str">
        <x:v>DEC-00949</x:v>
      </x:c>
      <x:c r="B953" s="207" t="str">
        <x:v>Material master</x:v>
      </x:c>
      <x:c r="C953" s="207" t="str">
        <x:v>MAT-DRAFT-0147</x:v>
      </x:c>
      <x:c r="D953" s="207" t="str">
        <x:v>Unlinked</x:v>
      </x:c>
      <x:c r="E953" s="207" t="str">
        <x:v>1 строк; 47250.00 руб.; 5-014</x:v>
      </x:c>
      <x:c r="F953" s="207" t="str">
        <x:v>Подтвердить карточку, UOM, состав, цвет, поставщика и правила объединения</x:v>
      </x:c>
      <x:c r="G953" s="207" t="str">
        <x:v>Закупки + склад</x:v>
      </x:c>
      <x:c r="H953" s="207" t="str">
        <x:v>Высокий</x:v>
      </x:c>
      <x:c r="I953" s="207" t="str">
        <x:v>Material aging; BOM; procurement; actual usage</x:v>
      </x:c>
      <x:c r="J953" s="207" t="str">
        <x:v>Остатки ткани 31.05.2026</x:v>
      </x:c>
      <x:c r="K953" s="207" t="str"/>
      <x:c r="L953" s="207" t="str"/>
      <x:c r="M953" s="207" t="str">
        <x:v>Не рассмотрено</x:v>
      </x:c>
      <x:c r="N953" s="207" t="str"/>
      <x:c r="O953" s="207" t="str">
        <x:v>17</x:v>
      </x:c>
      <x:c r="P953" s="207" t="n">
        <x:v>3</x:v>
      </x:c>
      <x:c r="Q953" s="208" t="str">
        <x:v>Wave 2 (31–60 дней)</x:v>
      </x:c>
    </x:row>
    <x:row r="954">
      <x:c r="A954" s="206" t="str">
        <x:v>DEC-00950</x:v>
      </x:c>
      <x:c r="B954" s="207" t="str">
        <x:v>Material master</x:v>
      </x:c>
      <x:c r="C954" s="207" t="str">
        <x:v>MAT-DRAFT-0149</x:v>
      </x:c>
      <x:c r="D954" s="207" t="str">
        <x:v>Несколько кодов; Несколько исходных наименований</x:v>
      </x:c>
      <x:c r="E954" s="207" t="str">
        <x:v>3 строк; 169100.00 руб.; 5-003; 5-019</x:v>
      </x:c>
      <x:c r="F954" s="207" t="str">
        <x:v>Подтвердить карточку, UOM, состав, цвет, поставщика и правила объединения</x:v>
      </x:c>
      <x:c r="G954" s="207" t="str">
        <x:v>Закупки + склад</x:v>
      </x:c>
      <x:c r="H954" s="207" t="str">
        <x:v>Критический</x:v>
      </x:c>
      <x:c r="I954" s="207" t="str">
        <x:v>Material aging; BOM; procurement; actual usage</x:v>
      </x:c>
      <x:c r="J954" s="207" t="str">
        <x:v>Остатки ткани 31.05.2026</x:v>
      </x:c>
      <x:c r="K954" s="207" t="str"/>
      <x:c r="L954" s="207" t="str"/>
      <x:c r="M954" s="207" t="str">
        <x:v>Не рассмотрено</x:v>
      </x:c>
      <x:c r="N954" s="207" t="str"/>
      <x:c r="O954" s="207" t="str">
        <x:v>17</x:v>
      </x:c>
      <x:c r="P954" s="207" t="n">
        <x:v>4</x:v>
      </x:c>
      <x:c r="Q954" s="208" t="str">
        <x:v>Wave 1 (0–30 дней)</x:v>
      </x:c>
    </x:row>
    <x:row r="955">
      <x:c r="A955" s="206" t="str">
        <x:v>DEC-00951</x:v>
      </x:c>
      <x:c r="B955" s="207" t="str">
        <x:v>Material master</x:v>
      </x:c>
      <x:c r="C955" s="207" t="str">
        <x:v>MAT-DRAFT-0150</x:v>
      </x:c>
      <x:c r="D955" s="207" t="str">
        <x:v>Unlinked</x:v>
      </x:c>
      <x:c r="E955" s="207" t="str">
        <x:v>1 строк; 86800.00 руб.; 5-016</x:v>
      </x:c>
      <x:c r="F955" s="207" t="str">
        <x:v>Подтвердить карточку, UOM, состав, цвет, поставщика и правила объединения</x:v>
      </x:c>
      <x:c r="G955" s="207" t="str">
        <x:v>Закупки + склад</x:v>
      </x:c>
      <x:c r="H955" s="207" t="str">
        <x:v>Высокий</x:v>
      </x:c>
      <x:c r="I955" s="207" t="str">
        <x:v>Material aging; BOM; procurement; actual usage</x:v>
      </x:c>
      <x:c r="J955" s="207" t="str">
        <x:v>Остатки ткани 31.05.2026</x:v>
      </x:c>
      <x:c r="K955" s="207" t="str"/>
      <x:c r="L955" s="207" t="str"/>
      <x:c r="M955" s="207" t="str">
        <x:v>Не рассмотрено</x:v>
      </x:c>
      <x:c r="N955" s="207" t="str"/>
      <x:c r="O955" s="207" t="str">
        <x:v>17</x:v>
      </x:c>
      <x:c r="P955" s="207" t="n">
        <x:v>3</x:v>
      </x:c>
      <x:c r="Q955" s="208" t="str">
        <x:v>Wave 2 (31–60 дней)</x:v>
      </x:c>
    </x:row>
    <x:row r="956">
      <x:c r="A956" s="206" t="str">
        <x:v>DEC-00952</x:v>
      </x:c>
      <x:c r="B956" s="207" t="str">
        <x:v>Material master</x:v>
      </x:c>
      <x:c r="C956" s="207" t="str">
        <x:v>MAT-DRAFT-0151</x:v>
      </x:c>
      <x:c r="D956" s="207" t="str">
        <x:v>Unlinked</x:v>
      </x:c>
      <x:c r="E956" s="207" t="str">
        <x:v>1 строк; 44000.00 руб.; 5-004</x:v>
      </x:c>
      <x:c r="F956" s="207" t="str">
        <x:v>Подтвердить карточку, UOM, состав, цвет, поставщика и правила объединения</x:v>
      </x:c>
      <x:c r="G956" s="207" t="str">
        <x:v>Закупки + склад</x:v>
      </x:c>
      <x:c r="H956" s="207" t="str">
        <x:v>Высокий</x:v>
      </x:c>
      <x:c r="I956" s="207" t="str">
        <x:v>Material aging; BOM; procurement; actual usage</x:v>
      </x:c>
      <x:c r="J956" s="207" t="str">
        <x:v>Остатки ткани 31.05.2026</x:v>
      </x:c>
      <x:c r="K956" s="207" t="str"/>
      <x:c r="L956" s="207" t="str"/>
      <x:c r="M956" s="207" t="str">
        <x:v>Не рассмотрено</x:v>
      </x:c>
      <x:c r="N956" s="207" t="str"/>
      <x:c r="O956" s="207" t="str">
        <x:v>17</x:v>
      </x:c>
      <x:c r="P956" s="207" t="n">
        <x:v>3</x:v>
      </x:c>
      <x:c r="Q956" s="208" t="str">
        <x:v>Wave 2 (31–60 дней)</x:v>
      </x:c>
    </x:row>
    <x:row r="957">
      <x:c r="A957" s="206" t="str">
        <x:v>DEC-00953</x:v>
      </x:c>
      <x:c r="B957" s="207" t="str">
        <x:v>Material master</x:v>
      </x:c>
      <x:c r="C957" s="207" t="str">
        <x:v>MAT-DRAFT-0154</x:v>
      </x:c>
      <x:c r="D957" s="207" t="str">
        <x:v>Unlinked</x:v>
      </x:c>
      <x:c r="E957" s="207" t="str">
        <x:v>1 строк; 45500.00 руб.; 5-010</x:v>
      </x:c>
      <x:c r="F957" s="207" t="str">
        <x:v>Подтвердить карточку, UOM, состав, цвет, поставщика и правила объединения</x:v>
      </x:c>
      <x:c r="G957" s="207" t="str">
        <x:v>Закупки + склад</x:v>
      </x:c>
      <x:c r="H957" s="207" t="str">
        <x:v>Высокий</x:v>
      </x:c>
      <x:c r="I957" s="207" t="str">
        <x:v>Material aging; BOM; procurement; actual usage</x:v>
      </x:c>
      <x:c r="J957" s="207" t="str">
        <x:v>Остатки ткани 31.05.2026</x:v>
      </x:c>
      <x:c r="K957" s="207" t="str"/>
      <x:c r="L957" s="207" t="str"/>
      <x:c r="M957" s="207" t="str">
        <x:v>Не рассмотрено</x:v>
      </x:c>
      <x:c r="N957" s="207" t="str"/>
      <x:c r="O957" s="207" t="str">
        <x:v>17</x:v>
      </x:c>
      <x:c r="P957" s="207" t="n">
        <x:v>3</x:v>
      </x:c>
      <x:c r="Q957" s="208" t="str">
        <x:v>Wave 2 (31–60 дней)</x:v>
      </x:c>
    </x:row>
    <x:row r="958">
      <x:c r="A958" s="206" t="str">
        <x:v>DEC-00954</x:v>
      </x:c>
      <x:c r="B958" s="207" t="str">
        <x:v>Material master</x:v>
      </x:c>
      <x:c r="C958" s="207" t="str">
        <x:v>MAT-DRAFT-0156</x:v>
      </x:c>
      <x:c r="D958" s="207" t="str">
        <x:v>Unlinked</x:v>
      </x:c>
      <x:c r="E958" s="207" t="str">
        <x:v>2 строк; 13860.00 руб.; 5-005</x:v>
      </x:c>
      <x:c r="F958" s="207" t="str">
        <x:v>Подтвердить карточку, UOM, состав, цвет, поставщика и правила объединения</x:v>
      </x:c>
      <x:c r="G958" s="207" t="str">
        <x:v>Закупки + склад</x:v>
      </x:c>
      <x:c r="H958" s="207" t="str">
        <x:v>Высокий</x:v>
      </x:c>
      <x:c r="I958" s="207" t="str">
        <x:v>Material aging; BOM; procurement; actual usage</x:v>
      </x:c>
      <x:c r="J958" s="207" t="str">
        <x:v>Остатки ткани 31.05.2026</x:v>
      </x:c>
      <x:c r="K958" s="207" t="str"/>
      <x:c r="L958" s="207" t="str"/>
      <x:c r="M958" s="207" t="str">
        <x:v>Не рассмотрено</x:v>
      </x:c>
      <x:c r="N958" s="207" t="str"/>
      <x:c r="O958" s="207" t="str">
        <x:v>17</x:v>
      </x:c>
      <x:c r="P958" s="207" t="n">
        <x:v>3</x:v>
      </x:c>
      <x:c r="Q958" s="208" t="str">
        <x:v>Wave 2 (31–60 дней)</x:v>
      </x:c>
    </x:row>
    <x:row r="959">
      <x:c r="A959" s="206" t="str">
        <x:v>DEC-00955</x:v>
      </x:c>
      <x:c r="B959" s="207" t="str">
        <x:v>Material master</x:v>
      </x:c>
      <x:c r="C959" s="207" t="str">
        <x:v>MAT-DRAFT-0159</x:v>
      </x:c>
      <x:c r="D959" s="207" t="str">
        <x:v>Unlinked</x:v>
      </x:c>
      <x:c r="E959" s="207" t="str">
        <x:v>1 строк; 3675.00 руб.; 10A-003</x:v>
      </x:c>
      <x:c r="F959" s="207" t="str">
        <x:v>Подтвердить карточку, UOM, состав, цвет, поставщика и правила объединения</x:v>
      </x:c>
      <x:c r="G959" s="207" t="str">
        <x:v>Закупки + склад</x:v>
      </x:c>
      <x:c r="H959" s="207" t="str">
        <x:v>Средний</x:v>
      </x:c>
      <x:c r="I959" s="207" t="str">
        <x:v>Material aging; BOM; procurement; actual usage</x:v>
      </x:c>
      <x:c r="J959" s="207" t="str">
        <x:v>Остатки ткани 31.05.2026</x:v>
      </x:c>
      <x:c r="K959" s="207" t="str"/>
      <x:c r="L959" s="207" t="str"/>
      <x:c r="M959" s="207" t="str">
        <x:v>Не рассмотрено</x:v>
      </x:c>
      <x:c r="N959" s="207" t="str"/>
      <x:c r="O959" s="207" t="str">
        <x:v>17</x:v>
      </x:c>
      <x:c r="P959" s="207" t="n">
        <x:v>2</x:v>
      </x:c>
      <x:c r="Q959" s="208" t="str">
        <x:v>Wave 3 (61–90 дней)</x:v>
      </x:c>
    </x:row>
    <x:row r="960">
      <x:c r="A960" s="206" t="str">
        <x:v>DEC-00956</x:v>
      </x:c>
      <x:c r="B960" s="207" t="str">
        <x:v>Material master</x:v>
      </x:c>
      <x:c r="C960" s="207" t="str">
        <x:v>MAT-DRAFT-0160</x:v>
      </x:c>
      <x:c r="D960" s="207" t="str">
        <x:v>Unlinked</x:v>
      </x:c>
      <x:c r="E960" s="207" t="str">
        <x:v>1 строк; 13950.00 руб.; 10A-007</x:v>
      </x:c>
      <x:c r="F960" s="207" t="str">
        <x:v>Подтвердить карточку, UOM, состав, цвет, поставщика и правила объединения</x:v>
      </x:c>
      <x:c r="G960" s="207" t="str">
        <x:v>Закупки + склад</x:v>
      </x:c>
      <x:c r="H960" s="207" t="str">
        <x:v>Высокий</x:v>
      </x:c>
      <x:c r="I960" s="207" t="str">
        <x:v>Material aging; BOM; procurement; actual usage</x:v>
      </x:c>
      <x:c r="J960" s="207" t="str">
        <x:v>Остатки ткани 31.05.2026</x:v>
      </x:c>
      <x:c r="K960" s="207" t="str"/>
      <x:c r="L960" s="207" t="str"/>
      <x:c r="M960" s="207" t="str">
        <x:v>Не рассмотрено</x:v>
      </x:c>
      <x:c r="N960" s="207" t="str"/>
      <x:c r="O960" s="207" t="str">
        <x:v>17</x:v>
      </x:c>
      <x:c r="P960" s="207" t="n">
        <x:v>3</x:v>
      </x:c>
      <x:c r="Q960" s="208" t="str">
        <x:v>Wave 2 (31–60 дней)</x:v>
      </x:c>
    </x:row>
    <x:row r="961">
      <x:c r="A961" s="206" t="str">
        <x:v>DEC-00957</x:v>
      </x:c>
      <x:c r="B961" s="207" t="str">
        <x:v>Material master</x:v>
      </x:c>
      <x:c r="C961" s="207" t="str">
        <x:v>MAT-DRAFT-0161</x:v>
      </x:c>
      <x:c r="D961" s="207" t="str">
        <x:v>Unlinked</x:v>
      </x:c>
      <x:c r="E961" s="207" t="str">
        <x:v>1 строк; 8950.00 руб.; 10A-006</x:v>
      </x:c>
      <x:c r="F961" s="207" t="str">
        <x:v>Подтвердить карточку, UOM, состав, цвет, поставщика и правила объединения</x:v>
      </x:c>
      <x:c r="G961" s="207" t="str">
        <x:v>Закупки + склад</x:v>
      </x:c>
      <x:c r="H961" s="207" t="str">
        <x:v>Средний</x:v>
      </x:c>
      <x:c r="I961" s="207" t="str">
        <x:v>Material aging; BOM; procurement; actual usage</x:v>
      </x:c>
      <x:c r="J961" s="207" t="str">
        <x:v>Остатки ткани 31.05.2026</x:v>
      </x:c>
      <x:c r="K961" s="207" t="str"/>
      <x:c r="L961" s="207" t="str"/>
      <x:c r="M961" s="207" t="str">
        <x:v>Не рассмотрено</x:v>
      </x:c>
      <x:c r="N961" s="207" t="str"/>
      <x:c r="O961" s="207" t="str">
        <x:v>17</x:v>
      </x:c>
      <x:c r="P961" s="207" t="n">
        <x:v>2</x:v>
      </x:c>
      <x:c r="Q961" s="208" t="str">
        <x:v>Wave 3 (61–90 дней)</x:v>
      </x:c>
    </x:row>
    <x:row r="962">
      <x:c r="A962" s="206" t="str">
        <x:v>DEC-00958</x:v>
      </x:c>
      <x:c r="B962" s="207" t="str">
        <x:v>Material master</x:v>
      </x:c>
      <x:c r="C962" s="207" t="str">
        <x:v>MAT-DRAFT-0162</x:v>
      </x:c>
      <x:c r="D962" s="207" t="str">
        <x:v>Unlinked</x:v>
      </x:c>
      <x:c r="E962" s="207" t="str">
        <x:v>1 строк; 14000.00 руб.; 10A-005</x:v>
      </x:c>
      <x:c r="F962" s="207" t="str">
        <x:v>Подтвердить карточку, UOM, состав, цвет, поставщика и правила объединения</x:v>
      </x:c>
      <x:c r="G962" s="207" t="str">
        <x:v>Закупки + склад</x:v>
      </x:c>
      <x:c r="H962" s="207" t="str">
        <x:v>Высокий</x:v>
      </x:c>
      <x:c r="I962" s="207" t="str">
        <x:v>Material aging; BOM; procurement; actual usage</x:v>
      </x:c>
      <x:c r="J962" s="207" t="str">
        <x:v>Остатки ткани 31.05.2026</x:v>
      </x:c>
      <x:c r="K962" s="207" t="str"/>
      <x:c r="L962" s="207" t="str"/>
      <x:c r="M962" s="207" t="str">
        <x:v>Не рассмотрено</x:v>
      </x:c>
      <x:c r="N962" s="207" t="str"/>
      <x:c r="O962" s="207" t="str">
        <x:v>17</x:v>
      </x:c>
      <x:c r="P962" s="207" t="n">
        <x:v>3</x:v>
      </x:c>
      <x:c r="Q962" s="208" t="str">
        <x:v>Wave 2 (31–60 дней)</x:v>
      </x:c>
    </x:row>
    <x:row r="963">
      <x:c r="A963" s="206" t="str">
        <x:v>DEC-00959</x:v>
      </x:c>
      <x:c r="B963" s="207" t="str">
        <x:v>Material master</x:v>
      </x:c>
      <x:c r="C963" s="207" t="str">
        <x:v>MAT-DRAFT-0164</x:v>
      </x:c>
      <x:c r="D963" s="207" t="str">
        <x:v>Unlinked</x:v>
      </x:c>
      <x:c r="E963" s="207" t="str">
        <x:v>1 строк; 19200.00 руб.; 10-004</x:v>
      </x:c>
      <x:c r="F963" s="207" t="str">
        <x:v>Подтвердить карточку, UOM, состав, цвет, поставщика и правила объединения</x:v>
      </x:c>
      <x:c r="G963" s="207" t="str">
        <x:v>Закупки + склад</x:v>
      </x:c>
      <x:c r="H963" s="207" t="str">
        <x:v>Высокий</x:v>
      </x:c>
      <x:c r="I963" s="207" t="str">
        <x:v>Material aging; BOM; procurement; actual usage</x:v>
      </x:c>
      <x:c r="J963" s="207" t="str">
        <x:v>Остатки ткани 31.05.2026</x:v>
      </x:c>
      <x:c r="K963" s="207" t="str"/>
      <x:c r="L963" s="207" t="str"/>
      <x:c r="M963" s="207" t="str">
        <x:v>Не рассмотрено</x:v>
      </x:c>
      <x:c r="N963" s="207" t="str"/>
      <x:c r="O963" s="207" t="str">
        <x:v>17</x:v>
      </x:c>
      <x:c r="P963" s="207" t="n">
        <x:v>3</x:v>
      </x:c>
      <x:c r="Q963" s="208" t="str">
        <x:v>Wave 2 (31–60 дней)</x:v>
      </x:c>
    </x:row>
    <x:row r="964">
      <x:c r="A964" s="206" t="str">
        <x:v>DEC-00960</x:v>
      </x:c>
      <x:c r="B964" s="207" t="str">
        <x:v>Material master</x:v>
      </x:c>
      <x:c r="C964" s="207" t="str">
        <x:v>MAT-DRAFT-0165</x:v>
      </x:c>
      <x:c r="D964" s="207" t="str">
        <x:v>Unlinked</x:v>
      </x:c>
      <x:c r="E964" s="207" t="str">
        <x:v>1 строк; 61400.00 руб.; 10-002</x:v>
      </x:c>
      <x:c r="F964" s="207" t="str">
        <x:v>Подтвердить карточку, UOM, состав, цвет, поставщика и правила объединения</x:v>
      </x:c>
      <x:c r="G964" s="207" t="str">
        <x:v>Закупки + склад</x:v>
      </x:c>
      <x:c r="H964" s="207" t="str">
        <x:v>Высокий</x:v>
      </x:c>
      <x:c r="I964" s="207" t="str">
        <x:v>Material aging; BOM; procurement; actual usage</x:v>
      </x:c>
      <x:c r="J964" s="207" t="str">
        <x:v>Остатки ткани 31.05.2026</x:v>
      </x:c>
      <x:c r="K964" s="207" t="str"/>
      <x:c r="L964" s="207" t="str"/>
      <x:c r="M964" s="207" t="str">
        <x:v>Не рассмотрено</x:v>
      </x:c>
      <x:c r="N964" s="207" t="str"/>
      <x:c r="O964" s="207" t="str">
        <x:v>17</x:v>
      </x:c>
      <x:c r="P964" s="207" t="n">
        <x:v>3</x:v>
      </x:c>
      <x:c r="Q964" s="208" t="str">
        <x:v>Wave 2 (31–60 дней)</x:v>
      </x:c>
    </x:row>
    <x:row r="965">
      <x:c r="A965" s="206" t="str">
        <x:v>DEC-00961</x:v>
      </x:c>
      <x:c r="B965" s="207" t="str">
        <x:v>Material master</x:v>
      </x:c>
      <x:c r="C965" s="207" t="str">
        <x:v>MAT-DRAFT-0166</x:v>
      </x:c>
      <x:c r="D965" s="207" t="str">
        <x:v>Unlinked</x:v>
      </x:c>
      <x:c r="E965" s="207" t="str">
        <x:v>1 строк; 81000.00 руб.; 10-011</x:v>
      </x:c>
      <x:c r="F965" s="207" t="str">
        <x:v>Подтвердить карточку, UOM, состав, цвет, поставщика и правила объединения</x:v>
      </x:c>
      <x:c r="G965" s="207" t="str">
        <x:v>Закупки + склад</x:v>
      </x:c>
      <x:c r="H965" s="207" t="str">
        <x:v>Высокий</x:v>
      </x:c>
      <x:c r="I965" s="207" t="str">
        <x:v>Material aging; BOM; procurement; actual usage</x:v>
      </x:c>
      <x:c r="J965" s="207" t="str">
        <x:v>Остатки ткани 31.05.2026</x:v>
      </x:c>
      <x:c r="K965" s="207" t="str"/>
      <x:c r="L965" s="207" t="str"/>
      <x:c r="M965" s="207" t="str">
        <x:v>Не рассмотрено</x:v>
      </x:c>
      <x:c r="N965" s="207" t="str"/>
      <x:c r="O965" s="207" t="str">
        <x:v>17</x:v>
      </x:c>
      <x:c r="P965" s="207" t="n">
        <x:v>3</x:v>
      </x:c>
      <x:c r="Q965" s="208" t="str">
        <x:v>Wave 2 (31–60 дней)</x:v>
      </x:c>
    </x:row>
    <x:row r="966">
      <x:c r="A966" s="206" t="str">
        <x:v>DEC-00962</x:v>
      </x:c>
      <x:c r="B966" s="207" t="str">
        <x:v>Material master</x:v>
      </x:c>
      <x:c r="C966" s="207" t="str">
        <x:v>MAT-DRAFT-0167</x:v>
      </x:c>
      <x:c r="D966" s="207" t="str">
        <x:v>Unlinked</x:v>
      </x:c>
      <x:c r="E966" s="207" t="str">
        <x:v>1 строк; 10800.00 руб.; 10-005</x:v>
      </x:c>
      <x:c r="F966" s="207" t="str">
        <x:v>Подтвердить карточку, UOM, состав, цвет, поставщика и правила объединения</x:v>
      </x:c>
      <x:c r="G966" s="207" t="str">
        <x:v>Закупки + склад</x:v>
      </x:c>
      <x:c r="H966" s="207" t="str">
        <x:v>Высокий</x:v>
      </x:c>
      <x:c r="I966" s="207" t="str">
        <x:v>Material aging; BOM; procurement; actual usage</x:v>
      </x:c>
      <x:c r="J966" s="207" t="str">
        <x:v>Остатки ткани 31.05.2026</x:v>
      </x:c>
      <x:c r="K966" s="207" t="str"/>
      <x:c r="L966" s="207" t="str"/>
      <x:c r="M966" s="207" t="str">
        <x:v>Не рассмотрено</x:v>
      </x:c>
      <x:c r="N966" s="207" t="str"/>
      <x:c r="O966" s="207" t="str">
        <x:v>17</x:v>
      </x:c>
      <x:c r="P966" s="207" t="n">
        <x:v>3</x:v>
      </x:c>
      <x:c r="Q966" s="208" t="str">
        <x:v>Wave 2 (31–60 дней)</x:v>
      </x:c>
    </x:row>
    <x:row r="967">
      <x:c r="A967" s="206" t="str">
        <x:v>DEC-00963</x:v>
      </x:c>
      <x:c r="B967" s="207" t="str">
        <x:v>Material master</x:v>
      </x:c>
      <x:c r="C967" s="207" t="str">
        <x:v>MAT-DRAFT-0168</x:v>
      </x:c>
      <x:c r="D967" s="207" t="str">
        <x:v>Unlinked</x:v>
      </x:c>
      <x:c r="E967" s="207" t="str">
        <x:v>1 строк; 6000.00 руб.; 10-003</x:v>
      </x:c>
      <x:c r="F967" s="207" t="str">
        <x:v>Подтвердить карточку, UOM, состав, цвет, поставщика и правила объединения</x:v>
      </x:c>
      <x:c r="G967" s="207" t="str">
        <x:v>Закупки + склад</x:v>
      </x:c>
      <x:c r="H967" s="207" t="str">
        <x:v>Средний</x:v>
      </x:c>
      <x:c r="I967" s="207" t="str">
        <x:v>Material aging; BOM; procurement; actual usage</x:v>
      </x:c>
      <x:c r="J967" s="207" t="str">
        <x:v>Остатки ткани 31.05.2026</x:v>
      </x:c>
      <x:c r="K967" s="207" t="str"/>
      <x:c r="L967" s="207" t="str"/>
      <x:c r="M967" s="207" t="str">
        <x:v>Не рассмотрено</x:v>
      </x:c>
      <x:c r="N967" s="207" t="str"/>
      <x:c r="O967" s="207" t="str">
        <x:v>17</x:v>
      </x:c>
      <x:c r="P967" s="207" t="n">
        <x:v>2</x:v>
      </x:c>
      <x:c r="Q967" s="208" t="str">
        <x:v>Wave 3 (61–90 дней)</x:v>
      </x:c>
    </x:row>
    <x:row r="968">
      <x:c r="A968" s="206" t="str">
        <x:v>DEC-00964</x:v>
      </x:c>
      <x:c r="B968" s="207" t="str">
        <x:v>Material master</x:v>
      </x:c>
      <x:c r="C968" s="207" t="str">
        <x:v>MAT-DRAFT-0169</x:v>
      </x:c>
      <x:c r="D968" s="207" t="str">
        <x:v>Unlinked</x:v>
      </x:c>
      <x:c r="E968" s="207" t="str">
        <x:v>1 строк; 21000.00 руб.; 0-009</x:v>
      </x:c>
      <x:c r="F968" s="207" t="str">
        <x:v>Подтвердить карточку, UOM, состав, цвет, поставщика и правила объединения</x:v>
      </x:c>
      <x:c r="G968" s="207" t="str">
        <x:v>Закупки + склад</x:v>
      </x:c>
      <x:c r="H968" s="207" t="str">
        <x:v>Высокий</x:v>
      </x:c>
      <x:c r="I968" s="207" t="str">
        <x:v>Material aging; BOM; procurement; actual usage</x:v>
      </x:c>
      <x:c r="J968" s="207" t="str">
        <x:v>Остатки ткани 31.05.2026</x:v>
      </x:c>
      <x:c r="K968" s="207" t="str"/>
      <x:c r="L968" s="207" t="str"/>
      <x:c r="M968" s="207" t="str">
        <x:v>Не рассмотрено</x:v>
      </x:c>
      <x:c r="N968" s="207" t="str"/>
      <x:c r="O968" s="207" t="str">
        <x:v>17</x:v>
      </x:c>
      <x:c r="P968" s="207" t="n">
        <x:v>3</x:v>
      </x:c>
      <x:c r="Q968" s="208" t="str">
        <x:v>Wave 2 (31–60 дней)</x:v>
      </x:c>
    </x:row>
    <x:row r="969">
      <x:c r="A969" s="206" t="str">
        <x:v>DEC-00965</x:v>
      </x:c>
      <x:c r="B969" s="207" t="str">
        <x:v>Material master</x:v>
      </x:c>
      <x:c r="C969" s="207" t="str">
        <x:v>MAT-DRAFT-0170</x:v>
      </x:c>
      <x:c r="D969" s="207" t="str">
        <x:v>Unlinked</x:v>
      </x:c>
      <x:c r="E969" s="207" t="str">
        <x:v>1 строк; 14600.00 руб.; 10-006</x:v>
      </x:c>
      <x:c r="F969" s="207" t="str">
        <x:v>Подтвердить карточку, UOM, состав, цвет, поставщика и правила объединения</x:v>
      </x:c>
      <x:c r="G969" s="207" t="str">
        <x:v>Закупки + склад</x:v>
      </x:c>
      <x:c r="H969" s="207" t="str">
        <x:v>Высокий</x:v>
      </x:c>
      <x:c r="I969" s="207" t="str">
        <x:v>Material aging; BOM; procurement; actual usage</x:v>
      </x:c>
      <x:c r="J969" s="207" t="str">
        <x:v>Остатки ткани 31.05.2026</x:v>
      </x:c>
      <x:c r="K969" s="207" t="str"/>
      <x:c r="L969" s="207" t="str"/>
      <x:c r="M969" s="207" t="str">
        <x:v>Не рассмотрено</x:v>
      </x:c>
      <x:c r="N969" s="207" t="str"/>
      <x:c r="O969" s="207" t="str">
        <x:v>17</x:v>
      </x:c>
      <x:c r="P969" s="207" t="n">
        <x:v>3</x:v>
      </x:c>
      <x:c r="Q969" s="208" t="str">
        <x:v>Wave 2 (31–60 дней)</x:v>
      </x:c>
    </x:row>
    <x:row r="970">
      <x:c r="A970" s="206" t="str">
        <x:v>DEC-00966</x:v>
      </x:c>
      <x:c r="B970" s="207" t="str">
        <x:v>Material master</x:v>
      </x:c>
      <x:c r="C970" s="207" t="str">
        <x:v>MAT-DRAFT-0171</x:v>
      </x:c>
      <x:c r="D970" s="207" t="str">
        <x:v>Unlinked</x:v>
      </x:c>
      <x:c r="E970" s="207" t="str">
        <x:v>1 строк; 24000.00 руб.; 10-012</x:v>
      </x:c>
      <x:c r="F970" s="207" t="str">
        <x:v>Подтвердить карточку, UOM, состав, цвет, поставщика и правила объединения</x:v>
      </x:c>
      <x:c r="G970" s="207" t="str">
        <x:v>Закупки + склад</x:v>
      </x:c>
      <x:c r="H970" s="207" t="str">
        <x:v>Высокий</x:v>
      </x:c>
      <x:c r="I970" s="207" t="str">
        <x:v>Material aging; BOM; procurement; actual usage</x:v>
      </x:c>
      <x:c r="J970" s="207" t="str">
        <x:v>Остатки ткани 31.05.2026</x:v>
      </x:c>
      <x:c r="K970" s="207" t="str"/>
      <x:c r="L970" s="207" t="str"/>
      <x:c r="M970" s="207" t="str">
        <x:v>Не рассмотрено</x:v>
      </x:c>
      <x:c r="N970" s="207" t="str"/>
      <x:c r="O970" s="207" t="str">
        <x:v>17</x:v>
      </x:c>
      <x:c r="P970" s="207" t="n">
        <x:v>3</x:v>
      </x:c>
      <x:c r="Q970" s="208" t="str">
        <x:v>Wave 2 (31–60 дней)</x:v>
      </x:c>
    </x:row>
    <x:row r="971">
      <x:c r="A971" s="206" t="str">
        <x:v>DEC-00967</x:v>
      </x:c>
      <x:c r="B971" s="207" t="str">
        <x:v>Material master</x:v>
      </x:c>
      <x:c r="C971" s="207" t="str">
        <x:v>MAT-DRAFT-0173</x:v>
      </x:c>
      <x:c r="D971" s="207" t="str">
        <x:v>Unlinked</x:v>
      </x:c>
      <x:c r="E971" s="207" t="str">
        <x:v>1 строк; 14800.00 руб.; 10-010</x:v>
      </x:c>
      <x:c r="F971" s="207" t="str">
        <x:v>Подтвердить карточку, UOM, состав, цвет, поставщика и правила объединения</x:v>
      </x:c>
      <x:c r="G971" s="207" t="str">
        <x:v>Закупки + склад</x:v>
      </x:c>
      <x:c r="H971" s="207" t="str">
        <x:v>Высокий</x:v>
      </x:c>
      <x:c r="I971" s="207" t="str">
        <x:v>Material aging; BOM; procurement; actual usage</x:v>
      </x:c>
      <x:c r="J971" s="207" t="str">
        <x:v>Остатки ткани 31.05.2026</x:v>
      </x:c>
      <x:c r="K971" s="207" t="str"/>
      <x:c r="L971" s="207" t="str"/>
      <x:c r="M971" s="207" t="str">
        <x:v>Не рассмотрено</x:v>
      </x:c>
      <x:c r="N971" s="207" t="str"/>
      <x:c r="O971" s="207" t="str">
        <x:v>17</x:v>
      </x:c>
      <x:c r="P971" s="207" t="n">
        <x:v>3</x:v>
      </x:c>
      <x:c r="Q971" s="208" t="str">
        <x:v>Wave 2 (31–60 дней)</x:v>
      </x:c>
    </x:row>
    <x:row r="972">
      <x:c r="A972" s="206" t="str">
        <x:v>DEC-00968</x:v>
      </x:c>
      <x:c r="B972" s="207" t="str">
        <x:v>Material master</x:v>
      </x:c>
      <x:c r="C972" s="207" t="str">
        <x:v>MAT-DRAFT-0174</x:v>
      </x:c>
      <x:c r="D972" s="207" t="str">
        <x:v>Unlinked</x:v>
      </x:c>
      <x:c r="E972" s="207" t="str">
        <x:v>2 строк; 23400.00 руб.; 10-007</x:v>
      </x:c>
      <x:c r="F972" s="207" t="str">
        <x:v>Подтвердить карточку, UOM, состав, цвет, поставщика и правила объединения</x:v>
      </x:c>
      <x:c r="G972" s="207" t="str">
        <x:v>Закупки + склад</x:v>
      </x:c>
      <x:c r="H972" s="207" t="str">
        <x:v>Высокий</x:v>
      </x:c>
      <x:c r="I972" s="207" t="str">
        <x:v>Material aging; BOM; procurement; actual usage</x:v>
      </x:c>
      <x:c r="J972" s="207" t="str">
        <x:v>Остатки ткани 31.05.2026</x:v>
      </x:c>
      <x:c r="K972" s="207" t="str"/>
      <x:c r="L972" s="207" t="str"/>
      <x:c r="M972" s="207" t="str">
        <x:v>Не рассмотрено</x:v>
      </x:c>
      <x:c r="N972" s="207" t="str"/>
      <x:c r="O972" s="207" t="str">
        <x:v>17</x:v>
      </x:c>
      <x:c r="P972" s="207" t="n">
        <x:v>3</x:v>
      </x:c>
      <x:c r="Q972" s="208" t="str">
        <x:v>Wave 2 (31–60 дней)</x:v>
      </x:c>
    </x:row>
    <x:row r="973">
      <x:c r="A973" s="206" t="str">
        <x:v>DEC-00969</x:v>
      </x:c>
      <x:c r="B973" s="207" t="str">
        <x:v>Material master</x:v>
      </x:c>
      <x:c r="C973" s="207" t="str">
        <x:v>MAT-DRAFT-0176</x:v>
      </x:c>
      <x:c r="D973" s="207" t="str">
        <x:v>Несколько кодов; Несколько исходных наименований</x:v>
      </x:c>
      <x:c r="E973" s="207" t="str">
        <x:v>3 строк; 102036.00 руб.; 13-041; 13-058; 13-088</x:v>
      </x:c>
      <x:c r="F973" s="207" t="str">
        <x:v>Подтвердить карточку, UOM, состав, цвет, поставщика и правила объединения</x:v>
      </x:c>
      <x:c r="G973" s="207" t="str">
        <x:v>Закупки + склад</x:v>
      </x:c>
      <x:c r="H973" s="207" t="str">
        <x:v>Высокий</x:v>
      </x:c>
      <x:c r="I973" s="207" t="str">
        <x:v>Material aging; BOM; procurement; actual usage</x:v>
      </x:c>
      <x:c r="J973" s="207" t="str">
        <x:v>Остатки ткани 31.05.2026</x:v>
      </x:c>
      <x:c r="K973" s="207" t="str"/>
      <x:c r="L973" s="207" t="str"/>
      <x:c r="M973" s="207" t="str">
        <x:v>Не рассмотрено</x:v>
      </x:c>
      <x:c r="N973" s="207" t="str"/>
      <x:c r="O973" s="207" t="str">
        <x:v>17</x:v>
      </x:c>
      <x:c r="P973" s="207" t="n">
        <x:v>3</x:v>
      </x:c>
      <x:c r="Q973" s="208" t="str">
        <x:v>Wave 2 (31–60 дней)</x:v>
      </x:c>
    </x:row>
    <x:row r="974">
      <x:c r="A974" s="206" t="str">
        <x:v>DEC-00970</x:v>
      </x:c>
      <x:c r="B974" s="207" t="str">
        <x:v>Material master</x:v>
      </x:c>
      <x:c r="C974" s="207" t="str">
        <x:v>MAT-DRAFT-0178</x:v>
      </x:c>
      <x:c r="D974" s="207" t="str">
        <x:v>Несколько кодов; Несколько исходных наименований</x:v>
      </x:c>
      <x:c r="E974" s="207" t="str">
        <x:v>5 строк; 58602.50 руб.; 13-003; 13-061; 13-097</x:v>
      </x:c>
      <x:c r="F974" s="207" t="str">
        <x:v>Подтвердить карточку, UOM, состав, цвет, поставщика и правила объединения</x:v>
      </x:c>
      <x:c r="G974" s="207" t="str">
        <x:v>Закупки + склад</x:v>
      </x:c>
      <x:c r="H974" s="207" t="str">
        <x:v>Высокий</x:v>
      </x:c>
      <x:c r="I974" s="207" t="str">
        <x:v>Material aging; BOM; procurement; actual usage</x:v>
      </x:c>
      <x:c r="J974" s="207" t="str">
        <x:v>Остатки ткани 31.05.2026</x:v>
      </x:c>
      <x:c r="K974" s="207" t="str"/>
      <x:c r="L974" s="207" t="str"/>
      <x:c r="M974" s="207" t="str">
        <x:v>Не рассмотрено</x:v>
      </x:c>
      <x:c r="N974" s="207" t="str"/>
      <x:c r="O974" s="207" t="str">
        <x:v>17</x:v>
      </x:c>
      <x:c r="P974" s="207" t="n">
        <x:v>3</x:v>
      </x:c>
      <x:c r="Q974" s="208" t="str">
        <x:v>Wave 2 (31–60 дней)</x:v>
      </x:c>
    </x:row>
    <x:row r="975">
      <x:c r="A975" s="206" t="str">
        <x:v>DEC-00971</x:v>
      </x:c>
      <x:c r="B975" s="207" t="str">
        <x:v>Material master</x:v>
      </x:c>
      <x:c r="C975" s="207" t="str">
        <x:v>MAT-DRAFT-0179</x:v>
      </x:c>
      <x:c r="D975" s="207" t="str">
        <x:v>Несколько кодов; Несколько исходных наименований</x:v>
      </x:c>
      <x:c r="E975" s="207" t="str">
        <x:v>2 строк; 18970.00 руб.; 13-005; 13-095</x:v>
      </x:c>
      <x:c r="F975" s="207" t="str">
        <x:v>Подтвердить карточку, UOM, состав, цвет, поставщика и правила объединения</x:v>
      </x:c>
      <x:c r="G975" s="207" t="str">
        <x:v>Закупки + склад</x:v>
      </x:c>
      <x:c r="H975" s="207" t="str">
        <x:v>Высокий</x:v>
      </x:c>
      <x:c r="I975" s="207" t="str">
        <x:v>Material aging; BOM; procurement; actual usage</x:v>
      </x:c>
      <x:c r="J975" s="207" t="str">
        <x:v>Остатки ткани 31.05.2026</x:v>
      </x:c>
      <x:c r="K975" s="207" t="str"/>
      <x:c r="L975" s="207" t="str"/>
      <x:c r="M975" s="207" t="str">
        <x:v>Не рассмотрено</x:v>
      </x:c>
      <x:c r="N975" s="207" t="str"/>
      <x:c r="O975" s="207" t="str">
        <x:v>17</x:v>
      </x:c>
      <x:c r="P975" s="207" t="n">
        <x:v>3</x:v>
      </x:c>
      <x:c r="Q975" s="208" t="str">
        <x:v>Wave 2 (31–60 дней)</x:v>
      </x:c>
    </x:row>
    <x:row r="976">
      <x:c r="A976" s="206" t="str">
        <x:v>DEC-00972</x:v>
      </x:c>
      <x:c r="B976" s="207" t="str">
        <x:v>Material master</x:v>
      </x:c>
      <x:c r="C976" s="207" t="str">
        <x:v>MAT-DRAFT-0180</x:v>
      </x:c>
      <x:c r="D976" s="207" t="str">
        <x:v>Unlinked</x:v>
      </x:c>
      <x:c r="E976" s="207" t="str">
        <x:v>1 строк; 1980.00 руб.; 13-002</x:v>
      </x:c>
      <x:c r="F976" s="207" t="str">
        <x:v>Подтвердить карточку, UOM, состав, цвет, поставщика и правила объединения</x:v>
      </x:c>
      <x:c r="G976" s="207" t="str">
        <x:v>Закупки + склад</x:v>
      </x:c>
      <x:c r="H976" s="207" t="str">
        <x:v>Средний</x:v>
      </x:c>
      <x:c r="I976" s="207" t="str">
        <x:v>Material aging; BOM; procurement; actual usage</x:v>
      </x:c>
      <x:c r="J976" s="207" t="str">
        <x:v>Остатки ткани 31.05.2026</x:v>
      </x:c>
      <x:c r="K976" s="207" t="str"/>
      <x:c r="L976" s="207" t="str"/>
      <x:c r="M976" s="207" t="str">
        <x:v>Не рассмотрено</x:v>
      </x:c>
      <x:c r="N976" s="207" t="str"/>
      <x:c r="O976" s="207" t="str">
        <x:v>17</x:v>
      </x:c>
      <x:c r="P976" s="207" t="n">
        <x:v>2</x:v>
      </x:c>
      <x:c r="Q976" s="208" t="str">
        <x:v>Wave 3 (61–90 дней)</x:v>
      </x:c>
    </x:row>
    <x:row r="977">
      <x:c r="A977" s="206" t="str">
        <x:v>DEC-00973</x:v>
      </x:c>
      <x:c r="B977" s="207" t="str">
        <x:v>Material master</x:v>
      </x:c>
      <x:c r="C977" s="207" t="str">
        <x:v>MAT-DRAFT-0181</x:v>
      </x:c>
      <x:c r="D977" s="207" t="str">
        <x:v>Unlinked</x:v>
      </x:c>
      <x:c r="E977" s="207" t="str">
        <x:v>1 строк; 3135.00 руб.; 13-010</x:v>
      </x:c>
      <x:c r="F977" s="207" t="str">
        <x:v>Подтвердить карточку, UOM, состав, цвет, поставщика и правила объединения</x:v>
      </x:c>
      <x:c r="G977" s="207" t="str">
        <x:v>Закупки + склад</x:v>
      </x:c>
      <x:c r="H977" s="207" t="str">
        <x:v>Средний</x:v>
      </x:c>
      <x:c r="I977" s="207" t="str">
        <x:v>Material aging; BOM; procurement; actual usage</x:v>
      </x:c>
      <x:c r="J977" s="207" t="str">
        <x:v>Остатки ткани 31.05.2026</x:v>
      </x:c>
      <x:c r="K977" s="207" t="str"/>
      <x:c r="L977" s="207" t="str"/>
      <x:c r="M977" s="207" t="str">
        <x:v>Не рассмотрено</x:v>
      </x:c>
      <x:c r="N977" s="207" t="str"/>
      <x:c r="O977" s="207" t="str">
        <x:v>17</x:v>
      </x:c>
      <x:c r="P977" s="207" t="n">
        <x:v>2</x:v>
      </x:c>
      <x:c r="Q977" s="208" t="str">
        <x:v>Wave 3 (61–90 дней)</x:v>
      </x:c>
    </x:row>
    <x:row r="978">
      <x:c r="A978" s="206" t="str">
        <x:v>DEC-00974</x:v>
      </x:c>
      <x:c r="B978" s="207" t="str">
        <x:v>Material master</x:v>
      </x:c>
      <x:c r="C978" s="207" t="str">
        <x:v>MAT-DRAFT-0182</x:v>
      </x:c>
      <x:c r="D978" s="207" t="str">
        <x:v>Несколько кодов; Несколько исходных наименований</x:v>
      </x:c>
      <x:c r="E978" s="207" t="str">
        <x:v>2 строк; 9405.00 руб.; 13-024; 13-032</x:v>
      </x:c>
      <x:c r="F978" s="207" t="str">
        <x:v>Подтвердить карточку, UOM, состав, цвет, поставщика и правила объединения</x:v>
      </x:c>
      <x:c r="G978" s="207" t="str">
        <x:v>Закупки + склад</x:v>
      </x:c>
      <x:c r="H978" s="207" t="str">
        <x:v>Средний</x:v>
      </x:c>
      <x:c r="I978" s="207" t="str">
        <x:v>Material aging; BOM; procurement; actual usage</x:v>
      </x:c>
      <x:c r="J978" s="207" t="str">
        <x:v>Остатки ткани 31.05.2026</x:v>
      </x:c>
      <x:c r="K978" s="207" t="str"/>
      <x:c r="L978" s="207" t="str"/>
      <x:c r="M978" s="207" t="str">
        <x:v>Не рассмотрено</x:v>
      </x:c>
      <x:c r="N978" s="207" t="str"/>
      <x:c r="O978" s="207" t="str">
        <x:v>17</x:v>
      </x:c>
      <x:c r="P978" s="207" t="n">
        <x:v>2</x:v>
      </x:c>
      <x:c r="Q978" s="208" t="str">
        <x:v>Wave 3 (61–90 дней)</x:v>
      </x:c>
    </x:row>
    <x:row r="979">
      <x:c r="A979" s="206" t="str">
        <x:v>DEC-00975</x:v>
      </x:c>
      <x:c r="B979" s="207" t="str">
        <x:v>Material master</x:v>
      </x:c>
      <x:c r="C979" s="207" t="str">
        <x:v>MAT-DRAFT-0183</x:v>
      </x:c>
      <x:c r="D979" s="207" t="str">
        <x:v>Unlinked</x:v>
      </x:c>
      <x:c r="E979" s="207" t="str">
        <x:v>1 строк; 11880.00 руб.; 13-020</x:v>
      </x:c>
      <x:c r="F979" s="207" t="str">
        <x:v>Подтвердить карточку, UOM, состав, цвет, поставщика и правила объединения</x:v>
      </x:c>
      <x:c r="G979" s="207" t="str">
        <x:v>Закупки + склад</x:v>
      </x:c>
      <x:c r="H979" s="207" t="str">
        <x:v>Высокий</x:v>
      </x:c>
      <x:c r="I979" s="207" t="str">
        <x:v>Material aging; BOM; procurement; actual usage</x:v>
      </x:c>
      <x:c r="J979" s="207" t="str">
        <x:v>Остатки ткани 31.05.2026</x:v>
      </x:c>
      <x:c r="K979" s="207" t="str"/>
      <x:c r="L979" s="207" t="str"/>
      <x:c r="M979" s="207" t="str">
        <x:v>Не рассмотрено</x:v>
      </x:c>
      <x:c r="N979" s="207" t="str"/>
      <x:c r="O979" s="207" t="str">
        <x:v>17</x:v>
      </x:c>
      <x:c r="P979" s="207" t="n">
        <x:v>3</x:v>
      </x:c>
      <x:c r="Q979" s="208" t="str">
        <x:v>Wave 2 (31–60 дней)</x:v>
      </x:c>
    </x:row>
    <x:row r="980">
      <x:c r="A980" s="206" t="str">
        <x:v>DEC-00976</x:v>
      </x:c>
      <x:c r="B980" s="207" t="str">
        <x:v>Material master</x:v>
      </x:c>
      <x:c r="C980" s="207" t="str">
        <x:v>MAT-DRAFT-0184</x:v>
      </x:c>
      <x:c r="D980" s="207" t="str">
        <x:v>Несколько кодов; Несколько исходных наименований</x:v>
      </x:c>
      <x:c r="E980" s="207" t="str">
        <x:v>2 строк; 35008.00 руб.; 13-069; 13-080</x:v>
      </x:c>
      <x:c r="F980" s="207" t="str">
        <x:v>Подтвердить карточку, UOM, состав, цвет, поставщика и правила объединения</x:v>
      </x:c>
      <x:c r="G980" s="207" t="str">
        <x:v>Закупки + склад</x:v>
      </x:c>
      <x:c r="H980" s="207" t="str">
        <x:v>Высокий</x:v>
      </x:c>
      <x:c r="I980" s="207" t="str">
        <x:v>Material aging; BOM; procurement; actual usage</x:v>
      </x:c>
      <x:c r="J980" s="207" t="str">
        <x:v>Остатки ткани 31.05.2026</x:v>
      </x:c>
      <x:c r="K980" s="207" t="str"/>
      <x:c r="L980" s="207" t="str"/>
      <x:c r="M980" s="207" t="str">
        <x:v>Не рассмотрено</x:v>
      </x:c>
      <x:c r="N980" s="207" t="str"/>
      <x:c r="O980" s="207" t="str">
        <x:v>17</x:v>
      </x:c>
      <x:c r="P980" s="207" t="n">
        <x:v>3</x:v>
      </x:c>
      <x:c r="Q980" s="208" t="str">
        <x:v>Wave 2 (31–60 дней)</x:v>
      </x:c>
    </x:row>
    <x:row r="981">
      <x:c r="A981" s="206" t="str">
        <x:v>DEC-00977</x:v>
      </x:c>
      <x:c r="B981" s="207" t="str">
        <x:v>Material master</x:v>
      </x:c>
      <x:c r="C981" s="207" t="str">
        <x:v>MAT-DRAFT-0185</x:v>
      </x:c>
      <x:c r="D981" s="207" t="str">
        <x:v>Unlinked</x:v>
      </x:c>
      <x:c r="E981" s="207" t="str">
        <x:v>1 строк; 6270.00 руб.; 13-008</x:v>
      </x:c>
      <x:c r="F981" s="207" t="str">
        <x:v>Подтвердить карточку, UOM, состав, цвет, поставщика и правила объединения</x:v>
      </x:c>
      <x:c r="G981" s="207" t="str">
        <x:v>Закупки + склад</x:v>
      </x:c>
      <x:c r="H981" s="207" t="str">
        <x:v>Средний</x:v>
      </x:c>
      <x:c r="I981" s="207" t="str">
        <x:v>Material aging; BOM; procurement; actual usage</x:v>
      </x:c>
      <x:c r="J981" s="207" t="str">
        <x:v>Остатки ткани 31.05.2026</x:v>
      </x:c>
      <x:c r="K981" s="207" t="str"/>
      <x:c r="L981" s="207" t="str"/>
      <x:c r="M981" s="207" t="str">
        <x:v>Не рассмотрено</x:v>
      </x:c>
      <x:c r="N981" s="207" t="str"/>
      <x:c r="O981" s="207" t="str">
        <x:v>17</x:v>
      </x:c>
      <x:c r="P981" s="207" t="n">
        <x:v>2</x:v>
      </x:c>
      <x:c r="Q981" s="208" t="str">
        <x:v>Wave 3 (61–90 дней)</x:v>
      </x:c>
    </x:row>
    <x:row r="982">
      <x:c r="A982" s="206" t="str">
        <x:v>DEC-00978</x:v>
      </x:c>
      <x:c r="B982" s="207" t="str">
        <x:v>Material master</x:v>
      </x:c>
      <x:c r="C982" s="207" t="str">
        <x:v>MAT-DRAFT-0186</x:v>
      </x:c>
      <x:c r="D982" s="207" t="str">
        <x:v>Несколько кодов; Несколько исходных наименований</x:v>
      </x:c>
      <x:c r="E982" s="207" t="str">
        <x:v>2 строк; 13607.00 руб.; 13-007; 13-087</x:v>
      </x:c>
      <x:c r="F982" s="207" t="str">
        <x:v>Подтвердить карточку, UOM, состав, цвет, поставщика и правила объединения</x:v>
      </x:c>
      <x:c r="G982" s="207" t="str">
        <x:v>Закупки + склад</x:v>
      </x:c>
      <x:c r="H982" s="207" t="str">
        <x:v>Высокий</x:v>
      </x:c>
      <x:c r="I982" s="207" t="str">
        <x:v>Material aging; BOM; procurement; actual usage</x:v>
      </x:c>
      <x:c r="J982" s="207" t="str">
        <x:v>Остатки ткани 31.05.2026</x:v>
      </x:c>
      <x:c r="K982" s="207" t="str"/>
      <x:c r="L982" s="207" t="str"/>
      <x:c r="M982" s="207" t="str">
        <x:v>Не рассмотрено</x:v>
      </x:c>
      <x:c r="N982" s="207" t="str"/>
      <x:c r="O982" s="207" t="str">
        <x:v>17</x:v>
      </x:c>
      <x:c r="P982" s="207" t="n">
        <x:v>3</x:v>
      </x:c>
      <x:c r="Q982" s="208" t="str">
        <x:v>Wave 2 (31–60 дней)</x:v>
      </x:c>
    </x:row>
    <x:row r="983">
      <x:c r="A983" s="206" t="str">
        <x:v>DEC-00979</x:v>
      </x:c>
      <x:c r="B983" s="207" t="str">
        <x:v>Material master</x:v>
      </x:c>
      <x:c r="C983" s="207" t="str">
        <x:v>MAT-DRAFT-0187</x:v>
      </x:c>
      <x:c r="D983" s="207" t="str">
        <x:v>Unlinked</x:v>
      </x:c>
      <x:c r="E983" s="207" t="str">
        <x:v>1 строк; 39424.00 руб.; 13-089</x:v>
      </x:c>
      <x:c r="F983" s="207" t="str">
        <x:v>Подтвердить карточку, UOM, состав, цвет, поставщика и правила объединения</x:v>
      </x:c>
      <x:c r="G983" s="207" t="str">
        <x:v>Закупки + склад</x:v>
      </x:c>
      <x:c r="H983" s="207" t="str">
        <x:v>Высокий</x:v>
      </x:c>
      <x:c r="I983" s="207" t="str">
        <x:v>Material aging; BOM; procurement; actual usage</x:v>
      </x:c>
      <x:c r="J983" s="207" t="str">
        <x:v>Остатки ткани 31.05.2026</x:v>
      </x:c>
      <x:c r="K983" s="207" t="str"/>
      <x:c r="L983" s="207" t="str"/>
      <x:c r="M983" s="207" t="str">
        <x:v>Не рассмотрено</x:v>
      </x:c>
      <x:c r="N983" s="207" t="str"/>
      <x:c r="O983" s="207" t="str">
        <x:v>17</x:v>
      </x:c>
      <x:c r="P983" s="207" t="n">
        <x:v>3</x:v>
      </x:c>
      <x:c r="Q983" s="208" t="str">
        <x:v>Wave 2 (31–60 дней)</x:v>
      </x:c>
    </x:row>
    <x:row r="984">
      <x:c r="A984" s="206" t="str">
        <x:v>DEC-00980</x:v>
      </x:c>
      <x:c r="B984" s="207" t="str">
        <x:v>Material master</x:v>
      </x:c>
      <x:c r="C984" s="207" t="str">
        <x:v>MAT-DRAFT-0188</x:v>
      </x:c>
      <x:c r="D984" s="207" t="str">
        <x:v>Несколько кодов; Несколько исходных наименований</x:v>
      </x:c>
      <x:c r="E984" s="207" t="str">
        <x:v>6 строк; 119561.00 руб.; 13-011; 13-030; 13-052; 13-053; 13-067; 13-082</x:v>
      </x:c>
      <x:c r="F984" s="207" t="str">
        <x:v>Подтвердить карточку, UOM, состав, цвет, поставщика и правила объединения</x:v>
      </x:c>
      <x:c r="G984" s="207" t="str">
        <x:v>Закупки + склад</x:v>
      </x:c>
      <x:c r="H984" s="207" t="str">
        <x:v>Критический</x:v>
      </x:c>
      <x:c r="I984" s="207" t="str">
        <x:v>Material aging; BOM; procurement; actual usage</x:v>
      </x:c>
      <x:c r="J984" s="207" t="str">
        <x:v>Остатки ткани 31.05.2026</x:v>
      </x:c>
      <x:c r="K984" s="207" t="str"/>
      <x:c r="L984" s="207" t="str"/>
      <x:c r="M984" s="207" t="str">
        <x:v>Не рассмотрено</x:v>
      </x:c>
      <x:c r="N984" s="207" t="str"/>
      <x:c r="O984" s="207" t="str">
        <x:v>17</x:v>
      </x:c>
      <x:c r="P984" s="207" t="n">
        <x:v>4</x:v>
      </x:c>
      <x:c r="Q984" s="208" t="str">
        <x:v>Wave 1 (0–30 дней)</x:v>
      </x:c>
    </x:row>
    <x:row r="985">
      <x:c r="A985" s="206" t="str">
        <x:v>DEC-00981</x:v>
      </x:c>
      <x:c r="B985" s="207" t="str">
        <x:v>Material master</x:v>
      </x:c>
      <x:c r="C985" s="207" t="str">
        <x:v>MAT-DRAFT-0189</x:v>
      </x:c>
      <x:c r="D985" s="207" t="str">
        <x:v>Несколько кодов; Несколько исходных наименований</x:v>
      </x:c>
      <x:c r="E985" s="207" t="str">
        <x:v>2 строк; 9652.50 руб.; 13-013; 13-014</x:v>
      </x:c>
      <x:c r="F985" s="207" t="str">
        <x:v>Подтвердить карточку, UOM, состав, цвет, поставщика и правила объединения</x:v>
      </x:c>
      <x:c r="G985" s="207" t="str">
        <x:v>Закупки + склад</x:v>
      </x:c>
      <x:c r="H985" s="207" t="str">
        <x:v>Средний</x:v>
      </x:c>
      <x:c r="I985" s="207" t="str">
        <x:v>Material aging; BOM; procurement; actual usage</x:v>
      </x:c>
      <x:c r="J985" s="207" t="str">
        <x:v>Остатки ткани 31.05.2026</x:v>
      </x:c>
      <x:c r="K985" s="207" t="str"/>
      <x:c r="L985" s="207" t="str"/>
      <x:c r="M985" s="207" t="str">
        <x:v>Не рассмотрено</x:v>
      </x:c>
      <x:c r="N985" s="207" t="str"/>
      <x:c r="O985" s="207" t="str">
        <x:v>17</x:v>
      </x:c>
      <x:c r="P985" s="207" t="n">
        <x:v>2</x:v>
      </x:c>
      <x:c r="Q985" s="208" t="str">
        <x:v>Wave 3 (61–90 дней)</x:v>
      </x:c>
    </x:row>
    <x:row r="986">
      <x:c r="A986" s="206" t="str">
        <x:v>DEC-00982</x:v>
      </x:c>
      <x:c r="B986" s="207" t="str">
        <x:v>Material master</x:v>
      </x:c>
      <x:c r="C986" s="207" t="str">
        <x:v>MAT-DRAFT-0190</x:v>
      </x:c>
      <x:c r="D986" s="207" t="str">
        <x:v>Unlinked</x:v>
      </x:c>
      <x:c r="E986" s="207" t="str">
        <x:v>1 строк; 6600.00 руб.; 13-017</x:v>
      </x:c>
      <x:c r="F986" s="207" t="str">
        <x:v>Подтвердить карточку, UOM, состав, цвет, поставщика и правила объединения</x:v>
      </x:c>
      <x:c r="G986" s="207" t="str">
        <x:v>Закупки + склад</x:v>
      </x:c>
      <x:c r="H986" s="207" t="str">
        <x:v>Средний</x:v>
      </x:c>
      <x:c r="I986" s="207" t="str">
        <x:v>Material aging; BOM; procurement; actual usage</x:v>
      </x:c>
      <x:c r="J986" s="207" t="str">
        <x:v>Остатки ткани 31.05.2026</x:v>
      </x:c>
      <x:c r="K986" s="207" t="str"/>
      <x:c r="L986" s="207" t="str"/>
      <x:c r="M986" s="207" t="str">
        <x:v>Не рассмотрено</x:v>
      </x:c>
      <x:c r="N986" s="207" t="str"/>
      <x:c r="O986" s="207" t="str">
        <x:v>17</x:v>
      </x:c>
      <x:c r="P986" s="207" t="n">
        <x:v>2</x:v>
      </x:c>
      <x:c r="Q986" s="208" t="str">
        <x:v>Wave 3 (61–90 дней)</x:v>
      </x:c>
    </x:row>
    <x:row r="987">
      <x:c r="A987" s="206" t="str">
        <x:v>DEC-00983</x:v>
      </x:c>
      <x:c r="B987" s="207" t="str">
        <x:v>Material master</x:v>
      </x:c>
      <x:c r="C987" s="207" t="str">
        <x:v>MAT-DRAFT-0192</x:v>
      </x:c>
      <x:c r="D987" s="207" t="str">
        <x:v>Несколько кодов; Несколько исходных наименований</x:v>
      </x:c>
      <x:c r="E987" s="207" t="str">
        <x:v>2 строк; 33440.00 руб.; 13-055; 13-085</x:v>
      </x:c>
      <x:c r="F987" s="207" t="str">
        <x:v>Подтвердить карточку, UOM, состав, цвет, поставщика и правила объединения</x:v>
      </x:c>
      <x:c r="G987" s="207" t="str">
        <x:v>Закупки + склад</x:v>
      </x:c>
      <x:c r="H987" s="207" t="str">
        <x:v>Высокий</x:v>
      </x:c>
      <x:c r="I987" s="207" t="str">
        <x:v>Material aging; BOM; procurement; actual usage</x:v>
      </x:c>
      <x:c r="J987" s="207" t="str">
        <x:v>Остатки ткани 31.05.2026</x:v>
      </x:c>
      <x:c r="K987" s="207" t="str"/>
      <x:c r="L987" s="207" t="str"/>
      <x:c r="M987" s="207" t="str">
        <x:v>Не рассмотрено</x:v>
      </x:c>
      <x:c r="N987" s="207" t="str"/>
      <x:c r="O987" s="207" t="str">
        <x:v>17</x:v>
      </x:c>
      <x:c r="P987" s="207" t="n">
        <x:v>3</x:v>
      </x:c>
      <x:c r="Q987" s="208" t="str">
        <x:v>Wave 2 (31–60 дней)</x:v>
      </x:c>
    </x:row>
    <x:row r="988">
      <x:c r="A988" s="206" t="str">
        <x:v>DEC-00984</x:v>
      </x:c>
      <x:c r="B988" s="207" t="str">
        <x:v>Material master</x:v>
      </x:c>
      <x:c r="C988" s="207" t="str">
        <x:v>MAT-DRAFT-0193</x:v>
      </x:c>
      <x:c r="D988" s="207" t="str">
        <x:v>Unlinked</x:v>
      </x:c>
      <x:c r="E988" s="207" t="str">
        <x:v>1 строк; 4620.00 руб.; 13-012</x:v>
      </x:c>
      <x:c r="F988" s="207" t="str">
        <x:v>Подтвердить карточку, UOM, состав, цвет, поставщика и правила объединения</x:v>
      </x:c>
      <x:c r="G988" s="207" t="str">
        <x:v>Закупки + склад</x:v>
      </x:c>
      <x:c r="H988" s="207" t="str">
        <x:v>Средний</x:v>
      </x:c>
      <x:c r="I988" s="207" t="str">
        <x:v>Material aging; BOM; procurement; actual usage</x:v>
      </x:c>
      <x:c r="J988" s="207" t="str">
        <x:v>Остатки ткани 31.05.2026</x:v>
      </x:c>
      <x:c r="K988" s="207" t="str"/>
      <x:c r="L988" s="207" t="str"/>
      <x:c r="M988" s="207" t="str">
        <x:v>Не рассмотрено</x:v>
      </x:c>
      <x:c r="N988" s="207" t="str"/>
      <x:c r="O988" s="207" t="str">
        <x:v>17</x:v>
      </x:c>
      <x:c r="P988" s="207" t="n">
        <x:v>2</x:v>
      </x:c>
      <x:c r="Q988" s="208" t="str">
        <x:v>Wave 3 (61–90 дней)</x:v>
      </x:c>
    </x:row>
    <x:row r="989">
      <x:c r="A989" s="206" t="str">
        <x:v>DEC-00985</x:v>
      </x:c>
      <x:c r="B989" s="207" t="str">
        <x:v>Material master</x:v>
      </x:c>
      <x:c r="C989" s="207" t="str">
        <x:v>MAT-DRAFT-0194</x:v>
      </x:c>
      <x:c r="D989" s="207" t="str">
        <x:v>Несколько кодов; Несколько исходных наименований</x:v>
      </x:c>
      <x:c r="E989" s="207" t="str">
        <x:v>3 строк; 61280.00 руб.; 13-054; 13-070; 13-084</x:v>
      </x:c>
      <x:c r="F989" s="207" t="str">
        <x:v>Подтвердить карточку, UOM, состав, цвет, поставщика и правила объединения</x:v>
      </x:c>
      <x:c r="G989" s="207" t="str">
        <x:v>Закупки + склад</x:v>
      </x:c>
      <x:c r="H989" s="207" t="str">
        <x:v>Высокий</x:v>
      </x:c>
      <x:c r="I989" s="207" t="str">
        <x:v>Material aging; BOM; procurement; actual usage</x:v>
      </x:c>
      <x:c r="J989" s="207" t="str">
        <x:v>Остатки ткани 31.05.2026</x:v>
      </x:c>
      <x:c r="K989" s="207" t="str"/>
      <x:c r="L989" s="207" t="str"/>
      <x:c r="M989" s="207" t="str">
        <x:v>Не рассмотрено</x:v>
      </x:c>
      <x:c r="N989" s="207" t="str"/>
      <x:c r="O989" s="207" t="str">
        <x:v>17</x:v>
      </x:c>
      <x:c r="P989" s="207" t="n">
        <x:v>3</x:v>
      </x:c>
      <x:c r="Q989" s="208" t="str">
        <x:v>Wave 2 (31–60 дней)</x:v>
      </x:c>
    </x:row>
    <x:row r="990">
      <x:c r="A990" s="206" t="str">
        <x:v>DEC-00986</x:v>
      </x:c>
      <x:c r="B990" s="207" t="str">
        <x:v>Material master</x:v>
      </x:c>
      <x:c r="C990" s="207" t="str">
        <x:v>MAT-DRAFT-0195</x:v>
      </x:c>
      <x:c r="D990" s="207" t="str">
        <x:v>Несколько кодов; Несколько исходных наименований</x:v>
      </x:c>
      <x:c r="E990" s="207" t="str">
        <x:v>3 строк; 47370.00 руб.; 13-001; 13-045; 13-076</x:v>
      </x:c>
      <x:c r="F990" s="207" t="str">
        <x:v>Подтвердить карточку, UOM, состав, цвет, поставщика и правила объединения</x:v>
      </x:c>
      <x:c r="G990" s="207" t="str">
        <x:v>Закупки + склад</x:v>
      </x:c>
      <x:c r="H990" s="207" t="str">
        <x:v>Высокий</x:v>
      </x:c>
      <x:c r="I990" s="207" t="str">
        <x:v>Material aging; BOM; procurement; actual usage</x:v>
      </x:c>
      <x:c r="J990" s="207" t="str">
        <x:v>Остатки ткани 31.05.2026</x:v>
      </x:c>
      <x:c r="K990" s="207" t="str"/>
      <x:c r="L990" s="207" t="str"/>
      <x:c r="M990" s="207" t="str">
        <x:v>Не рассмотрено</x:v>
      </x:c>
      <x:c r="N990" s="207" t="str"/>
      <x:c r="O990" s="207" t="str">
        <x:v>17</x:v>
      </x:c>
      <x:c r="P990" s="207" t="n">
        <x:v>3</x:v>
      </x:c>
      <x:c r="Q990" s="208" t="str">
        <x:v>Wave 2 (31–60 дней)</x:v>
      </x:c>
    </x:row>
    <x:row r="991">
      <x:c r="A991" s="206" t="str">
        <x:v>DEC-00987</x:v>
      </x:c>
      <x:c r="B991" s="207" t="str">
        <x:v>Material master</x:v>
      </x:c>
      <x:c r="C991" s="207" t="str">
        <x:v>MAT-DRAFT-0196</x:v>
      </x:c>
      <x:c r="D991" s="207" t="str">
        <x:v>Несколько кодов; Несколько исходных наименований</x:v>
      </x:c>
      <x:c r="E991" s="207" t="str">
        <x:v>2 строк; 23520.00 руб.; 13-068; 13-081</x:v>
      </x:c>
      <x:c r="F991" s="207" t="str">
        <x:v>Подтвердить карточку, UOM, состав, цвет, поставщика и правила объединения</x:v>
      </x:c>
      <x:c r="G991" s="207" t="str">
        <x:v>Закупки + склад</x:v>
      </x:c>
      <x:c r="H991" s="207" t="str">
        <x:v>Высокий</x:v>
      </x:c>
      <x:c r="I991" s="207" t="str">
        <x:v>Material aging; BOM; procurement; actual usage</x:v>
      </x:c>
      <x:c r="J991" s="207" t="str">
        <x:v>Остатки ткани 31.05.2026</x:v>
      </x:c>
      <x:c r="K991" s="207" t="str"/>
      <x:c r="L991" s="207" t="str"/>
      <x:c r="M991" s="207" t="str">
        <x:v>Не рассмотрено</x:v>
      </x:c>
      <x:c r="N991" s="207" t="str"/>
      <x:c r="O991" s="207" t="str">
        <x:v>17</x:v>
      </x:c>
      <x:c r="P991" s="207" t="n">
        <x:v>3</x:v>
      </x:c>
      <x:c r="Q991" s="208" t="str">
        <x:v>Wave 2 (31–60 дней)</x:v>
      </x:c>
    </x:row>
    <x:row r="992">
      <x:c r="A992" s="206" t="str">
        <x:v>DEC-00988</x:v>
      </x:c>
      <x:c r="B992" s="207" t="str">
        <x:v>Material master</x:v>
      </x:c>
      <x:c r="C992" s="207" t="str">
        <x:v>MAT-DRAFT-0197</x:v>
      </x:c>
      <x:c r="D992" s="207" t="str">
        <x:v>Несколько кодов; Несколько исходных наименований</x:v>
      </x:c>
      <x:c r="E992" s="207" t="str">
        <x:v>3 строк; 46255.00 руб.; 13-015; 13-056; 13-086</x:v>
      </x:c>
      <x:c r="F992" s="207" t="str">
        <x:v>Подтвердить карточку, UOM, состав, цвет, поставщика и правила объединения</x:v>
      </x:c>
      <x:c r="G992" s="207" t="str">
        <x:v>Закупки + склад</x:v>
      </x:c>
      <x:c r="H992" s="207" t="str">
        <x:v>Высокий</x:v>
      </x:c>
      <x:c r="I992" s="207" t="str">
        <x:v>Material aging; BOM; procurement; actual usage</x:v>
      </x:c>
      <x:c r="J992" s="207" t="str">
        <x:v>Остатки ткани 31.05.2026</x:v>
      </x:c>
      <x:c r="K992" s="207" t="str"/>
      <x:c r="L992" s="207" t="str"/>
      <x:c r="M992" s="207" t="str">
        <x:v>Не рассмотрено</x:v>
      </x:c>
      <x:c r="N992" s="207" t="str"/>
      <x:c r="O992" s="207" t="str">
        <x:v>17</x:v>
      </x:c>
      <x:c r="P992" s="207" t="n">
        <x:v>3</x:v>
      </x:c>
      <x:c r="Q992" s="208" t="str">
        <x:v>Wave 2 (31–60 дней)</x:v>
      </x:c>
    </x:row>
    <x:row r="993">
      <x:c r="A993" s="206" t="str">
        <x:v>DEC-00989</x:v>
      </x:c>
      <x:c r="B993" s="207" t="str">
        <x:v>Material master</x:v>
      </x:c>
      <x:c r="C993" s="207" t="str">
        <x:v>MAT-DRAFT-0199</x:v>
      </x:c>
      <x:c r="D993" s="207" t="str">
        <x:v>Unlinked</x:v>
      </x:c>
      <x:c r="E993" s="207" t="str">
        <x:v>1 строк; 13530.00 руб.; 13-016</x:v>
      </x:c>
      <x:c r="F993" s="207" t="str">
        <x:v>Подтвердить карточку, UOM, состав, цвет, поставщика и правила объединения</x:v>
      </x:c>
      <x:c r="G993" s="207" t="str">
        <x:v>Закупки + склад</x:v>
      </x:c>
      <x:c r="H993" s="207" t="str">
        <x:v>Высокий</x:v>
      </x:c>
      <x:c r="I993" s="207" t="str">
        <x:v>Material aging; BOM; procurement; actual usage</x:v>
      </x:c>
      <x:c r="J993" s="207" t="str">
        <x:v>Остатки ткани 31.05.2026</x:v>
      </x:c>
      <x:c r="K993" s="207" t="str"/>
      <x:c r="L993" s="207" t="str"/>
      <x:c r="M993" s="207" t="str">
        <x:v>Не рассмотрено</x:v>
      </x:c>
      <x:c r="N993" s="207" t="str"/>
      <x:c r="O993" s="207" t="str">
        <x:v>17</x:v>
      </x:c>
      <x:c r="P993" s="207" t="n">
        <x:v>3</x:v>
      </x:c>
      <x:c r="Q993" s="208" t="str">
        <x:v>Wave 2 (31–60 дней)</x:v>
      </x:c>
    </x:row>
    <x:row r="994">
      <x:c r="A994" s="206" t="str">
        <x:v>DEC-00990</x:v>
      </x:c>
      <x:c r="B994" s="207" t="str">
        <x:v>Material master</x:v>
      </x:c>
      <x:c r="C994" s="207" t="str">
        <x:v>MAT-DRAFT-0200</x:v>
      </x:c>
      <x:c r="D994" s="207" t="str">
        <x:v>Unlinked</x:v>
      </x:c>
      <x:c r="E994" s="207" t="str">
        <x:v>1 строк; 10000.00 руб.; 13-021</x:v>
      </x:c>
      <x:c r="F994" s="207" t="str">
        <x:v>Подтвердить карточку, UOM, состав, цвет, поставщика и правила объединения</x:v>
      </x:c>
      <x:c r="G994" s="207" t="str">
        <x:v>Закупки + склад</x:v>
      </x:c>
      <x:c r="H994" s="207" t="str">
        <x:v>Высокий</x:v>
      </x:c>
      <x:c r="I994" s="207" t="str">
        <x:v>Material aging; BOM; procurement; actual usage</x:v>
      </x:c>
      <x:c r="J994" s="207" t="str">
        <x:v>Остатки ткани 31.05.2026</x:v>
      </x:c>
      <x:c r="K994" s="207" t="str"/>
      <x:c r="L994" s="207" t="str"/>
      <x:c r="M994" s="207" t="str">
        <x:v>Не рассмотрено</x:v>
      </x:c>
      <x:c r="N994" s="207" t="str"/>
      <x:c r="O994" s="207" t="str">
        <x:v>17</x:v>
      </x:c>
      <x:c r="P994" s="207" t="n">
        <x:v>3</x:v>
      </x:c>
      <x:c r="Q994" s="208" t="str">
        <x:v>Wave 2 (31–60 дней)</x:v>
      </x:c>
    </x:row>
    <x:row r="995">
      <x:c r="A995" s="206" t="str">
        <x:v>DEC-00991</x:v>
      </x:c>
      <x:c r="B995" s="207" t="str">
        <x:v>Material master</x:v>
      </x:c>
      <x:c r="C995" s="207" t="str">
        <x:v>MAT-DRAFT-0201</x:v>
      </x:c>
      <x:c r="D995" s="207" t="str">
        <x:v>Unlinked</x:v>
      </x:c>
      <x:c r="E995" s="207" t="str">
        <x:v>1 строк; 5610.00 руб.; 13-042</x:v>
      </x:c>
      <x:c r="F995" s="207" t="str">
        <x:v>Подтвердить карточку, UOM, состав, цвет, поставщика и правила объединения</x:v>
      </x:c>
      <x:c r="G995" s="207" t="str">
        <x:v>Закупки + склад</x:v>
      </x:c>
      <x:c r="H995" s="207" t="str">
        <x:v>Средний</x:v>
      </x:c>
      <x:c r="I995" s="207" t="str">
        <x:v>Material aging; BOM; procurement; actual usage</x:v>
      </x:c>
      <x:c r="J995" s="207" t="str">
        <x:v>Остатки ткани 31.05.2026</x:v>
      </x:c>
      <x:c r="K995" s="207" t="str"/>
      <x:c r="L995" s="207" t="str"/>
      <x:c r="M995" s="207" t="str">
        <x:v>Не рассмотрено</x:v>
      </x:c>
      <x:c r="N995" s="207" t="str"/>
      <x:c r="O995" s="207" t="str">
        <x:v>17</x:v>
      </x:c>
      <x:c r="P995" s="207" t="n">
        <x:v>2</x:v>
      </x:c>
      <x:c r="Q995" s="208" t="str">
        <x:v>Wave 3 (61–90 дней)</x:v>
      </x:c>
    </x:row>
    <x:row r="996">
      <x:c r="A996" s="206" t="str">
        <x:v>DEC-00992</x:v>
      </x:c>
      <x:c r="B996" s="207" t="str">
        <x:v>Material master</x:v>
      </x:c>
      <x:c r="C996" s="207" t="str">
        <x:v>MAT-DRAFT-0202</x:v>
      </x:c>
      <x:c r="D996" s="207" t="str">
        <x:v>Unlinked</x:v>
      </x:c>
      <x:c r="E996" s="207" t="str">
        <x:v>1 строк; 11100.00 руб.; 13-026</x:v>
      </x:c>
      <x:c r="F996" s="207" t="str">
        <x:v>Подтвердить карточку, UOM, состав, цвет, поставщика и правила объединения</x:v>
      </x:c>
      <x:c r="G996" s="207" t="str">
        <x:v>Закупки + склад</x:v>
      </x:c>
      <x:c r="H996" s="207" t="str">
        <x:v>Высокий</x:v>
      </x:c>
      <x:c r="I996" s="207" t="str">
        <x:v>Material aging; BOM; procurement; actual usage</x:v>
      </x:c>
      <x:c r="J996" s="207" t="str">
        <x:v>Остатки ткани 31.05.2026</x:v>
      </x:c>
      <x:c r="K996" s="207" t="str"/>
      <x:c r="L996" s="207" t="str"/>
      <x:c r="M996" s="207" t="str">
        <x:v>Не рассмотрено</x:v>
      </x:c>
      <x:c r="N996" s="207" t="str"/>
      <x:c r="O996" s="207" t="str">
        <x:v>17</x:v>
      </x:c>
      <x:c r="P996" s="207" t="n">
        <x:v>3</x:v>
      </x:c>
      <x:c r="Q996" s="208" t="str">
        <x:v>Wave 2 (31–60 дней)</x:v>
      </x:c>
    </x:row>
    <x:row r="997">
      <x:c r="A997" s="206" t="str">
        <x:v>DEC-00993</x:v>
      </x:c>
      <x:c r="B997" s="207" t="str">
        <x:v>Material master</x:v>
      </x:c>
      <x:c r="C997" s="207" t="str">
        <x:v>MAT-DRAFT-0203</x:v>
      </x:c>
      <x:c r="D997" s="207" t="str">
        <x:v>Несколько кодов; Несколько исходных наименований</x:v>
      </x:c>
      <x:c r="E997" s="207" t="str">
        <x:v>5 строк; 23660.50 руб.; 13-009; 13-018; 13-043; 13-071; 13-093</x:v>
      </x:c>
      <x:c r="F997" s="207" t="str">
        <x:v>Подтвердить карточку, UOM, состав, цвет, поставщика и правила объединения</x:v>
      </x:c>
      <x:c r="G997" s="207" t="str">
        <x:v>Закупки + склад</x:v>
      </x:c>
      <x:c r="H997" s="207" t="str">
        <x:v>Высокий</x:v>
      </x:c>
      <x:c r="I997" s="207" t="str">
        <x:v>Material aging; BOM; procurement; actual usage</x:v>
      </x:c>
      <x:c r="J997" s="207" t="str">
        <x:v>Остатки ткани 31.05.2026</x:v>
      </x:c>
      <x:c r="K997" s="207" t="str"/>
      <x:c r="L997" s="207" t="str"/>
      <x:c r="M997" s="207" t="str">
        <x:v>Не рассмотрено</x:v>
      </x:c>
      <x:c r="N997" s="207" t="str"/>
      <x:c r="O997" s="207" t="str">
        <x:v>17</x:v>
      </x:c>
      <x:c r="P997" s="207" t="n">
        <x:v>3</x:v>
      </x:c>
      <x:c r="Q997" s="208" t="str">
        <x:v>Wave 2 (31–60 дней)</x:v>
      </x:c>
    </x:row>
    <x:row r="998">
      <x:c r="A998" s="206" t="str">
        <x:v>DEC-00994</x:v>
      </x:c>
      <x:c r="B998" s="207" t="str">
        <x:v>Material master</x:v>
      </x:c>
      <x:c r="C998" s="207" t="str">
        <x:v>MAT-DRAFT-0204</x:v>
      </x:c>
      <x:c r="D998" s="207" t="str">
        <x:v>Несколько кодов; Несколько исходных наименований</x:v>
      </x:c>
      <x:c r="E998" s="207" t="str">
        <x:v>2 строк; 42400.00 руб.; 13-059; 13-075</x:v>
      </x:c>
      <x:c r="F998" s="207" t="str">
        <x:v>Подтвердить карточку, UOM, состав, цвет, поставщика и правила объединения</x:v>
      </x:c>
      <x:c r="G998" s="207" t="str">
        <x:v>Закупки + склад</x:v>
      </x:c>
      <x:c r="H998" s="207" t="str">
        <x:v>Высокий</x:v>
      </x:c>
      <x:c r="I998" s="207" t="str">
        <x:v>Material aging; BOM; procurement; actual usage</x:v>
      </x:c>
      <x:c r="J998" s="207" t="str">
        <x:v>Остатки ткани 31.05.2026</x:v>
      </x:c>
      <x:c r="K998" s="207" t="str"/>
      <x:c r="L998" s="207" t="str"/>
      <x:c r="M998" s="207" t="str">
        <x:v>Не рассмотрено</x:v>
      </x:c>
      <x:c r="N998" s="207" t="str"/>
      <x:c r="O998" s="207" t="str">
        <x:v>17</x:v>
      </x:c>
      <x:c r="P998" s="207" t="n">
        <x:v>3</x:v>
      </x:c>
      <x:c r="Q998" s="208" t="str">
        <x:v>Wave 2 (31–60 дней)</x:v>
      </x:c>
    </x:row>
    <x:row r="999">
      <x:c r="A999" s="206" t="str">
        <x:v>DEC-00995</x:v>
      </x:c>
      <x:c r="B999" s="207" t="str">
        <x:v>Material master</x:v>
      </x:c>
      <x:c r="C999" s="207" t="str">
        <x:v>MAT-DRAFT-0205</x:v>
      </x:c>
      <x:c r="D999" s="207" t="str">
        <x:v>Unlinked</x:v>
      </x:c>
      <x:c r="E999" s="207" t="str">
        <x:v>1 строк; 23936.00 руб.; 13-083</x:v>
      </x:c>
      <x:c r="F999" s="207" t="str">
        <x:v>Подтвердить карточку, UOM, состав, цвет, поставщика и правила объединения</x:v>
      </x:c>
      <x:c r="G999" s="207" t="str">
        <x:v>Закупки + склад</x:v>
      </x:c>
      <x:c r="H999" s="207" t="str">
        <x:v>Высокий</x:v>
      </x:c>
      <x:c r="I999" s="207" t="str">
        <x:v>Material aging; BOM; procurement; actual usage</x:v>
      </x:c>
      <x:c r="J999" s="207" t="str">
        <x:v>Остатки ткани 31.05.2026</x:v>
      </x:c>
      <x:c r="K999" s="207" t="str"/>
      <x:c r="L999" s="207" t="str"/>
      <x:c r="M999" s="207" t="str">
        <x:v>Не рассмотрено</x:v>
      </x:c>
      <x:c r="N999" s="207" t="str"/>
      <x:c r="O999" s="207" t="str">
        <x:v>17</x:v>
      </x:c>
      <x:c r="P999" s="207" t="n">
        <x:v>3</x:v>
      </x:c>
      <x:c r="Q999" s="208" t="str">
        <x:v>Wave 2 (31–60 дней)</x:v>
      </x:c>
    </x:row>
    <x:row r="1000">
      <x:c r="A1000" s="206" t="str">
        <x:v>DEC-00996</x:v>
      </x:c>
      <x:c r="B1000" s="207" t="str">
        <x:v>Material master</x:v>
      </x:c>
      <x:c r="C1000" s="207" t="str">
        <x:v>MAT-DRAFT-0206</x:v>
      </x:c>
      <x:c r="D1000" s="207" t="str">
        <x:v>Несколько кодов; Несколько исходных наименований</x:v>
      </x:c>
      <x:c r="E1000" s="207" t="str">
        <x:v>3 строк; 47472.00 руб.; 13-060; 13-074; 13-078</x:v>
      </x:c>
      <x:c r="F1000" s="207" t="str">
        <x:v>Подтвердить карточку, UOM, состав, цвет, поставщика и правила объединения</x:v>
      </x:c>
      <x:c r="G1000" s="207" t="str">
        <x:v>Закупки + склад</x:v>
      </x:c>
      <x:c r="H1000" s="207" t="str">
        <x:v>Высокий</x:v>
      </x:c>
      <x:c r="I1000" s="207" t="str">
        <x:v>Material aging; BOM; procurement; actual usage</x:v>
      </x:c>
      <x:c r="J1000" s="207" t="str">
        <x:v>Остатки ткани 31.05.2026</x:v>
      </x:c>
      <x:c r="K1000" s="207" t="str"/>
      <x:c r="L1000" s="207" t="str"/>
      <x:c r="M1000" s="207" t="str">
        <x:v>Не рассмотрено</x:v>
      </x:c>
      <x:c r="N1000" s="207" t="str"/>
      <x:c r="O1000" s="207" t="str">
        <x:v>17</x:v>
      </x:c>
      <x:c r="P1000" s="207" t="n">
        <x:v>3</x:v>
      </x:c>
      <x:c r="Q1000" s="208" t="str">
        <x:v>Wave 2 (31–60 дней)</x:v>
      </x:c>
    </x:row>
    <x:row r="1001">
      <x:c r="A1001" s="206" t="str">
        <x:v>DEC-00997</x:v>
      </x:c>
      <x:c r="B1001" s="207" t="str">
        <x:v>Material master</x:v>
      </x:c>
      <x:c r="C1001" s="207" t="str">
        <x:v>MAT-DRAFT-0207</x:v>
      </x:c>
      <x:c r="D1001" s="207" t="str">
        <x:v>Несколько кодов; Несколько исходных наименований</x:v>
      </x:c>
      <x:c r="E1001" s="207" t="str">
        <x:v>5 строк; 64133.50 руб.; 13-023; 13-025; 13-049; 13-063; 13-079</x:v>
      </x:c>
      <x:c r="F1001" s="207" t="str">
        <x:v>Подтвердить карточку, UOM, состав, цвет, поставщика и правила объединения</x:v>
      </x:c>
      <x:c r="G1001" s="207" t="str">
        <x:v>Закупки + склад</x:v>
      </x:c>
      <x:c r="H1001" s="207" t="str">
        <x:v>Высокий</x:v>
      </x:c>
      <x:c r="I1001" s="207" t="str">
        <x:v>Material aging; BOM; procurement; actual usage</x:v>
      </x:c>
      <x:c r="J1001" s="207" t="str">
        <x:v>Остатки ткани 31.05.2026</x:v>
      </x:c>
      <x:c r="K1001" s="207" t="str"/>
      <x:c r="L1001" s="207" t="str"/>
      <x:c r="M1001" s="207" t="str">
        <x:v>Не рассмотрено</x:v>
      </x:c>
      <x:c r="N1001" s="207" t="str"/>
      <x:c r="O1001" s="207" t="str">
        <x:v>17</x:v>
      </x:c>
      <x:c r="P1001" s="207" t="n">
        <x:v>3</x:v>
      </x:c>
      <x:c r="Q1001" s="208" t="str">
        <x:v>Wave 2 (31–60 дней)</x:v>
      </x:c>
    </x:row>
    <x:row r="1002">
      <x:c r="A1002" s="206" t="str">
        <x:v>DEC-00998</x:v>
      </x:c>
      <x:c r="B1002" s="207" t="str">
        <x:v>Material master</x:v>
      </x:c>
      <x:c r="C1002" s="207" t="str">
        <x:v>MAT-DRAFT-0208</x:v>
      </x:c>
      <x:c r="D1002" s="207" t="str">
        <x:v>Несколько кодов; Несколько исходных наименований</x:v>
      </x:c>
      <x:c r="E1002" s="207" t="str">
        <x:v>2 строк; 75050.00 руб.; 13-028; 13-038</x:v>
      </x:c>
      <x:c r="F1002" s="207" t="str">
        <x:v>Подтвердить карточку, UOM, состав, цвет, поставщика и правила объединения</x:v>
      </x:c>
      <x:c r="G1002" s="207" t="str">
        <x:v>Закупки + склад</x:v>
      </x:c>
      <x:c r="H1002" s="207" t="str">
        <x:v>Высокий</x:v>
      </x:c>
      <x:c r="I1002" s="207" t="str">
        <x:v>Material aging; BOM; procurement; actual usage</x:v>
      </x:c>
      <x:c r="J1002" s="207" t="str">
        <x:v>Остатки ткани 31.05.2026</x:v>
      </x:c>
      <x:c r="K1002" s="207" t="str"/>
      <x:c r="L1002" s="207" t="str"/>
      <x:c r="M1002" s="207" t="str">
        <x:v>Не рассмотрено</x:v>
      </x:c>
      <x:c r="N1002" s="207" t="str"/>
      <x:c r="O1002" s="207" t="str">
        <x:v>17</x:v>
      </x:c>
      <x:c r="P1002" s="207" t="n">
        <x:v>3</x:v>
      </x:c>
      <x:c r="Q1002" s="208" t="str">
        <x:v>Wave 2 (31–60 дней)</x:v>
      </x:c>
    </x:row>
    <x:row r="1003">
      <x:c r="A1003" s="206" t="str">
        <x:v>DEC-00999</x:v>
      </x:c>
      <x:c r="B1003" s="207" t="str">
        <x:v>Material master</x:v>
      </x:c>
      <x:c r="C1003" s="207" t="str">
        <x:v>MAT-DRAFT-0209</x:v>
      </x:c>
      <x:c r="D1003" s="207" t="str">
        <x:v>Несколько кодов; Несколько исходных наименований</x:v>
      </x:c>
      <x:c r="E1003" s="207" t="str">
        <x:v>4 строк; 24640.00 руб.; 13-022; 13-033; 13-065; 13-094</x:v>
      </x:c>
      <x:c r="F1003" s="207" t="str">
        <x:v>Подтвердить карточку, UOM, состав, цвет, поставщика и правила объединения</x:v>
      </x:c>
      <x:c r="G1003" s="207" t="str">
        <x:v>Закупки + склад</x:v>
      </x:c>
      <x:c r="H1003" s="207" t="str">
        <x:v>Высокий</x:v>
      </x:c>
      <x:c r="I1003" s="207" t="str">
        <x:v>Material aging; BOM; procurement; actual usage</x:v>
      </x:c>
      <x:c r="J1003" s="207" t="str">
        <x:v>Остатки ткани 31.05.2026</x:v>
      </x:c>
      <x:c r="K1003" s="207" t="str"/>
      <x:c r="L1003" s="207" t="str"/>
      <x:c r="M1003" s="207" t="str">
        <x:v>Не рассмотрено</x:v>
      </x:c>
      <x:c r="N1003" s="207" t="str"/>
      <x:c r="O1003" s="207" t="str">
        <x:v>17</x:v>
      </x:c>
      <x:c r="P1003" s="207" t="n">
        <x:v>3</x:v>
      </x:c>
      <x:c r="Q1003" s="208" t="str">
        <x:v>Wave 2 (31–60 дней)</x:v>
      </x:c>
    </x:row>
    <x:row r="1004">
      <x:c r="A1004" s="206" t="str">
        <x:v>DEC-01000</x:v>
      </x:c>
      <x:c r="B1004" s="207" t="str">
        <x:v>Material master</x:v>
      </x:c>
      <x:c r="C1004" s="207" t="str">
        <x:v>MAT-DRAFT-0210</x:v>
      </x:c>
      <x:c r="D1004" s="207" t="str">
        <x:v>Несколько кодов; Несколько исходных наименований</x:v>
      </x:c>
      <x:c r="E1004" s="207" t="str">
        <x:v>10 строк; 78736.00 руб.; 13-027; 13-029; 13-031; 13-034; 13-037; 13-077; 13-096</x:v>
      </x:c>
      <x:c r="F1004" s="207" t="str">
        <x:v>Подтвердить карточку, UOM, состав, цвет, поставщика и правила объединения</x:v>
      </x:c>
      <x:c r="G1004" s="207" t="str">
        <x:v>Закупки + склад</x:v>
      </x:c>
      <x:c r="H1004" s="207" t="str">
        <x:v>Высокий</x:v>
      </x:c>
      <x:c r="I1004" s="207" t="str">
        <x:v>Material aging; BOM; procurement; actual usage</x:v>
      </x:c>
      <x:c r="J1004" s="207" t="str">
        <x:v>Остатки ткани 31.05.2026</x:v>
      </x:c>
      <x:c r="K1004" s="207" t="str"/>
      <x:c r="L1004" s="207" t="str"/>
      <x:c r="M1004" s="207" t="str">
        <x:v>Не рассмотрено</x:v>
      </x:c>
      <x:c r="N1004" s="207" t="str"/>
      <x:c r="O1004" s="207" t="str">
        <x:v>17</x:v>
      </x:c>
      <x:c r="P1004" s="207" t="n">
        <x:v>3</x:v>
      </x:c>
      <x:c r="Q1004" s="208" t="str">
        <x:v>Wave 2 (31–60 дней)</x:v>
      </x:c>
    </x:row>
    <x:row r="1005">
      <x:c r="A1005" s="206" t="str">
        <x:v>DEC-01001</x:v>
      </x:c>
      <x:c r="B1005" s="207" t="str">
        <x:v>Material master</x:v>
      </x:c>
      <x:c r="C1005" s="207" t="str">
        <x:v>MAT-DRAFT-0211</x:v>
      </x:c>
      <x:c r="D1005" s="207" t="str">
        <x:v>Unlinked</x:v>
      </x:c>
      <x:c r="E1005" s="207" t="str">
        <x:v>1 строк; 4275.00 руб.; 3-003</x:v>
      </x:c>
      <x:c r="F1005" s="207" t="str">
        <x:v>Подтвердить карточку, UOM, состав, цвет, поставщика и правила объединения</x:v>
      </x:c>
      <x:c r="G1005" s="207" t="str">
        <x:v>Закупки + склад</x:v>
      </x:c>
      <x:c r="H1005" s="207" t="str">
        <x:v>Средний</x:v>
      </x:c>
      <x:c r="I1005" s="207" t="str">
        <x:v>Material aging; BOM; procurement; actual usage</x:v>
      </x:c>
      <x:c r="J1005" s="207" t="str">
        <x:v>Остатки ткани 31.05.2026</x:v>
      </x:c>
      <x:c r="K1005" s="207" t="str"/>
      <x:c r="L1005" s="207" t="str"/>
      <x:c r="M1005" s="207" t="str">
        <x:v>Не рассмотрено</x:v>
      </x:c>
      <x:c r="N1005" s="207" t="str"/>
      <x:c r="O1005" s="207" t="str">
        <x:v>17</x:v>
      </x:c>
      <x:c r="P1005" s="207" t="n">
        <x:v>2</x:v>
      </x:c>
      <x:c r="Q1005" s="208" t="str">
        <x:v>Wave 3 (61–90 дней)</x:v>
      </x:c>
    </x:row>
    <x:row r="1006">
      <x:c r="A1006" s="206" t="str">
        <x:v>DEC-01002</x:v>
      </x:c>
      <x:c r="B1006" s="207" t="str">
        <x:v>Material master</x:v>
      </x:c>
      <x:c r="C1006" s="207" t="str">
        <x:v>MAT-DRAFT-0212</x:v>
      </x:c>
      <x:c r="D1006" s="207" t="str">
        <x:v>Unlinked</x:v>
      </x:c>
      <x:c r="E1006" s="207" t="str">
        <x:v>1 строк; 1725.00 руб.; 3-006</x:v>
      </x:c>
      <x:c r="F1006" s="207" t="str">
        <x:v>Подтвердить карточку, UOM, состав, цвет, поставщика и правила объединения</x:v>
      </x:c>
      <x:c r="G1006" s="207" t="str">
        <x:v>Закупки + склад</x:v>
      </x:c>
      <x:c r="H1006" s="207" t="str">
        <x:v>Средний</x:v>
      </x:c>
      <x:c r="I1006" s="207" t="str">
        <x:v>Material aging; BOM; procurement; actual usage</x:v>
      </x:c>
      <x:c r="J1006" s="207" t="str">
        <x:v>Остатки ткани 31.05.2026</x:v>
      </x:c>
      <x:c r="K1006" s="207" t="str"/>
      <x:c r="L1006" s="207" t="str"/>
      <x:c r="M1006" s="207" t="str">
        <x:v>Не рассмотрено</x:v>
      </x:c>
      <x:c r="N1006" s="207" t="str"/>
      <x:c r="O1006" s="207" t="str">
        <x:v>17</x:v>
      </x:c>
      <x:c r="P1006" s="207" t="n">
        <x:v>2</x:v>
      </x:c>
      <x:c r="Q1006" s="208" t="str">
        <x:v>Wave 3 (61–90 дней)</x:v>
      </x:c>
    </x:row>
    <x:row r="1007">
      <x:c r="A1007" s="206" t="str">
        <x:v>DEC-01003</x:v>
      </x:c>
      <x:c r="B1007" s="207" t="str">
        <x:v>Material master</x:v>
      </x:c>
      <x:c r="C1007" s="207" t="str">
        <x:v>MAT-DRAFT-0213</x:v>
      </x:c>
      <x:c r="D1007" s="207" t="str">
        <x:v>Unlinked</x:v>
      </x:c>
      <x:c r="E1007" s="207" t="str">
        <x:v>1 строк; 11325.00 руб.; 3-005</x:v>
      </x:c>
      <x:c r="F1007" s="207" t="str">
        <x:v>Подтвердить карточку, UOM, состав, цвет, поставщика и правила объединения</x:v>
      </x:c>
      <x:c r="G1007" s="207" t="str">
        <x:v>Закупки + склад</x:v>
      </x:c>
      <x:c r="H1007" s="207" t="str">
        <x:v>Высокий</x:v>
      </x:c>
      <x:c r="I1007" s="207" t="str">
        <x:v>Material aging; BOM; procurement; actual usage</x:v>
      </x:c>
      <x:c r="J1007" s="207" t="str">
        <x:v>Остатки ткани 31.05.2026</x:v>
      </x:c>
      <x:c r="K1007" s="207" t="str"/>
      <x:c r="L1007" s="207" t="str"/>
      <x:c r="M1007" s="207" t="str">
        <x:v>Не рассмотрено</x:v>
      </x:c>
      <x:c r="N1007" s="207" t="str"/>
      <x:c r="O1007" s="207" t="str">
        <x:v>17</x:v>
      </x:c>
      <x:c r="P1007" s="207" t="n">
        <x:v>3</x:v>
      </x:c>
      <x:c r="Q1007" s="208" t="str">
        <x:v>Wave 2 (31–60 дней)</x:v>
      </x:c>
    </x:row>
    <x:row r="1008">
      <x:c r="A1008" s="206" t="str">
        <x:v>DEC-01004</x:v>
      </x:c>
      <x:c r="B1008" s="207" t="str">
        <x:v>Material master</x:v>
      </x:c>
      <x:c r="C1008" s="207" t="str">
        <x:v>MAT-DRAFT-0214</x:v>
      </x:c>
      <x:c r="D1008" s="207" t="str">
        <x:v>Unlinked</x:v>
      </x:c>
      <x:c r="E1008" s="207" t="str">
        <x:v>2 строк; 27450.00 руб.; 3-002</x:v>
      </x:c>
      <x:c r="F1008" s="207" t="str">
        <x:v>Подтвердить карточку, UOM, состав, цвет, поставщика и правила объединения</x:v>
      </x:c>
      <x:c r="G1008" s="207" t="str">
        <x:v>Закупки + склад</x:v>
      </x:c>
      <x:c r="H1008" s="207" t="str">
        <x:v>Высокий</x:v>
      </x:c>
      <x:c r="I1008" s="207" t="str">
        <x:v>Material aging; BOM; procurement; actual usage</x:v>
      </x:c>
      <x:c r="J1008" s="207" t="str">
        <x:v>Остатки ткани 31.05.2026</x:v>
      </x:c>
      <x:c r="K1008" s="207" t="str"/>
      <x:c r="L1008" s="207" t="str"/>
      <x:c r="M1008" s="207" t="str">
        <x:v>Не рассмотрено</x:v>
      </x:c>
      <x:c r="N1008" s="207" t="str"/>
      <x:c r="O1008" s="207" t="str">
        <x:v>17</x:v>
      </x:c>
      <x:c r="P1008" s="207" t="n">
        <x:v>3</x:v>
      </x:c>
      <x:c r="Q1008" s="208" t="str">
        <x:v>Wave 2 (31–60 дней)</x:v>
      </x:c>
    </x:row>
    <x:row r="1009">
      <x:c r="A1009" s="206" t="str">
        <x:v>DEC-01005</x:v>
      </x:c>
      <x:c r="B1009" s="207" t="str">
        <x:v>Material master</x:v>
      </x:c>
      <x:c r="C1009" s="207" t="str">
        <x:v>MAT-DRAFT-0215</x:v>
      </x:c>
      <x:c r="D1009" s="207" t="str">
        <x:v>Unlinked</x:v>
      </x:c>
      <x:c r="E1009" s="207" t="str">
        <x:v>1 строк; 6975.00 руб.; 3-004</x:v>
      </x:c>
      <x:c r="F1009" s="207" t="str">
        <x:v>Подтвердить карточку, UOM, состав, цвет, поставщика и правила объединения</x:v>
      </x:c>
      <x:c r="G1009" s="207" t="str">
        <x:v>Закупки + склад</x:v>
      </x:c>
      <x:c r="H1009" s="207" t="str">
        <x:v>Средний</x:v>
      </x:c>
      <x:c r="I1009" s="207" t="str">
        <x:v>Material aging; BOM; procurement; actual usage</x:v>
      </x:c>
      <x:c r="J1009" s="207" t="str">
        <x:v>Остатки ткани 31.05.2026</x:v>
      </x:c>
      <x:c r="K1009" s="207" t="str"/>
      <x:c r="L1009" s="207" t="str"/>
      <x:c r="M1009" s="207" t="str">
        <x:v>Не рассмотрено</x:v>
      </x:c>
      <x:c r="N1009" s="207" t="str"/>
      <x:c r="O1009" s="207" t="str">
        <x:v>17</x:v>
      </x:c>
      <x:c r="P1009" s="207" t="n">
        <x:v>2</x:v>
      </x:c>
      <x:c r="Q1009" s="208" t="str">
        <x:v>Wave 3 (61–90 дней)</x:v>
      </x:c>
    </x:row>
    <x:row r="1010">
      <x:c r="A1010" s="206" t="str">
        <x:v>DEC-01006</x:v>
      </x:c>
      <x:c r="B1010" s="207" t="str">
        <x:v>Material master</x:v>
      </x:c>
      <x:c r="C1010" s="207" t="str">
        <x:v>MAT-DRAFT-0216</x:v>
      </x:c>
      <x:c r="D1010" s="207" t="str">
        <x:v>Unlinked</x:v>
      </x:c>
      <x:c r="E1010" s="207" t="str">
        <x:v>1 строк; 6900.00 руб.; 3-007</x:v>
      </x:c>
      <x:c r="F1010" s="207" t="str">
        <x:v>Подтвердить карточку, UOM, состав, цвет, поставщика и правила объединения</x:v>
      </x:c>
      <x:c r="G1010" s="207" t="str">
        <x:v>Закупки + склад</x:v>
      </x:c>
      <x:c r="H1010" s="207" t="str">
        <x:v>Средний</x:v>
      </x:c>
      <x:c r="I1010" s="207" t="str">
        <x:v>Material aging; BOM; procurement; actual usage</x:v>
      </x:c>
      <x:c r="J1010" s="207" t="str">
        <x:v>Остатки ткани 31.05.2026</x:v>
      </x:c>
      <x:c r="K1010" s="207" t="str"/>
      <x:c r="L1010" s="207" t="str"/>
      <x:c r="M1010" s="207" t="str">
        <x:v>Не рассмотрено</x:v>
      </x:c>
      <x:c r="N1010" s="207" t="str"/>
      <x:c r="O1010" s="207" t="str">
        <x:v>17</x:v>
      </x:c>
      <x:c r="P1010" s="207" t="n">
        <x:v>2</x:v>
      </x:c>
      <x:c r="Q1010" s="208" t="str">
        <x:v>Wave 3 (61–90 дней)</x:v>
      </x:c>
    </x:row>
    <x:row r="1011">
      <x:c r="A1011" s="206" t="str">
        <x:v>DEC-01007</x:v>
      </x:c>
      <x:c r="B1011" s="207" t="str">
        <x:v>Material master</x:v>
      </x:c>
      <x:c r="C1011" s="207" t="str">
        <x:v>MAT-DRAFT-0217</x:v>
      </x:c>
      <x:c r="D1011" s="207" t="str">
        <x:v>Unlinked</x:v>
      </x:c>
      <x:c r="E1011" s="207" t="str">
        <x:v>2 строк; 22050.00 руб.; 3-001</x:v>
      </x:c>
      <x:c r="F1011" s="207" t="str">
        <x:v>Подтвердить карточку, UOM, состав, цвет, поставщика и правила объединения</x:v>
      </x:c>
      <x:c r="G1011" s="207" t="str">
        <x:v>Закупки + склад</x:v>
      </x:c>
      <x:c r="H1011" s="207" t="str">
        <x:v>Высокий</x:v>
      </x:c>
      <x:c r="I1011" s="207" t="str">
        <x:v>Material aging; BOM; procurement; actual usage</x:v>
      </x:c>
      <x:c r="J1011" s="207" t="str">
        <x:v>Остатки ткани 31.05.2026</x:v>
      </x:c>
      <x:c r="K1011" s="207" t="str"/>
      <x:c r="L1011" s="207" t="str"/>
      <x:c r="M1011" s="207" t="str">
        <x:v>Не рассмотрено</x:v>
      </x:c>
      <x:c r="N1011" s="207" t="str"/>
      <x:c r="O1011" s="207" t="str">
        <x:v>17</x:v>
      </x:c>
      <x:c r="P1011" s="207" t="n">
        <x:v>3</x:v>
      </x:c>
      <x:c r="Q1011" s="208" t="str">
        <x:v>Wave 2 (31–60 дней)</x:v>
      </x:c>
    </x:row>
    <x:row r="1012">
      <x:c r="A1012" s="206" t="str">
        <x:v>DEC-01008</x:v>
      </x:c>
      <x:c r="B1012" s="207" t="str">
        <x:v>Material master</x:v>
      </x:c>
      <x:c r="C1012" s="207" t="str">
        <x:v>MAT-DRAFT-0218</x:v>
      </x:c>
      <x:c r="D1012" s="207" t="str">
        <x:v>Unlinked</x:v>
      </x:c>
      <x:c r="E1012" s="207" t="str">
        <x:v>1 строк; 5500.00 руб.; 25-004</x:v>
      </x:c>
      <x:c r="F1012" s="207" t="str">
        <x:v>Подтвердить карточку, UOM, состав, цвет, поставщика и правила объединения</x:v>
      </x:c>
      <x:c r="G1012" s="207" t="str">
        <x:v>Закупки + склад</x:v>
      </x:c>
      <x:c r="H1012" s="207" t="str">
        <x:v>Средний</x:v>
      </x:c>
      <x:c r="I1012" s="207" t="str">
        <x:v>Material aging; BOM; procurement; actual usage</x:v>
      </x:c>
      <x:c r="J1012" s="207" t="str">
        <x:v>Остатки ткани 31.05.2026</x:v>
      </x:c>
      <x:c r="K1012" s="207" t="str"/>
      <x:c r="L1012" s="207" t="str"/>
      <x:c r="M1012" s="207" t="str">
        <x:v>Не рассмотрено</x:v>
      </x:c>
      <x:c r="N1012" s="207" t="str"/>
      <x:c r="O1012" s="207" t="str">
        <x:v>17</x:v>
      </x:c>
      <x:c r="P1012" s="207" t="n">
        <x:v>2</x:v>
      </x:c>
      <x:c r="Q1012" s="208" t="str">
        <x:v>Wave 3 (61–90 дней)</x:v>
      </x:c>
    </x:row>
    <x:row r="1013">
      <x:c r="A1013" s="206" t="str">
        <x:v>DEC-01009</x:v>
      </x:c>
      <x:c r="B1013" s="207" t="str">
        <x:v>Material master</x:v>
      </x:c>
      <x:c r="C1013" s="207" t="str">
        <x:v>MAT-DRAFT-0219</x:v>
      </x:c>
      <x:c r="D1013" s="207" t="str">
        <x:v>Unlinked</x:v>
      </x:c>
      <x:c r="E1013" s="207" t="str">
        <x:v>1 строк; 7700.00 руб.; 25-003</x:v>
      </x:c>
      <x:c r="F1013" s="207" t="str">
        <x:v>Подтвердить карточку, UOM, состав, цвет, поставщика и правила объединения</x:v>
      </x:c>
      <x:c r="G1013" s="207" t="str">
        <x:v>Закупки + склад</x:v>
      </x:c>
      <x:c r="H1013" s="207" t="str">
        <x:v>Средний</x:v>
      </x:c>
      <x:c r="I1013" s="207" t="str">
        <x:v>Material aging; BOM; procurement; actual usage</x:v>
      </x:c>
      <x:c r="J1013" s="207" t="str">
        <x:v>Остатки ткани 31.05.2026</x:v>
      </x:c>
      <x:c r="K1013" s="207" t="str"/>
      <x:c r="L1013" s="207" t="str"/>
      <x:c r="M1013" s="207" t="str">
        <x:v>Не рассмотрено</x:v>
      </x:c>
      <x:c r="N1013" s="207" t="str"/>
      <x:c r="O1013" s="207" t="str">
        <x:v>17</x:v>
      </x:c>
      <x:c r="P1013" s="207" t="n">
        <x:v>2</x:v>
      </x:c>
      <x:c r="Q1013" s="208" t="str">
        <x:v>Wave 3 (61–90 дней)</x:v>
      </x:c>
    </x:row>
    <x:row r="1014">
      <x:c r="A1014" s="206" t="str">
        <x:v>DEC-01010</x:v>
      </x:c>
      <x:c r="B1014" s="207" t="str">
        <x:v>Material master</x:v>
      </x:c>
      <x:c r="C1014" s="207" t="str">
        <x:v>MAT-DRAFT-0220</x:v>
      </x:c>
      <x:c r="D1014" s="207" t="str">
        <x:v>Unlinked</x:v>
      </x:c>
      <x:c r="E1014" s="207" t="str">
        <x:v>1 строк; 2200.00 руб.; 25-007</x:v>
      </x:c>
      <x:c r="F1014" s="207" t="str">
        <x:v>Подтвердить карточку, UOM, состав, цвет, поставщика и правила объединения</x:v>
      </x:c>
      <x:c r="G1014" s="207" t="str">
        <x:v>Закупки + склад</x:v>
      </x:c>
      <x:c r="H1014" s="207" t="str">
        <x:v>Средний</x:v>
      </x:c>
      <x:c r="I1014" s="207" t="str">
        <x:v>Material aging; BOM; procurement; actual usage</x:v>
      </x:c>
      <x:c r="J1014" s="207" t="str">
        <x:v>Остатки ткани 31.05.2026</x:v>
      </x:c>
      <x:c r="K1014" s="207" t="str"/>
      <x:c r="L1014" s="207" t="str"/>
      <x:c r="M1014" s="207" t="str">
        <x:v>Не рассмотрено</x:v>
      </x:c>
      <x:c r="N1014" s="207" t="str"/>
      <x:c r="O1014" s="207" t="str">
        <x:v>17</x:v>
      </x:c>
      <x:c r="P1014" s="207" t="n">
        <x:v>2</x:v>
      </x:c>
      <x:c r="Q1014" s="208" t="str">
        <x:v>Wave 3 (61–90 дней)</x:v>
      </x:c>
    </x:row>
    <x:row r="1015">
      <x:c r="A1015" s="206" t="str">
        <x:v>DEC-01011</x:v>
      </x:c>
      <x:c r="B1015" s="207" t="str">
        <x:v>Material master</x:v>
      </x:c>
      <x:c r="C1015" s="207" t="str">
        <x:v>MAT-DRAFT-0221</x:v>
      </x:c>
      <x:c r="D1015" s="207" t="str">
        <x:v>Unlinked</x:v>
      </x:c>
      <x:c r="E1015" s="207" t="str">
        <x:v>1 строк; 15400.00 руб.; 25-002</x:v>
      </x:c>
      <x:c r="F1015" s="207" t="str">
        <x:v>Подтвердить карточку, UOM, состав, цвет, поставщика и правила объединения</x:v>
      </x:c>
      <x:c r="G1015" s="207" t="str">
        <x:v>Закупки + склад</x:v>
      </x:c>
      <x:c r="H1015" s="207" t="str">
        <x:v>Высокий</x:v>
      </x:c>
      <x:c r="I1015" s="207" t="str">
        <x:v>Material aging; BOM; procurement; actual usage</x:v>
      </x:c>
      <x:c r="J1015" s="207" t="str">
        <x:v>Остатки ткани 31.05.2026</x:v>
      </x:c>
      <x:c r="K1015" s="207" t="str"/>
      <x:c r="L1015" s="207" t="str"/>
      <x:c r="M1015" s="207" t="str">
        <x:v>Не рассмотрено</x:v>
      </x:c>
      <x:c r="N1015" s="207" t="str"/>
      <x:c r="O1015" s="207" t="str">
        <x:v>17</x:v>
      </x:c>
      <x:c r="P1015" s="207" t="n">
        <x:v>3</x:v>
      </x:c>
      <x:c r="Q1015" s="208" t="str">
        <x:v>Wave 2 (31–60 дней)</x:v>
      </x:c>
    </x:row>
    <x:row r="1016">
      <x:c r="A1016" s="206" t="str">
        <x:v>DEC-01012</x:v>
      </x:c>
      <x:c r="B1016" s="207" t="str">
        <x:v>Material master</x:v>
      </x:c>
      <x:c r="C1016" s="207" t="str">
        <x:v>MAT-DRAFT-0222</x:v>
      </x:c>
      <x:c r="D1016" s="207" t="str">
        <x:v>Unlinked</x:v>
      </x:c>
      <x:c r="E1016" s="207" t="str">
        <x:v>1 строк; 2200.00 руб.; 25-006</x:v>
      </x:c>
      <x:c r="F1016" s="207" t="str">
        <x:v>Подтвердить карточку, UOM, состав, цвет, поставщика и правила объединения</x:v>
      </x:c>
      <x:c r="G1016" s="207" t="str">
        <x:v>Закупки + склад</x:v>
      </x:c>
      <x:c r="H1016" s="207" t="str">
        <x:v>Средний</x:v>
      </x:c>
      <x:c r="I1016" s="207" t="str">
        <x:v>Material aging; BOM; procurement; actual usage</x:v>
      </x:c>
      <x:c r="J1016" s="207" t="str">
        <x:v>Остатки ткани 31.05.2026</x:v>
      </x:c>
      <x:c r="K1016" s="207" t="str"/>
      <x:c r="L1016" s="207" t="str"/>
      <x:c r="M1016" s="207" t="str">
        <x:v>Не рассмотрено</x:v>
      </x:c>
      <x:c r="N1016" s="207" t="str"/>
      <x:c r="O1016" s="207" t="str">
        <x:v>17</x:v>
      </x:c>
      <x:c r="P1016" s="207" t="n">
        <x:v>2</x:v>
      </x:c>
      <x:c r="Q1016" s="208" t="str">
        <x:v>Wave 3 (61–90 дней)</x:v>
      </x:c>
    </x:row>
    <x:row r="1017">
      <x:c r="A1017" s="206" t="str">
        <x:v>DEC-01013</x:v>
      </x:c>
      <x:c r="B1017" s="207" t="str">
        <x:v>Material master</x:v>
      </x:c>
      <x:c r="C1017" s="207" t="str">
        <x:v>MAT-DRAFT-0223</x:v>
      </x:c>
      <x:c r="D1017" s="207" t="str">
        <x:v>Unlinked</x:v>
      </x:c>
      <x:c r="E1017" s="207" t="str">
        <x:v>1 строк; 1980.00 руб.; 25-005</x:v>
      </x:c>
      <x:c r="F1017" s="207" t="str">
        <x:v>Подтвердить карточку, UOM, состав, цвет, поставщика и правила объединения</x:v>
      </x:c>
      <x:c r="G1017" s="207" t="str">
        <x:v>Закупки + склад</x:v>
      </x:c>
      <x:c r="H1017" s="207" t="str">
        <x:v>Средний</x:v>
      </x:c>
      <x:c r="I1017" s="207" t="str">
        <x:v>Material aging; BOM; procurement; actual usage</x:v>
      </x:c>
      <x:c r="J1017" s="207" t="str">
        <x:v>Остатки ткани 31.05.2026</x:v>
      </x:c>
      <x:c r="K1017" s="207" t="str"/>
      <x:c r="L1017" s="207" t="str"/>
      <x:c r="M1017" s="207" t="str">
        <x:v>Не рассмотрено</x:v>
      </x:c>
      <x:c r="N1017" s="207" t="str"/>
      <x:c r="O1017" s="207" t="str">
        <x:v>17</x:v>
      </x:c>
      <x:c r="P1017" s="207" t="n">
        <x:v>2</x:v>
      </x:c>
      <x:c r="Q1017" s="208" t="str">
        <x:v>Wave 3 (61–90 дней)</x:v>
      </x:c>
    </x:row>
    <x:row r="1018">
      <x:c r="A1018" s="206" t="str">
        <x:v>DEC-01014</x:v>
      </x:c>
      <x:c r="B1018" s="207" t="str">
        <x:v>Material master</x:v>
      </x:c>
      <x:c r="C1018" s="207" t="str">
        <x:v>MAT-DRAFT-0224</x:v>
      </x:c>
      <x:c r="D1018" s="207" t="str">
        <x:v>Unlinked</x:v>
      </x:c>
      <x:c r="E1018" s="207" t="str">
        <x:v>1 строк; 4840.00 руб.; 25-001</x:v>
      </x:c>
      <x:c r="F1018" s="207" t="str">
        <x:v>Подтвердить карточку, UOM, состав, цвет, поставщика и правила объединения</x:v>
      </x:c>
      <x:c r="G1018" s="207" t="str">
        <x:v>Закупки + склад</x:v>
      </x:c>
      <x:c r="H1018" s="207" t="str">
        <x:v>Средний</x:v>
      </x:c>
      <x:c r="I1018" s="207" t="str">
        <x:v>Material aging; BOM; procurement; actual usage</x:v>
      </x:c>
      <x:c r="J1018" s="207" t="str">
        <x:v>Остатки ткани 31.05.2026</x:v>
      </x:c>
      <x:c r="K1018" s="207" t="str"/>
      <x:c r="L1018" s="207" t="str"/>
      <x:c r="M1018" s="207" t="str">
        <x:v>Не рассмотрено</x:v>
      </x:c>
      <x:c r="N1018" s="207" t="str"/>
      <x:c r="O1018" s="207" t="str">
        <x:v>17</x:v>
      </x:c>
      <x:c r="P1018" s="207" t="n">
        <x:v>2</x:v>
      </x:c>
      <x:c r="Q1018" s="208" t="str">
        <x:v>Wave 3 (61–90 дней)</x:v>
      </x:c>
    </x:row>
    <x:row r="1019">
      <x:c r="A1019" s="206" t="str">
        <x:v>DEC-01015</x:v>
      </x:c>
      <x:c r="B1019" s="207" t="str">
        <x:v>Material master</x:v>
      </x:c>
      <x:c r="C1019" s="207" t="str">
        <x:v>MAT-DRAFT-0225</x:v>
      </x:c>
      <x:c r="D1019" s="207" t="str">
        <x:v>Unlinked</x:v>
      </x:c>
      <x:c r="E1019" s="207" t="str">
        <x:v>1 строк; 37500.00 руб.; 21-009</x:v>
      </x:c>
      <x:c r="F1019" s="207" t="str">
        <x:v>Подтвердить карточку, UOM, состав, цвет, поставщика и правила объединения</x:v>
      </x:c>
      <x:c r="G1019" s="207" t="str">
        <x:v>Закупки + склад</x:v>
      </x:c>
      <x:c r="H1019" s="207" t="str">
        <x:v>Высокий</x:v>
      </x:c>
      <x:c r="I1019" s="207" t="str">
        <x:v>Material aging; BOM; procurement; actual usage</x:v>
      </x:c>
      <x:c r="J1019" s="207" t="str">
        <x:v>Остатки ткани 31.05.2026</x:v>
      </x:c>
      <x:c r="K1019" s="207" t="str"/>
      <x:c r="L1019" s="207" t="str"/>
      <x:c r="M1019" s="207" t="str">
        <x:v>Не рассмотрено</x:v>
      </x:c>
      <x:c r="N1019" s="207" t="str"/>
      <x:c r="O1019" s="207" t="str">
        <x:v>17</x:v>
      </x:c>
      <x:c r="P1019" s="207" t="n">
        <x:v>3</x:v>
      </x:c>
      <x:c r="Q1019" s="208" t="str">
        <x:v>Wave 2 (31–60 дней)</x:v>
      </x:c>
    </x:row>
    <x:row r="1020">
      <x:c r="A1020" s="206" t="str">
        <x:v>DEC-01016</x:v>
      </x:c>
      <x:c r="B1020" s="207" t="str">
        <x:v>Material master</x:v>
      </x:c>
      <x:c r="C1020" s="207" t="str">
        <x:v>MAT-DRAFT-0226</x:v>
      </x:c>
      <x:c r="D1020" s="207" t="str">
        <x:v>Несколько кодов; Несколько исходных наименований</x:v>
      </x:c>
      <x:c r="E1020" s="207" t="str">
        <x:v>3 строк; 26650.00 руб.; 21-008; 21-023</x:v>
      </x:c>
      <x:c r="F1020" s="207" t="str">
        <x:v>Подтвердить карточку, UOM, состав, цвет, поставщика и правила объединения</x:v>
      </x:c>
      <x:c r="G1020" s="207" t="str">
        <x:v>Закупки + склад</x:v>
      </x:c>
      <x:c r="H1020" s="207" t="str">
        <x:v>Высокий</x:v>
      </x:c>
      <x:c r="I1020" s="207" t="str">
        <x:v>Material aging; BOM; procurement; actual usage</x:v>
      </x:c>
      <x:c r="J1020" s="207" t="str">
        <x:v>Остатки ткани 31.05.2026</x:v>
      </x:c>
      <x:c r="K1020" s="207" t="str"/>
      <x:c r="L1020" s="207" t="str"/>
      <x:c r="M1020" s="207" t="str">
        <x:v>Не рассмотрено</x:v>
      </x:c>
      <x:c r="N1020" s="207" t="str"/>
      <x:c r="O1020" s="207" t="str">
        <x:v>17</x:v>
      </x:c>
      <x:c r="P1020" s="207" t="n">
        <x:v>3</x:v>
      </x:c>
      <x:c r="Q1020" s="208" t="str">
        <x:v>Wave 2 (31–60 дней)</x:v>
      </x:c>
    </x:row>
    <x:row r="1021">
      <x:c r="A1021" s="206" t="str">
        <x:v>DEC-01017</x:v>
      </x:c>
      <x:c r="B1021" s="207" t="str">
        <x:v>Material master</x:v>
      </x:c>
      <x:c r="C1021" s="207" t="str">
        <x:v>MAT-DRAFT-0227</x:v>
      </x:c>
      <x:c r="D1021" s="207" t="str">
        <x:v>Unlinked</x:v>
      </x:c>
      <x:c r="E1021" s="207" t="str">
        <x:v>1 строк; 33750.00 руб.; 21-011</x:v>
      </x:c>
      <x:c r="F1021" s="207" t="str">
        <x:v>Подтвердить карточку, UOM, состав, цвет, поставщика и правила объединения</x:v>
      </x:c>
      <x:c r="G1021" s="207" t="str">
        <x:v>Закупки + склад</x:v>
      </x:c>
      <x:c r="H1021" s="207" t="str">
        <x:v>Высокий</x:v>
      </x:c>
      <x:c r="I1021" s="207" t="str">
        <x:v>Material aging; BOM; procurement; actual usage</x:v>
      </x:c>
      <x:c r="J1021" s="207" t="str">
        <x:v>Остатки ткани 31.05.2026</x:v>
      </x:c>
      <x:c r="K1021" s="207" t="str"/>
      <x:c r="L1021" s="207" t="str"/>
      <x:c r="M1021" s="207" t="str">
        <x:v>Не рассмотрено</x:v>
      </x:c>
      <x:c r="N1021" s="207" t="str"/>
      <x:c r="O1021" s="207" t="str">
        <x:v>17</x:v>
      </x:c>
      <x:c r="P1021" s="207" t="n">
        <x:v>3</x:v>
      </x:c>
      <x:c r="Q1021" s="208" t="str">
        <x:v>Wave 2 (31–60 дней)</x:v>
      </x:c>
    </x:row>
    <x:row r="1022">
      <x:c r="A1022" s="206" t="str">
        <x:v>DEC-01018</x:v>
      </x:c>
      <x:c r="B1022" s="207" t="str">
        <x:v>Material master</x:v>
      </x:c>
      <x:c r="C1022" s="207" t="str">
        <x:v>MAT-DRAFT-0228</x:v>
      </x:c>
      <x:c r="D1022" s="207" t="str">
        <x:v>Unlinked</x:v>
      </x:c>
      <x:c r="E1022" s="207" t="str">
        <x:v>1 строк; 4275.00 руб.; 21-027</x:v>
      </x:c>
      <x:c r="F1022" s="207" t="str">
        <x:v>Подтвердить карточку, UOM, состав, цвет, поставщика и правила объединения</x:v>
      </x:c>
      <x:c r="G1022" s="207" t="str">
        <x:v>Закупки + склад</x:v>
      </x:c>
      <x:c r="H1022" s="207" t="str">
        <x:v>Средний</x:v>
      </x:c>
      <x:c r="I1022" s="207" t="str">
        <x:v>Material aging; BOM; procurement; actual usage</x:v>
      </x:c>
      <x:c r="J1022" s="207" t="str">
        <x:v>Остатки ткани 31.05.2026</x:v>
      </x:c>
      <x:c r="K1022" s="207" t="str"/>
      <x:c r="L1022" s="207" t="str"/>
      <x:c r="M1022" s="207" t="str">
        <x:v>Не рассмотрено</x:v>
      </x:c>
      <x:c r="N1022" s="207" t="str"/>
      <x:c r="O1022" s="207" t="str">
        <x:v>17</x:v>
      </x:c>
      <x:c r="P1022" s="207" t="n">
        <x:v>2</x:v>
      </x:c>
      <x:c r="Q1022" s="208" t="str">
        <x:v>Wave 3 (61–90 дней)</x:v>
      </x:c>
    </x:row>
    <x:row r="1023">
      <x:c r="A1023" s="206" t="str">
        <x:v>DEC-01019</x:v>
      </x:c>
      <x:c r="B1023" s="207" t="str">
        <x:v>Material master</x:v>
      </x:c>
      <x:c r="C1023" s="207" t="str">
        <x:v>MAT-DRAFT-0229</x:v>
      </x:c>
      <x:c r="D1023" s="207" t="str">
        <x:v>Unlinked</x:v>
      </x:c>
      <x:c r="E1023" s="207" t="str">
        <x:v>1 строк; 10400.00 руб.; 21-030</x:v>
      </x:c>
      <x:c r="F1023" s="207" t="str">
        <x:v>Подтвердить карточку, UOM, состав, цвет, поставщика и правила объединения</x:v>
      </x:c>
      <x:c r="G1023" s="207" t="str">
        <x:v>Закупки + склад</x:v>
      </x:c>
      <x:c r="H1023" s="207" t="str">
        <x:v>Высокий</x:v>
      </x:c>
      <x:c r="I1023" s="207" t="str">
        <x:v>Material aging; BOM; procurement; actual usage</x:v>
      </x:c>
      <x:c r="J1023" s="207" t="str">
        <x:v>Остатки ткани 31.05.2026</x:v>
      </x:c>
      <x:c r="K1023" s="207" t="str"/>
      <x:c r="L1023" s="207" t="str"/>
      <x:c r="M1023" s="207" t="str">
        <x:v>Не рассмотрено</x:v>
      </x:c>
      <x:c r="N1023" s="207" t="str"/>
      <x:c r="O1023" s="207" t="str">
        <x:v>17</x:v>
      </x:c>
      <x:c r="P1023" s="207" t="n">
        <x:v>3</x:v>
      </x:c>
      <x:c r="Q1023" s="208" t="str">
        <x:v>Wave 2 (31–60 дней)</x:v>
      </x:c>
    </x:row>
    <x:row r="1024">
      <x:c r="A1024" s="206" t="str">
        <x:v>DEC-01020</x:v>
      </x:c>
      <x:c r="B1024" s="207" t="str">
        <x:v>Material master</x:v>
      </x:c>
      <x:c r="C1024" s="207" t="str">
        <x:v>MAT-DRAFT-0230</x:v>
      </x:c>
      <x:c r="D1024" s="207" t="str">
        <x:v>Unlinked</x:v>
      </x:c>
      <x:c r="E1024" s="207" t="str">
        <x:v>1 строк; 3400.00 руб.; 21-015</x:v>
      </x:c>
      <x:c r="F1024" s="207" t="str">
        <x:v>Подтвердить карточку, UOM, состав, цвет, поставщика и правила объединения</x:v>
      </x:c>
      <x:c r="G1024" s="207" t="str">
        <x:v>Закупки + склад</x:v>
      </x:c>
      <x:c r="H1024" s="207" t="str">
        <x:v>Средний</x:v>
      </x:c>
      <x:c r="I1024" s="207" t="str">
        <x:v>Material aging; BOM; procurement; actual usage</x:v>
      </x:c>
      <x:c r="J1024" s="207" t="str">
        <x:v>Остатки ткани 31.05.2026</x:v>
      </x:c>
      <x:c r="K1024" s="207" t="str"/>
      <x:c r="L1024" s="207" t="str"/>
      <x:c r="M1024" s="207" t="str">
        <x:v>Не рассмотрено</x:v>
      </x:c>
      <x:c r="N1024" s="207" t="str"/>
      <x:c r="O1024" s="207" t="str">
        <x:v>17</x:v>
      </x:c>
      <x:c r="P1024" s="207" t="n">
        <x:v>2</x:v>
      </x:c>
      <x:c r="Q1024" s="208" t="str">
        <x:v>Wave 3 (61–90 дней)</x:v>
      </x:c>
    </x:row>
    <x:row r="1025">
      <x:c r="A1025" s="206" t="str">
        <x:v>DEC-01021</x:v>
      </x:c>
      <x:c r="B1025" s="207" t="str">
        <x:v>Material master</x:v>
      </x:c>
      <x:c r="C1025" s="207" t="str">
        <x:v>MAT-DRAFT-0231</x:v>
      </x:c>
      <x:c r="D1025" s="207" t="str">
        <x:v>Unlinked</x:v>
      </x:c>
      <x:c r="E1025" s="207" t="str">
        <x:v>1 строк; 7125.00 руб.; 21-025</x:v>
      </x:c>
      <x:c r="F1025" s="207" t="str">
        <x:v>Подтвердить карточку, UOM, состав, цвет, поставщика и правила объединения</x:v>
      </x:c>
      <x:c r="G1025" s="207" t="str">
        <x:v>Закупки + склад</x:v>
      </x:c>
      <x:c r="H1025" s="207" t="str">
        <x:v>Средний</x:v>
      </x:c>
      <x:c r="I1025" s="207" t="str">
        <x:v>Material aging; BOM; procurement; actual usage</x:v>
      </x:c>
      <x:c r="J1025" s="207" t="str">
        <x:v>Остатки ткани 31.05.2026</x:v>
      </x:c>
      <x:c r="K1025" s="207" t="str"/>
      <x:c r="L1025" s="207" t="str"/>
      <x:c r="M1025" s="207" t="str">
        <x:v>Не рассмотрено</x:v>
      </x:c>
      <x:c r="N1025" s="207" t="str"/>
      <x:c r="O1025" s="207" t="str">
        <x:v>17</x:v>
      </x:c>
      <x:c r="P1025" s="207" t="n">
        <x:v>2</x:v>
      </x:c>
      <x:c r="Q1025" s="208" t="str">
        <x:v>Wave 3 (61–90 дней)</x:v>
      </x:c>
    </x:row>
    <x:row r="1026">
      <x:c r="A1026" s="206" t="str">
        <x:v>DEC-01022</x:v>
      </x:c>
      <x:c r="B1026" s="207" t="str">
        <x:v>Material master</x:v>
      </x:c>
      <x:c r="C1026" s="207" t="str">
        <x:v>MAT-DRAFT-0232</x:v>
      </x:c>
      <x:c r="D1026" s="207" t="str">
        <x:v>Несколько кодов; Несколько исходных наименований</x:v>
      </x:c>
      <x:c r="E1026" s="207" t="str">
        <x:v>2 строк; 103020.00 руб.; 21-017; 21-018</x:v>
      </x:c>
      <x:c r="F1026" s="207" t="str">
        <x:v>Подтвердить карточку, UOM, состав, цвет, поставщика и правила объединения</x:v>
      </x:c>
      <x:c r="G1026" s="207" t="str">
        <x:v>Закупки + склад</x:v>
      </x:c>
      <x:c r="H1026" s="207" t="str">
        <x:v>Критический</x:v>
      </x:c>
      <x:c r="I1026" s="207" t="str">
        <x:v>Material aging; BOM; procurement; actual usage</x:v>
      </x:c>
      <x:c r="J1026" s="207" t="str">
        <x:v>Остатки ткани 31.05.2026</x:v>
      </x:c>
      <x:c r="K1026" s="207" t="str"/>
      <x:c r="L1026" s="207" t="str"/>
      <x:c r="M1026" s="207" t="str">
        <x:v>Не рассмотрено</x:v>
      </x:c>
      <x:c r="N1026" s="207" t="str"/>
      <x:c r="O1026" s="207" t="str">
        <x:v>17</x:v>
      </x:c>
      <x:c r="P1026" s="207" t="n">
        <x:v>4</x:v>
      </x:c>
      <x:c r="Q1026" s="208" t="str">
        <x:v>Wave 1 (0–30 дней)</x:v>
      </x:c>
    </x:row>
    <x:row r="1027">
      <x:c r="A1027" s="206" t="str">
        <x:v>DEC-01023</x:v>
      </x:c>
      <x:c r="B1027" s="207" t="str">
        <x:v>Material master</x:v>
      </x:c>
      <x:c r="C1027" s="207" t="str">
        <x:v>MAT-DRAFT-0233</x:v>
      </x:c>
      <x:c r="D1027" s="207" t="str">
        <x:v>Unlinked</x:v>
      </x:c>
      <x:c r="E1027" s="207" t="str">
        <x:v>1 строк; 40750.00 руб.; 21-012</x:v>
      </x:c>
      <x:c r="F1027" s="207" t="str">
        <x:v>Подтвердить карточку, UOM, состав, цвет, поставщика и правила объединения</x:v>
      </x:c>
      <x:c r="G1027" s="207" t="str">
        <x:v>Закупки + склад</x:v>
      </x:c>
      <x:c r="H1027" s="207" t="str">
        <x:v>Высокий</x:v>
      </x:c>
      <x:c r="I1027" s="207" t="str">
        <x:v>Material aging; BOM; procurement; actual usage</x:v>
      </x:c>
      <x:c r="J1027" s="207" t="str">
        <x:v>Остатки ткани 31.05.2026</x:v>
      </x:c>
      <x:c r="K1027" s="207" t="str"/>
      <x:c r="L1027" s="207" t="str"/>
      <x:c r="M1027" s="207" t="str">
        <x:v>Не рассмотрено</x:v>
      </x:c>
      <x:c r="N1027" s="207" t="str"/>
      <x:c r="O1027" s="207" t="str">
        <x:v>17</x:v>
      </x:c>
      <x:c r="P1027" s="207" t="n">
        <x:v>3</x:v>
      </x:c>
      <x:c r="Q1027" s="208" t="str">
        <x:v>Wave 2 (31–60 дней)</x:v>
      </x:c>
    </x:row>
    <x:row r="1028">
      <x:c r="A1028" s="206" t="str">
        <x:v>DEC-01024</x:v>
      </x:c>
      <x:c r="B1028" s="207" t="str">
        <x:v>Material master</x:v>
      </x:c>
      <x:c r="C1028" s="207" t="str">
        <x:v>MAT-DRAFT-0234</x:v>
      </x:c>
      <x:c r="D1028" s="207" t="str">
        <x:v>Несколько кодов; Несколько исходных наименований</x:v>
      </x:c>
      <x:c r="E1028" s="207" t="str">
        <x:v>2 строк; 8610.00 руб.; 21-004; 21-028</x:v>
      </x:c>
      <x:c r="F1028" s="207" t="str">
        <x:v>Подтвердить карточку, UOM, состав, цвет, поставщика и правила объединения</x:v>
      </x:c>
      <x:c r="G1028" s="207" t="str">
        <x:v>Закупки + склад</x:v>
      </x:c>
      <x:c r="H1028" s="207" t="str">
        <x:v>Средний</x:v>
      </x:c>
      <x:c r="I1028" s="207" t="str">
        <x:v>Material aging; BOM; procurement; actual usage</x:v>
      </x:c>
      <x:c r="J1028" s="207" t="str">
        <x:v>Остатки ткани 31.05.2026</x:v>
      </x:c>
      <x:c r="K1028" s="207" t="str"/>
      <x:c r="L1028" s="207" t="str"/>
      <x:c r="M1028" s="207" t="str">
        <x:v>Не рассмотрено</x:v>
      </x:c>
      <x:c r="N1028" s="207" t="str"/>
      <x:c r="O1028" s="207" t="str">
        <x:v>17</x:v>
      </x:c>
      <x:c r="P1028" s="207" t="n">
        <x:v>2</x:v>
      </x:c>
      <x:c r="Q1028" s="208" t="str">
        <x:v>Wave 3 (61–90 дней)</x:v>
      </x:c>
    </x:row>
    <x:row r="1029">
      <x:c r="A1029" s="206" t="str">
        <x:v>DEC-01025</x:v>
      </x:c>
      <x:c r="B1029" s="207" t="str">
        <x:v>Material master</x:v>
      </x:c>
      <x:c r="C1029" s="207" t="str">
        <x:v>MAT-DRAFT-0235</x:v>
      </x:c>
      <x:c r="D1029" s="207" t="str">
        <x:v>Unlinked</x:v>
      </x:c>
      <x:c r="E1029" s="207" t="str">
        <x:v>1 строк; 6900.00 руб.; 21-006</x:v>
      </x:c>
      <x:c r="F1029" s="207" t="str">
        <x:v>Подтвердить карточку, UOM, состав, цвет, поставщика и правила объединения</x:v>
      </x:c>
      <x:c r="G1029" s="207" t="str">
        <x:v>Закупки + склад</x:v>
      </x:c>
      <x:c r="H1029" s="207" t="str">
        <x:v>Средний</x:v>
      </x:c>
      <x:c r="I1029" s="207" t="str">
        <x:v>Material aging; BOM; procurement; actual usage</x:v>
      </x:c>
      <x:c r="J1029" s="207" t="str">
        <x:v>Остатки ткани 31.05.2026</x:v>
      </x:c>
      <x:c r="K1029" s="207" t="str"/>
      <x:c r="L1029" s="207" t="str"/>
      <x:c r="M1029" s="207" t="str">
        <x:v>Не рассмотрено</x:v>
      </x:c>
      <x:c r="N1029" s="207" t="str"/>
      <x:c r="O1029" s="207" t="str">
        <x:v>17</x:v>
      </x:c>
      <x:c r="P1029" s="207" t="n">
        <x:v>2</x:v>
      </x:c>
      <x:c r="Q1029" s="208" t="str">
        <x:v>Wave 3 (61–90 дней)</x:v>
      </x:c>
    </x:row>
    <x:row r="1030">
      <x:c r="A1030" s="206" t="str">
        <x:v>DEC-01026</x:v>
      </x:c>
      <x:c r="B1030" s="207" t="str">
        <x:v>Material master</x:v>
      </x:c>
      <x:c r="C1030" s="207" t="str">
        <x:v>MAT-DRAFT-0236</x:v>
      </x:c>
      <x:c r="D1030" s="207" t="str">
        <x:v>Unlinked</x:v>
      </x:c>
      <x:c r="E1030" s="207" t="str">
        <x:v>1 строк; 49820.00 руб.; 21-016</x:v>
      </x:c>
      <x:c r="F1030" s="207" t="str">
        <x:v>Подтвердить карточку, UOM, состав, цвет, поставщика и правила объединения</x:v>
      </x:c>
      <x:c r="G1030" s="207" t="str">
        <x:v>Закупки + склад</x:v>
      </x:c>
      <x:c r="H1030" s="207" t="str">
        <x:v>Высокий</x:v>
      </x:c>
      <x:c r="I1030" s="207" t="str">
        <x:v>Material aging; BOM; procurement; actual usage</x:v>
      </x:c>
      <x:c r="J1030" s="207" t="str">
        <x:v>Остатки ткани 31.05.2026</x:v>
      </x:c>
      <x:c r="K1030" s="207" t="str"/>
      <x:c r="L1030" s="207" t="str"/>
      <x:c r="M1030" s="207" t="str">
        <x:v>Не рассмотрено</x:v>
      </x:c>
      <x:c r="N1030" s="207" t="str"/>
      <x:c r="O1030" s="207" t="str">
        <x:v>17</x:v>
      </x:c>
      <x:c r="P1030" s="207" t="n">
        <x:v>3</x:v>
      </x:c>
      <x:c r="Q1030" s="208" t="str">
        <x:v>Wave 2 (31–60 дней)</x:v>
      </x:c>
    </x:row>
    <x:row r="1031">
      <x:c r="A1031" s="206" t="str">
        <x:v>DEC-01027</x:v>
      </x:c>
      <x:c r="B1031" s="207" t="str">
        <x:v>Material master</x:v>
      </x:c>
      <x:c r="C1031" s="207" t="str">
        <x:v>MAT-DRAFT-0237</x:v>
      </x:c>
      <x:c r="D1031" s="207" t="str">
        <x:v>Unlinked</x:v>
      </x:c>
      <x:c r="E1031" s="207" t="str">
        <x:v>1 строк; 4960.00 руб.; 21-029</x:v>
      </x:c>
      <x:c r="F1031" s="207" t="str">
        <x:v>Подтвердить карточку, UOM, состав, цвет, поставщика и правила объединения</x:v>
      </x:c>
      <x:c r="G1031" s="207" t="str">
        <x:v>Закупки + склад</x:v>
      </x:c>
      <x:c r="H1031" s="207" t="str">
        <x:v>Средний</x:v>
      </x:c>
      <x:c r="I1031" s="207" t="str">
        <x:v>Material aging; BOM; procurement; actual usage</x:v>
      </x:c>
      <x:c r="J1031" s="207" t="str">
        <x:v>Остатки ткани 31.05.2026</x:v>
      </x:c>
      <x:c r="K1031" s="207" t="str"/>
      <x:c r="L1031" s="207" t="str"/>
      <x:c r="M1031" s="207" t="str">
        <x:v>Не рассмотрено</x:v>
      </x:c>
      <x:c r="N1031" s="207" t="str"/>
      <x:c r="O1031" s="207" t="str">
        <x:v>17</x:v>
      </x:c>
      <x:c r="P1031" s="207" t="n">
        <x:v>2</x:v>
      </x:c>
      <x:c r="Q1031" s="208" t="str">
        <x:v>Wave 3 (61–90 дней)</x:v>
      </x:c>
    </x:row>
    <x:row r="1032">
      <x:c r="A1032" s="206" t="str">
        <x:v>DEC-01028</x:v>
      </x:c>
      <x:c r="B1032" s="207" t="str">
        <x:v>Material master</x:v>
      </x:c>
      <x:c r="C1032" s="207" t="str">
        <x:v>MAT-DRAFT-0238</x:v>
      </x:c>
      <x:c r="D1032" s="207" t="str">
        <x:v>Unlinked</x:v>
      </x:c>
      <x:c r="E1032" s="207" t="str">
        <x:v>1 строк; 7425.00 руб.; 21-005</x:v>
      </x:c>
      <x:c r="F1032" s="207" t="str">
        <x:v>Подтвердить карточку, UOM, состав, цвет, поставщика и правила объединения</x:v>
      </x:c>
      <x:c r="G1032" s="207" t="str">
        <x:v>Закупки + склад</x:v>
      </x:c>
      <x:c r="H1032" s="207" t="str">
        <x:v>Средний</x:v>
      </x:c>
      <x:c r="I1032" s="207" t="str">
        <x:v>Material aging; BOM; procurement; actual usage</x:v>
      </x:c>
      <x:c r="J1032" s="207" t="str">
        <x:v>Остатки ткани 31.05.2026</x:v>
      </x:c>
      <x:c r="K1032" s="207" t="str"/>
      <x:c r="L1032" s="207" t="str"/>
      <x:c r="M1032" s="207" t="str">
        <x:v>Не рассмотрено</x:v>
      </x:c>
      <x:c r="N1032" s="207" t="str"/>
      <x:c r="O1032" s="207" t="str">
        <x:v>17</x:v>
      </x:c>
      <x:c r="P1032" s="207" t="n">
        <x:v>2</x:v>
      </x:c>
      <x:c r="Q1032" s="208" t="str">
        <x:v>Wave 3 (61–90 дней)</x:v>
      </x:c>
    </x:row>
    <x:row r="1033">
      <x:c r="A1033" s="206" t="str">
        <x:v>DEC-01029</x:v>
      </x:c>
      <x:c r="B1033" s="207" t="str">
        <x:v>Material master</x:v>
      </x:c>
      <x:c r="C1033" s="207" t="str">
        <x:v>MAT-DRAFT-0239</x:v>
      </x:c>
      <x:c r="D1033" s="207" t="str">
        <x:v>Unlinked</x:v>
      </x:c>
      <x:c r="E1033" s="207" t="str">
        <x:v>1 строк; 1680.00 руб.; 21-024</x:v>
      </x:c>
      <x:c r="F1033" s="207" t="str">
        <x:v>Подтвердить карточку, UOM, состав, цвет, поставщика и правила объединения</x:v>
      </x:c>
      <x:c r="G1033" s="207" t="str">
        <x:v>Закупки + склад</x:v>
      </x:c>
      <x:c r="H1033" s="207" t="str">
        <x:v>Средний</x:v>
      </x:c>
      <x:c r="I1033" s="207" t="str">
        <x:v>Material aging; BOM; procurement; actual usage</x:v>
      </x:c>
      <x:c r="J1033" s="207" t="str">
        <x:v>Остатки ткани 31.05.2026</x:v>
      </x:c>
      <x:c r="K1033" s="207" t="str"/>
      <x:c r="L1033" s="207" t="str"/>
      <x:c r="M1033" s="207" t="str">
        <x:v>Не рассмотрено</x:v>
      </x:c>
      <x:c r="N1033" s="207" t="str"/>
      <x:c r="O1033" s="207" t="str">
        <x:v>17</x:v>
      </x:c>
      <x:c r="P1033" s="207" t="n">
        <x:v>2</x:v>
      </x:c>
      <x:c r="Q1033" s="208" t="str">
        <x:v>Wave 3 (61–90 дней)</x:v>
      </x:c>
    </x:row>
    <x:row r="1034">
      <x:c r="A1034" s="206" t="str">
        <x:v>DEC-01030</x:v>
      </x:c>
      <x:c r="B1034" s="207" t="str">
        <x:v>Material master</x:v>
      </x:c>
      <x:c r="C1034" s="207" t="str">
        <x:v>MAT-DRAFT-0241</x:v>
      </x:c>
      <x:c r="D1034" s="207" t="str">
        <x:v>Unlinked</x:v>
      </x:c>
      <x:c r="E1034" s="207" t="str">
        <x:v>1 строк; 16160.00 руб.; 21-003</x:v>
      </x:c>
      <x:c r="F1034" s="207" t="str">
        <x:v>Подтвердить карточку, UOM, состав, цвет, поставщика и правила объединения</x:v>
      </x:c>
      <x:c r="G1034" s="207" t="str">
        <x:v>Закупки + склад</x:v>
      </x:c>
      <x:c r="H1034" s="207" t="str">
        <x:v>Высокий</x:v>
      </x:c>
      <x:c r="I1034" s="207" t="str">
        <x:v>Material aging; BOM; procurement; actual usage</x:v>
      </x:c>
      <x:c r="J1034" s="207" t="str">
        <x:v>Остатки ткани 31.05.2026</x:v>
      </x:c>
      <x:c r="K1034" s="207" t="str"/>
      <x:c r="L1034" s="207" t="str"/>
      <x:c r="M1034" s="207" t="str">
        <x:v>Не рассмотрено</x:v>
      </x:c>
      <x:c r="N1034" s="207" t="str"/>
      <x:c r="O1034" s="207" t="str">
        <x:v>17</x:v>
      </x:c>
      <x:c r="P1034" s="207" t="n">
        <x:v>3</x:v>
      </x:c>
      <x:c r="Q1034" s="208" t="str">
        <x:v>Wave 2 (31–60 дней)</x:v>
      </x:c>
    </x:row>
    <x:row r="1035">
      <x:c r="A1035" s="206" t="str">
        <x:v>DEC-01031</x:v>
      </x:c>
      <x:c r="B1035" s="207" t="str">
        <x:v>Material master</x:v>
      </x:c>
      <x:c r="C1035" s="207" t="str">
        <x:v>MAT-DRAFT-0242</x:v>
      </x:c>
      <x:c r="D1035" s="207" t="str">
        <x:v>Unlinked</x:v>
      </x:c>
      <x:c r="E1035" s="207" t="str">
        <x:v>1 строк; 6640.00 руб.; 21-002</x:v>
      </x:c>
      <x:c r="F1035" s="207" t="str">
        <x:v>Подтвердить карточку, UOM, состав, цвет, поставщика и правила объединения</x:v>
      </x:c>
      <x:c r="G1035" s="207" t="str">
        <x:v>Закупки + склад</x:v>
      </x:c>
      <x:c r="H1035" s="207" t="str">
        <x:v>Средний</x:v>
      </x:c>
      <x:c r="I1035" s="207" t="str">
        <x:v>Material aging; BOM; procurement; actual usage</x:v>
      </x:c>
      <x:c r="J1035" s="207" t="str">
        <x:v>Остатки ткани 31.05.2026</x:v>
      </x:c>
      <x:c r="K1035" s="207" t="str"/>
      <x:c r="L1035" s="207" t="str"/>
      <x:c r="M1035" s="207" t="str">
        <x:v>Не рассмотрено</x:v>
      </x:c>
      <x:c r="N1035" s="207" t="str"/>
      <x:c r="O1035" s="207" t="str">
        <x:v>17</x:v>
      </x:c>
      <x:c r="P1035" s="207" t="n">
        <x:v>2</x:v>
      </x:c>
      <x:c r="Q1035" s="208" t="str">
        <x:v>Wave 3 (61–90 дней)</x:v>
      </x:c>
    </x:row>
    <x:row r="1036">
      <x:c r="A1036" s="206" t="str">
        <x:v>DEC-01032</x:v>
      </x:c>
      <x:c r="B1036" s="207" t="str">
        <x:v>Material master</x:v>
      </x:c>
      <x:c r="C1036" s="207" t="str">
        <x:v>MAT-DRAFT-0243</x:v>
      </x:c>
      <x:c r="D1036" s="207" t="str">
        <x:v>Unlinked</x:v>
      </x:c>
      <x:c r="E1036" s="207" t="str">
        <x:v>1 строк; 16875.00 руб.; 21-007</x:v>
      </x:c>
      <x:c r="F1036" s="207" t="str">
        <x:v>Подтвердить карточку, UOM, состав, цвет, поставщика и правила объединения</x:v>
      </x:c>
      <x:c r="G1036" s="207" t="str">
        <x:v>Закупки + склад</x:v>
      </x:c>
      <x:c r="H1036" s="207" t="str">
        <x:v>Высокий</x:v>
      </x:c>
      <x:c r="I1036" s="207" t="str">
        <x:v>Material aging; BOM; procurement; actual usage</x:v>
      </x:c>
      <x:c r="J1036" s="207" t="str">
        <x:v>Остатки ткани 31.05.2026</x:v>
      </x:c>
      <x:c r="K1036" s="207" t="str"/>
      <x:c r="L1036" s="207" t="str"/>
      <x:c r="M1036" s="207" t="str">
        <x:v>Не рассмотрено</x:v>
      </x:c>
      <x:c r="N1036" s="207" t="str"/>
      <x:c r="O1036" s="207" t="str">
        <x:v>17</x:v>
      </x:c>
      <x:c r="P1036" s="207" t="n">
        <x:v>3</x:v>
      </x:c>
      <x:c r="Q1036" s="208" t="str">
        <x:v>Wave 2 (31–60 дней)</x:v>
      </x:c>
    </x:row>
    <x:row r="1037">
      <x:c r="A1037" s="206" t="str">
        <x:v>DEC-01033</x:v>
      </x:c>
      <x:c r="B1037" s="207" t="str">
        <x:v>Material master</x:v>
      </x:c>
      <x:c r="C1037" s="207" t="str">
        <x:v>MAT-DRAFT-0245</x:v>
      </x:c>
      <x:c r="D1037" s="207" t="str">
        <x:v>Unlinked</x:v>
      </x:c>
      <x:c r="E1037" s="207" t="str">
        <x:v>1 строк; 31500.00 руб.; 21-013</x:v>
      </x:c>
      <x:c r="F1037" s="207" t="str">
        <x:v>Подтвердить карточку, UOM, состав, цвет, поставщика и правила объединения</x:v>
      </x:c>
      <x:c r="G1037" s="207" t="str">
        <x:v>Закупки + склад</x:v>
      </x:c>
      <x:c r="H1037" s="207" t="str">
        <x:v>Высокий</x:v>
      </x:c>
      <x:c r="I1037" s="207" t="str">
        <x:v>Material aging; BOM; procurement; actual usage</x:v>
      </x:c>
      <x:c r="J1037" s="207" t="str">
        <x:v>Остатки ткани 31.05.2026</x:v>
      </x:c>
      <x:c r="K1037" s="207" t="str"/>
      <x:c r="L1037" s="207" t="str"/>
      <x:c r="M1037" s="207" t="str">
        <x:v>Не рассмотрено</x:v>
      </x:c>
      <x:c r="N1037" s="207" t="str"/>
      <x:c r="O1037" s="207" t="str">
        <x:v>17</x:v>
      </x:c>
      <x:c r="P1037" s="207" t="n">
        <x:v>3</x:v>
      </x:c>
      <x:c r="Q1037" s="208" t="str">
        <x:v>Wave 2 (31–60 дней)</x:v>
      </x:c>
    </x:row>
    <x:row r="1038">
      <x:c r="A1038" s="206" t="str">
        <x:v>DEC-01034</x:v>
      </x:c>
      <x:c r="B1038" s="207" t="str">
        <x:v>Material master</x:v>
      </x:c>
      <x:c r="C1038" s="207" t="str">
        <x:v>MAT-DRAFT-0247</x:v>
      </x:c>
      <x:c r="D1038" s="207" t="str">
        <x:v>Unlinked</x:v>
      </x:c>
      <x:c r="E1038" s="207" t="str">
        <x:v>1 строк; 10000.00 руб.; 21-014</x:v>
      </x:c>
      <x:c r="F1038" s="207" t="str">
        <x:v>Подтвердить карточку, UOM, состав, цвет, поставщика и правила объединения</x:v>
      </x:c>
      <x:c r="G1038" s="207" t="str">
        <x:v>Закупки + склад</x:v>
      </x:c>
      <x:c r="H1038" s="207" t="str">
        <x:v>Высокий</x:v>
      </x:c>
      <x:c r="I1038" s="207" t="str">
        <x:v>Material aging; BOM; procurement; actual usage</x:v>
      </x:c>
      <x:c r="J1038" s="207" t="str">
        <x:v>Остатки ткани 31.05.2026</x:v>
      </x:c>
      <x:c r="K1038" s="207" t="str"/>
      <x:c r="L1038" s="207" t="str"/>
      <x:c r="M1038" s="207" t="str">
        <x:v>Не рассмотрено</x:v>
      </x:c>
      <x:c r="N1038" s="207" t="str"/>
      <x:c r="O1038" s="207" t="str">
        <x:v>17</x:v>
      </x:c>
      <x:c r="P1038" s="207" t="n">
        <x:v>3</x:v>
      </x:c>
      <x:c r="Q1038" s="208" t="str">
        <x:v>Wave 2 (31–60 дней)</x:v>
      </x:c>
    </x:row>
    <x:row r="1039">
      <x:c r="A1039" s="206" t="str">
        <x:v>DEC-01035</x:v>
      </x:c>
      <x:c r="B1039" s="207" t="str">
        <x:v>Material master</x:v>
      </x:c>
      <x:c r="C1039" s="207" t="str">
        <x:v>MAT-DRAFT-0248</x:v>
      </x:c>
      <x:c r="D1039" s="207" t="str">
        <x:v>Несколько кодов; Несколько исходных наименований</x:v>
      </x:c>
      <x:c r="E1039" s="207" t="str">
        <x:v>2 строк; 20100.00 руб.; 15-001; 15-021</x:v>
      </x:c>
      <x:c r="F1039" s="207" t="str">
        <x:v>Подтвердить карточку, UOM, состав, цвет, поставщика и правила объединения</x:v>
      </x:c>
      <x:c r="G1039" s="207" t="str">
        <x:v>Закупки + склад</x:v>
      </x:c>
      <x:c r="H1039" s="207" t="str">
        <x:v>Высокий</x:v>
      </x:c>
      <x:c r="I1039" s="207" t="str">
        <x:v>Material aging; BOM; procurement; actual usage</x:v>
      </x:c>
      <x:c r="J1039" s="207" t="str">
        <x:v>Остатки ткани 31.05.2026</x:v>
      </x:c>
      <x:c r="K1039" s="207" t="str"/>
      <x:c r="L1039" s="207" t="str"/>
      <x:c r="M1039" s="207" t="str">
        <x:v>Не рассмотрено</x:v>
      </x:c>
      <x:c r="N1039" s="207" t="str"/>
      <x:c r="O1039" s="207" t="str">
        <x:v>17</x:v>
      </x:c>
      <x:c r="P1039" s="207" t="n">
        <x:v>3</x:v>
      </x:c>
      <x:c r="Q1039" s="208" t="str">
        <x:v>Wave 2 (31–60 дней)</x:v>
      </x:c>
    </x:row>
    <x:row r="1040">
      <x:c r="A1040" s="206" t="str">
        <x:v>DEC-01036</x:v>
      </x:c>
      <x:c r="B1040" s="207" t="str">
        <x:v>Material master</x:v>
      </x:c>
      <x:c r="C1040" s="207" t="str">
        <x:v>MAT-DRAFT-0249</x:v>
      </x:c>
      <x:c r="D1040" s="207" t="str">
        <x:v>Unlinked</x:v>
      </x:c>
      <x:c r="E1040" s="207" t="str">
        <x:v>1 строк; 17000.00 руб.; 15-022</x:v>
      </x:c>
      <x:c r="F1040" s="207" t="str">
        <x:v>Подтвердить карточку, UOM, состав, цвет, поставщика и правила объединения</x:v>
      </x:c>
      <x:c r="G1040" s="207" t="str">
        <x:v>Закупки + склад</x:v>
      </x:c>
      <x:c r="H1040" s="207" t="str">
        <x:v>Высокий</x:v>
      </x:c>
      <x:c r="I1040" s="207" t="str">
        <x:v>Material aging; BOM; procurement; actual usage</x:v>
      </x:c>
      <x:c r="J1040" s="207" t="str">
        <x:v>Остатки ткани 31.05.2026</x:v>
      </x:c>
      <x:c r="K1040" s="207" t="str"/>
      <x:c r="L1040" s="207" t="str"/>
      <x:c r="M1040" s="207" t="str">
        <x:v>Не рассмотрено</x:v>
      </x:c>
      <x:c r="N1040" s="207" t="str"/>
      <x:c r="O1040" s="207" t="str">
        <x:v>17</x:v>
      </x:c>
      <x:c r="P1040" s="207" t="n">
        <x:v>3</x:v>
      </x:c>
      <x:c r="Q1040" s="208" t="str">
        <x:v>Wave 2 (31–60 дней)</x:v>
      </x:c>
    </x:row>
    <x:row r="1041">
      <x:c r="A1041" s="206" t="str">
        <x:v>DEC-01037</x:v>
      </x:c>
      <x:c r="B1041" s="207" t="str">
        <x:v>Material master</x:v>
      </x:c>
      <x:c r="C1041" s="207" t="str">
        <x:v>MAT-DRAFT-0250</x:v>
      </x:c>
      <x:c r="D1041" s="207" t="str">
        <x:v>Несколько кодов; Несколько исходных наименований</x:v>
      </x:c>
      <x:c r="E1041" s="207" t="str">
        <x:v>2 строк; 29600.00 руб.; 15-002; 15-013</x:v>
      </x:c>
      <x:c r="F1041" s="207" t="str">
        <x:v>Подтвердить карточку, UOM, состав, цвет, поставщика и правила объединения</x:v>
      </x:c>
      <x:c r="G1041" s="207" t="str">
        <x:v>Закупки + склад</x:v>
      </x:c>
      <x:c r="H1041" s="207" t="str">
        <x:v>Высокий</x:v>
      </x:c>
      <x:c r="I1041" s="207" t="str">
        <x:v>Material aging; BOM; procurement; actual usage</x:v>
      </x:c>
      <x:c r="J1041" s="207" t="str">
        <x:v>Остатки ткани 31.05.2026</x:v>
      </x:c>
      <x:c r="K1041" s="207" t="str"/>
      <x:c r="L1041" s="207" t="str"/>
      <x:c r="M1041" s="207" t="str">
        <x:v>Не рассмотрено</x:v>
      </x:c>
      <x:c r="N1041" s="207" t="str"/>
      <x:c r="O1041" s="207" t="str">
        <x:v>17</x:v>
      </x:c>
      <x:c r="P1041" s="207" t="n">
        <x:v>3</x:v>
      </x:c>
      <x:c r="Q1041" s="208" t="str">
        <x:v>Wave 2 (31–60 дней)</x:v>
      </x:c>
    </x:row>
    <x:row r="1042">
      <x:c r="A1042" s="206" t="str">
        <x:v>DEC-01038</x:v>
      </x:c>
      <x:c r="B1042" s="207" t="str">
        <x:v>Material master</x:v>
      </x:c>
      <x:c r="C1042" s="207" t="str">
        <x:v>MAT-DRAFT-0252</x:v>
      </x:c>
      <x:c r="D1042" s="207" t="str">
        <x:v>Unlinked</x:v>
      </x:c>
      <x:c r="E1042" s="207" t="str">
        <x:v>1 строк; 9400.00 руб.; 15-005</x:v>
      </x:c>
      <x:c r="F1042" s="207" t="str">
        <x:v>Подтвердить карточку, UOM, состав, цвет, поставщика и правила объединения</x:v>
      </x:c>
      <x:c r="G1042" s="207" t="str">
        <x:v>Закупки + склад</x:v>
      </x:c>
      <x:c r="H1042" s="207" t="str">
        <x:v>Средний</x:v>
      </x:c>
      <x:c r="I1042" s="207" t="str">
        <x:v>Material aging; BOM; procurement; actual usage</x:v>
      </x:c>
      <x:c r="J1042" s="207" t="str">
        <x:v>Остатки ткани 31.05.2026</x:v>
      </x:c>
      <x:c r="K1042" s="207" t="str"/>
      <x:c r="L1042" s="207" t="str"/>
      <x:c r="M1042" s="207" t="str">
        <x:v>Не рассмотрено</x:v>
      </x:c>
      <x:c r="N1042" s="207" t="str"/>
      <x:c r="O1042" s="207" t="str">
        <x:v>17</x:v>
      </x:c>
      <x:c r="P1042" s="207" t="n">
        <x:v>2</x:v>
      </x:c>
      <x:c r="Q1042" s="208" t="str">
        <x:v>Wave 3 (61–90 дней)</x:v>
      </x:c>
    </x:row>
    <x:row r="1043">
      <x:c r="A1043" s="206" t="str">
        <x:v>DEC-01039</x:v>
      </x:c>
      <x:c r="B1043" s="207" t="str">
        <x:v>Material master</x:v>
      </x:c>
      <x:c r="C1043" s="207" t="str">
        <x:v>MAT-DRAFT-0253</x:v>
      </x:c>
      <x:c r="D1043" s="207" t="str">
        <x:v>Unlinked</x:v>
      </x:c>
      <x:c r="E1043" s="207" t="str">
        <x:v>1 строк; 7500.00 руб.; 15-011</x:v>
      </x:c>
      <x:c r="F1043" s="207" t="str">
        <x:v>Подтвердить карточку, UOM, состав, цвет, поставщика и правила объединения</x:v>
      </x:c>
      <x:c r="G1043" s="207" t="str">
        <x:v>Закупки + склад</x:v>
      </x:c>
      <x:c r="H1043" s="207" t="str">
        <x:v>Средний</x:v>
      </x:c>
      <x:c r="I1043" s="207" t="str">
        <x:v>Material aging; BOM; procurement; actual usage</x:v>
      </x:c>
      <x:c r="J1043" s="207" t="str">
        <x:v>Остатки ткани 31.05.2026</x:v>
      </x:c>
      <x:c r="K1043" s="207" t="str"/>
      <x:c r="L1043" s="207" t="str"/>
      <x:c r="M1043" s="207" t="str">
        <x:v>Не рассмотрено</x:v>
      </x:c>
      <x:c r="N1043" s="207" t="str"/>
      <x:c r="O1043" s="207" t="str">
        <x:v>17</x:v>
      </x:c>
      <x:c r="P1043" s="207" t="n">
        <x:v>2</x:v>
      </x:c>
      <x:c r="Q1043" s="208" t="str">
        <x:v>Wave 3 (61–90 дней)</x:v>
      </x:c>
    </x:row>
    <x:row r="1044">
      <x:c r="A1044" s="206" t="str">
        <x:v>DEC-01040</x:v>
      </x:c>
      <x:c r="B1044" s="207" t="str">
        <x:v>Material master</x:v>
      </x:c>
      <x:c r="C1044" s="207" t="str">
        <x:v>MAT-DRAFT-0254</x:v>
      </x:c>
      <x:c r="D1044" s="207" t="str">
        <x:v>Несколько кодов; Несколько исходных наименований</x:v>
      </x:c>
      <x:c r="E1044" s="207" t="str">
        <x:v>2 строк; 35000.00 руб.; 15-029; 15-030</x:v>
      </x:c>
      <x:c r="F1044" s="207" t="str">
        <x:v>Подтвердить карточку, UOM, состав, цвет, поставщика и правила объединения</x:v>
      </x:c>
      <x:c r="G1044" s="207" t="str">
        <x:v>Закупки + склад</x:v>
      </x:c>
      <x:c r="H1044" s="207" t="str">
        <x:v>Высокий</x:v>
      </x:c>
      <x:c r="I1044" s="207" t="str">
        <x:v>Material aging; BOM; procurement; actual usage</x:v>
      </x:c>
      <x:c r="J1044" s="207" t="str">
        <x:v>Остатки ткани 31.05.2026</x:v>
      </x:c>
      <x:c r="K1044" s="207" t="str"/>
      <x:c r="L1044" s="207" t="str"/>
      <x:c r="M1044" s="207" t="str">
        <x:v>Не рассмотрено</x:v>
      </x:c>
      <x:c r="N1044" s="207" t="str"/>
      <x:c r="O1044" s="207" t="str">
        <x:v>17</x:v>
      </x:c>
      <x:c r="P1044" s="207" t="n">
        <x:v>3</x:v>
      </x:c>
      <x:c r="Q1044" s="208" t="str">
        <x:v>Wave 2 (31–60 дней)</x:v>
      </x:c>
    </x:row>
    <x:row r="1045">
      <x:c r="A1045" s="206" t="str">
        <x:v>DEC-01041</x:v>
      </x:c>
      <x:c r="B1045" s="207" t="str">
        <x:v>Material master</x:v>
      </x:c>
      <x:c r="C1045" s="207" t="str">
        <x:v>MAT-DRAFT-0255</x:v>
      </x:c>
      <x:c r="D1045" s="207" t="str">
        <x:v>Unlinked</x:v>
      </x:c>
      <x:c r="E1045" s="207" t="str">
        <x:v>1 строк; 17200.00 руб.; 15-007</x:v>
      </x:c>
      <x:c r="F1045" s="207" t="str">
        <x:v>Подтвердить карточку, UOM, состав, цвет, поставщика и правила объединения</x:v>
      </x:c>
      <x:c r="G1045" s="207" t="str">
        <x:v>Закупки + склад</x:v>
      </x:c>
      <x:c r="H1045" s="207" t="str">
        <x:v>Высокий</x:v>
      </x:c>
      <x:c r="I1045" s="207" t="str">
        <x:v>Material aging; BOM; procurement; actual usage</x:v>
      </x:c>
      <x:c r="J1045" s="207" t="str">
        <x:v>Остатки ткани 31.05.2026</x:v>
      </x:c>
      <x:c r="K1045" s="207" t="str"/>
      <x:c r="L1045" s="207" t="str"/>
      <x:c r="M1045" s="207" t="str">
        <x:v>Не рассмотрено</x:v>
      </x:c>
      <x:c r="N1045" s="207" t="str"/>
      <x:c r="O1045" s="207" t="str">
        <x:v>17</x:v>
      </x:c>
      <x:c r="P1045" s="207" t="n">
        <x:v>3</x:v>
      </x:c>
      <x:c r="Q1045" s="208" t="str">
        <x:v>Wave 2 (31–60 дней)</x:v>
      </x:c>
    </x:row>
    <x:row r="1046">
      <x:c r="A1046" s="206" t="str">
        <x:v>DEC-01042</x:v>
      </x:c>
      <x:c r="B1046" s="207" t="str">
        <x:v>Material master</x:v>
      </x:c>
      <x:c r="C1046" s="207" t="str">
        <x:v>MAT-DRAFT-0256</x:v>
      </x:c>
      <x:c r="D1046" s="207" t="str">
        <x:v>Unlinked</x:v>
      </x:c>
      <x:c r="E1046" s="207" t="str">
        <x:v>1 строк; 11000.00 руб.; 15-003</x:v>
      </x:c>
      <x:c r="F1046" s="207" t="str">
        <x:v>Подтвердить карточку, UOM, состав, цвет, поставщика и правила объединения</x:v>
      </x:c>
      <x:c r="G1046" s="207" t="str">
        <x:v>Закупки + склад</x:v>
      </x:c>
      <x:c r="H1046" s="207" t="str">
        <x:v>Высокий</x:v>
      </x:c>
      <x:c r="I1046" s="207" t="str">
        <x:v>Material aging; BOM; procurement; actual usage</x:v>
      </x:c>
      <x:c r="J1046" s="207" t="str">
        <x:v>Остатки ткани 31.05.2026</x:v>
      </x:c>
      <x:c r="K1046" s="207" t="str"/>
      <x:c r="L1046" s="207" t="str"/>
      <x:c r="M1046" s="207" t="str">
        <x:v>Не рассмотрено</x:v>
      </x:c>
      <x:c r="N1046" s="207" t="str"/>
      <x:c r="O1046" s="207" t="str">
        <x:v>17</x:v>
      </x:c>
      <x:c r="P1046" s="207" t="n">
        <x:v>3</x:v>
      </x:c>
      <x:c r="Q1046" s="208" t="str">
        <x:v>Wave 2 (31–60 дней)</x:v>
      </x:c>
    </x:row>
    <x:row r="1047">
      <x:c r="A1047" s="206" t="str">
        <x:v>DEC-01043</x:v>
      </x:c>
      <x:c r="B1047" s="207" t="str">
        <x:v>Material master</x:v>
      </x:c>
      <x:c r="C1047" s="207" t="str">
        <x:v>MAT-DRAFT-0257</x:v>
      </x:c>
      <x:c r="D1047" s="207" t="str">
        <x:v>Unlinked</x:v>
      </x:c>
      <x:c r="E1047" s="207" t="str">
        <x:v>1 строк; 21600.00 руб.; 15-010</x:v>
      </x:c>
      <x:c r="F1047" s="207" t="str">
        <x:v>Подтвердить карточку, UOM, состав, цвет, поставщика и правила объединения</x:v>
      </x:c>
      <x:c r="G1047" s="207" t="str">
        <x:v>Закупки + склад</x:v>
      </x:c>
      <x:c r="H1047" s="207" t="str">
        <x:v>Высокий</x:v>
      </x:c>
      <x:c r="I1047" s="207" t="str">
        <x:v>Material aging; BOM; procurement; actual usage</x:v>
      </x:c>
      <x:c r="J1047" s="207" t="str">
        <x:v>Остатки ткани 31.05.2026</x:v>
      </x:c>
      <x:c r="K1047" s="207" t="str"/>
      <x:c r="L1047" s="207" t="str"/>
      <x:c r="M1047" s="207" t="str">
        <x:v>Не рассмотрено</x:v>
      </x:c>
      <x:c r="N1047" s="207" t="str"/>
      <x:c r="O1047" s="207" t="str">
        <x:v>17</x:v>
      </x:c>
      <x:c r="P1047" s="207" t="n">
        <x:v>3</x:v>
      </x:c>
      <x:c r="Q1047" s="208" t="str">
        <x:v>Wave 2 (31–60 дней)</x:v>
      </x:c>
    </x:row>
    <x:row r="1048">
      <x:c r="A1048" s="206" t="str">
        <x:v>DEC-01044</x:v>
      </x:c>
      <x:c r="B1048" s="207" t="str">
        <x:v>Material master</x:v>
      </x:c>
      <x:c r="C1048" s="207" t="str">
        <x:v>MAT-DRAFT-0258</x:v>
      </x:c>
      <x:c r="D1048" s="207" t="str">
        <x:v>Unlinked</x:v>
      </x:c>
      <x:c r="E1048" s="207" t="str">
        <x:v>1 строк; 15000.00 руб.; 15-012</x:v>
      </x:c>
      <x:c r="F1048" s="207" t="str">
        <x:v>Подтвердить карточку, UOM, состав, цвет, поставщика и правила объединения</x:v>
      </x:c>
      <x:c r="G1048" s="207" t="str">
        <x:v>Закупки + склад</x:v>
      </x:c>
      <x:c r="H1048" s="207" t="str">
        <x:v>Высокий</x:v>
      </x:c>
      <x:c r="I1048" s="207" t="str">
        <x:v>Material aging; BOM; procurement; actual usage</x:v>
      </x:c>
      <x:c r="J1048" s="207" t="str">
        <x:v>Остатки ткани 31.05.2026</x:v>
      </x:c>
      <x:c r="K1048" s="207" t="str"/>
      <x:c r="L1048" s="207" t="str"/>
      <x:c r="M1048" s="207" t="str">
        <x:v>Не рассмотрено</x:v>
      </x:c>
      <x:c r="N1048" s="207" t="str"/>
      <x:c r="O1048" s="207" t="str">
        <x:v>17</x:v>
      </x:c>
      <x:c r="P1048" s="207" t="n">
        <x:v>3</x:v>
      </x:c>
      <x:c r="Q1048" s="208" t="str">
        <x:v>Wave 2 (31–60 дней)</x:v>
      </x:c>
    </x:row>
    <x:row r="1049">
      <x:c r="A1049" s="206" t="str">
        <x:v>DEC-01045</x:v>
      </x:c>
      <x:c r="B1049" s="207" t="str">
        <x:v>Material master</x:v>
      </x:c>
      <x:c r="C1049" s="207" t="str">
        <x:v>MAT-DRAFT-0259</x:v>
      </x:c>
      <x:c r="D1049" s="207" t="str">
        <x:v>Несколько кодов; Несколько исходных наименований</x:v>
      </x:c>
      <x:c r="E1049" s="207" t="str">
        <x:v>2 строк; 17400.00 руб.; 15-016; 15-017</x:v>
      </x:c>
      <x:c r="F1049" s="207" t="str">
        <x:v>Подтвердить карточку, UOM, состав, цвет, поставщика и правила объединения</x:v>
      </x:c>
      <x:c r="G1049" s="207" t="str">
        <x:v>Закупки + склад</x:v>
      </x:c>
      <x:c r="H1049" s="207" t="str">
        <x:v>Высокий</x:v>
      </x:c>
      <x:c r="I1049" s="207" t="str">
        <x:v>Material aging; BOM; procurement; actual usage</x:v>
      </x:c>
      <x:c r="J1049" s="207" t="str">
        <x:v>Остатки ткани 31.05.2026</x:v>
      </x:c>
      <x:c r="K1049" s="207" t="str"/>
      <x:c r="L1049" s="207" t="str"/>
      <x:c r="M1049" s="207" t="str">
        <x:v>Не рассмотрено</x:v>
      </x:c>
      <x:c r="N1049" s="207" t="str"/>
      <x:c r="O1049" s="207" t="str">
        <x:v>17</x:v>
      </x:c>
      <x:c r="P1049" s="207" t="n">
        <x:v>3</x:v>
      </x:c>
      <x:c r="Q1049" s="208" t="str">
        <x:v>Wave 2 (31–60 дней)</x:v>
      </x:c>
    </x:row>
    <x:row r="1050">
      <x:c r="A1050" s="206" t="str">
        <x:v>DEC-01046</x:v>
      </x:c>
      <x:c r="B1050" s="207" t="str">
        <x:v>Material master</x:v>
      </x:c>
      <x:c r="C1050" s="207" t="str">
        <x:v>MAT-DRAFT-0260</x:v>
      </x:c>
      <x:c r="D1050" s="207" t="str">
        <x:v>Несколько кодов; Несколько исходных наименований</x:v>
      </x:c>
      <x:c r="E1050" s="207" t="str">
        <x:v>2 строк; 25000.00 руб.; 15-006; 15-027</x:v>
      </x:c>
      <x:c r="F1050" s="207" t="str">
        <x:v>Подтвердить карточку, UOM, состав, цвет, поставщика и правила объединения</x:v>
      </x:c>
      <x:c r="G1050" s="207" t="str">
        <x:v>Закупки + склад</x:v>
      </x:c>
      <x:c r="H1050" s="207" t="str">
        <x:v>Высокий</x:v>
      </x:c>
      <x:c r="I1050" s="207" t="str">
        <x:v>Material aging; BOM; procurement; actual usage</x:v>
      </x:c>
      <x:c r="J1050" s="207" t="str">
        <x:v>Остатки ткани 31.05.2026</x:v>
      </x:c>
      <x:c r="K1050" s="207" t="str"/>
      <x:c r="L1050" s="207" t="str"/>
      <x:c r="M1050" s="207" t="str">
        <x:v>Не рассмотрено</x:v>
      </x:c>
      <x:c r="N1050" s="207" t="str"/>
      <x:c r="O1050" s="207" t="str">
        <x:v>17</x:v>
      </x:c>
      <x:c r="P1050" s="207" t="n">
        <x:v>3</x:v>
      </x:c>
      <x:c r="Q1050" s="208" t="str">
        <x:v>Wave 2 (31–60 дней)</x:v>
      </x:c>
    </x:row>
    <x:row r="1051">
      <x:c r="A1051" s="206" t="str">
        <x:v>DEC-01047</x:v>
      </x:c>
      <x:c r="B1051" s="207" t="str">
        <x:v>Material master</x:v>
      </x:c>
      <x:c r="C1051" s="207" t="str">
        <x:v>MAT-DRAFT-0261</x:v>
      </x:c>
      <x:c r="D1051" s="207" t="str">
        <x:v>Unlinked</x:v>
      </x:c>
      <x:c r="E1051" s="207" t="str">
        <x:v>1 строк; 3300.00 руб.; 15-015</x:v>
      </x:c>
      <x:c r="F1051" s="207" t="str">
        <x:v>Подтвердить карточку, UOM, состав, цвет, поставщика и правила объединения</x:v>
      </x:c>
      <x:c r="G1051" s="207" t="str">
        <x:v>Закупки + склад</x:v>
      </x:c>
      <x:c r="H1051" s="207" t="str">
        <x:v>Средний</x:v>
      </x:c>
      <x:c r="I1051" s="207" t="str">
        <x:v>Material aging; BOM; procurement; actual usage</x:v>
      </x:c>
      <x:c r="J1051" s="207" t="str">
        <x:v>Остатки ткани 31.05.2026</x:v>
      </x:c>
      <x:c r="K1051" s="207" t="str"/>
      <x:c r="L1051" s="207" t="str"/>
      <x:c r="M1051" s="207" t="str">
        <x:v>Не рассмотрено</x:v>
      </x:c>
      <x:c r="N1051" s="207" t="str"/>
      <x:c r="O1051" s="207" t="str">
        <x:v>17</x:v>
      </x:c>
      <x:c r="P1051" s="207" t="n">
        <x:v>2</x:v>
      </x:c>
      <x:c r="Q1051" s="208" t="str">
        <x:v>Wave 3 (61–90 дней)</x:v>
      </x:c>
    </x:row>
    <x:row r="1052">
      <x:c r="A1052" s="206" t="str">
        <x:v>DEC-01048</x:v>
      </x:c>
      <x:c r="B1052" s="207" t="str">
        <x:v>Material master</x:v>
      </x:c>
      <x:c r="C1052" s="207" t="str">
        <x:v>MAT-DRAFT-0262</x:v>
      </x:c>
      <x:c r="D1052" s="207" t="str">
        <x:v>Unlinked</x:v>
      </x:c>
      <x:c r="E1052" s="207" t="str">
        <x:v>1 строк; 19000.00 руб.; 15-026</x:v>
      </x:c>
      <x:c r="F1052" s="207" t="str">
        <x:v>Подтвердить карточку, UOM, состав, цвет, поставщика и правила объединения</x:v>
      </x:c>
      <x:c r="G1052" s="207" t="str">
        <x:v>Закупки + склад</x:v>
      </x:c>
      <x:c r="H1052" s="207" t="str">
        <x:v>Высокий</x:v>
      </x:c>
      <x:c r="I1052" s="207" t="str">
        <x:v>Material aging; BOM; procurement; actual usage</x:v>
      </x:c>
      <x:c r="J1052" s="207" t="str">
        <x:v>Остатки ткани 31.05.2026</x:v>
      </x:c>
      <x:c r="K1052" s="207" t="str"/>
      <x:c r="L1052" s="207" t="str"/>
      <x:c r="M1052" s="207" t="str">
        <x:v>Не рассмотрено</x:v>
      </x:c>
      <x:c r="N1052" s="207" t="str"/>
      <x:c r="O1052" s="207" t="str">
        <x:v>17</x:v>
      </x:c>
      <x:c r="P1052" s="207" t="n">
        <x:v>3</x:v>
      </x:c>
      <x:c r="Q1052" s="208" t="str">
        <x:v>Wave 2 (31–60 дней)</x:v>
      </x:c>
    </x:row>
    <x:row r="1053">
      <x:c r="A1053" s="206" t="str">
        <x:v>DEC-01049</x:v>
      </x:c>
      <x:c r="B1053" s="207" t="str">
        <x:v>Material master</x:v>
      </x:c>
      <x:c r="C1053" s="207" t="str">
        <x:v>MAT-DRAFT-0263</x:v>
      </x:c>
      <x:c r="D1053" s="207" t="str">
        <x:v>Несколько кодов; Несколько исходных наименований</x:v>
      </x:c>
      <x:c r="E1053" s="207" t="str">
        <x:v>3 строк; 34200.00 руб.; 15-008; 15-014; 15-028</x:v>
      </x:c>
      <x:c r="F1053" s="207" t="str">
        <x:v>Подтвердить карточку, UOM, состав, цвет, поставщика и правила объединения</x:v>
      </x:c>
      <x:c r="G1053" s="207" t="str">
        <x:v>Закупки + склад</x:v>
      </x:c>
      <x:c r="H1053" s="207" t="str">
        <x:v>Высокий</x:v>
      </x:c>
      <x:c r="I1053" s="207" t="str">
        <x:v>Material aging; BOM; procurement; actual usage</x:v>
      </x:c>
      <x:c r="J1053" s="207" t="str">
        <x:v>Остатки ткани 31.05.2026</x:v>
      </x:c>
      <x:c r="K1053" s="207" t="str"/>
      <x:c r="L1053" s="207" t="str"/>
      <x:c r="M1053" s="207" t="str">
        <x:v>Не рассмотрено</x:v>
      </x:c>
      <x:c r="N1053" s="207" t="str"/>
      <x:c r="O1053" s="207" t="str">
        <x:v>17</x:v>
      </x:c>
      <x:c r="P1053" s="207" t="n">
        <x:v>3</x:v>
      </x:c>
      <x:c r="Q1053" s="208" t="str">
        <x:v>Wave 2 (31–60 дней)</x:v>
      </x:c>
    </x:row>
    <x:row r="1054">
      <x:c r="A1054" s="206" t="str">
        <x:v>DEC-01050</x:v>
      </x:c>
      <x:c r="B1054" s="207" t="str">
        <x:v>Material master</x:v>
      </x:c>
      <x:c r="C1054" s="207" t="str">
        <x:v>MAT-DRAFT-0264</x:v>
      </x:c>
      <x:c r="D1054" s="207" t="str">
        <x:v>Unlinked</x:v>
      </x:c>
      <x:c r="E1054" s="207" t="str">
        <x:v>1 строк; 16000.00 руб.; 15-023</x:v>
      </x:c>
      <x:c r="F1054" s="207" t="str">
        <x:v>Подтвердить карточку, UOM, состав, цвет, поставщика и правила объединения</x:v>
      </x:c>
      <x:c r="G1054" s="207" t="str">
        <x:v>Закупки + склад</x:v>
      </x:c>
      <x:c r="H1054" s="207" t="str">
        <x:v>Высокий</x:v>
      </x:c>
      <x:c r="I1054" s="207" t="str">
        <x:v>Material aging; BOM; procurement; actual usage</x:v>
      </x:c>
      <x:c r="J1054" s="207" t="str">
        <x:v>Остатки ткани 31.05.2026</x:v>
      </x:c>
      <x:c r="K1054" s="207" t="str"/>
      <x:c r="L1054" s="207" t="str"/>
      <x:c r="M1054" s="207" t="str">
        <x:v>Не рассмотрено</x:v>
      </x:c>
      <x:c r="N1054" s="207" t="str"/>
      <x:c r="O1054" s="207" t="str">
        <x:v>17</x:v>
      </x:c>
      <x:c r="P1054" s="207" t="n">
        <x:v>3</x:v>
      </x:c>
      <x:c r="Q1054" s="208" t="str">
        <x:v>Wave 2 (31–60 дней)</x:v>
      </x:c>
    </x:row>
    <x:row r="1055">
      <x:c r="A1055" s="206" t="str">
        <x:v>DEC-01051</x:v>
      </x:c>
      <x:c r="B1055" s="207" t="str">
        <x:v>Material master</x:v>
      </x:c>
      <x:c r="C1055" s="207" t="str">
        <x:v>MAT-DRAFT-0266</x:v>
      </x:c>
      <x:c r="D1055" s="207" t="str">
        <x:v>Нет кода</x:v>
      </x:c>
      <x:c r="E1055" s="207" t="str">
        <x:v>3 строк; 4998.00 руб.; </x:v>
      </x:c>
      <x:c r="F1055" s="207" t="str">
        <x:v>Подтвердить карточку, UOM, состав, цвет, поставщика и правила объединения</x:v>
      </x:c>
      <x:c r="G1055" s="207" t="str">
        <x:v>Закупки + склад</x:v>
      </x:c>
      <x:c r="H1055" s="207" t="str">
        <x:v>Средний</x:v>
      </x:c>
      <x:c r="I1055" s="207" t="str">
        <x:v>Material aging; BOM; procurement; actual usage</x:v>
      </x:c>
      <x:c r="J1055" s="207" t="str">
        <x:v>Остатки ткани 31.05.2026</x:v>
      </x:c>
      <x:c r="K1055" s="207" t="str"/>
      <x:c r="L1055" s="207" t="str"/>
      <x:c r="M1055" s="207" t="str">
        <x:v>Не рассмотрено</x:v>
      </x:c>
      <x:c r="N1055" s="207" t="str"/>
      <x:c r="O1055" s="207" t="str">
        <x:v>17</x:v>
      </x:c>
      <x:c r="P1055" s="207" t="n">
        <x:v>2</x:v>
      </x:c>
      <x:c r="Q1055" s="208" t="str">
        <x:v>Wave 3 (61–90 дней)</x:v>
      </x:c>
    </x:row>
    <x:row r="1056">
      <x:c r="A1056" s="206" t="str">
        <x:v>DEC-01052</x:v>
      </x:c>
      <x:c r="B1056" s="207" t="str">
        <x:v>Material master</x:v>
      </x:c>
      <x:c r="C1056" s="207" t="str">
        <x:v>MAT-DRAFT-0267</x:v>
      </x:c>
      <x:c r="D1056" s="207" t="str">
        <x:v>Unlinked</x:v>
      </x:c>
      <x:c r="E1056" s="207" t="str">
        <x:v>1 строк; 5400.00 руб.; 22-029</x:v>
      </x:c>
      <x:c r="F1056" s="207" t="str">
        <x:v>Подтвердить карточку, UOM, состав, цвет, поставщика и правила объединения</x:v>
      </x:c>
      <x:c r="G1056" s="207" t="str">
        <x:v>Закупки + склад</x:v>
      </x:c>
      <x:c r="H1056" s="207" t="str">
        <x:v>Средний</x:v>
      </x:c>
      <x:c r="I1056" s="207" t="str">
        <x:v>Material aging; BOM; procurement; actual usage</x:v>
      </x:c>
      <x:c r="J1056" s="207" t="str">
        <x:v>Остатки ткани 31.05.2026</x:v>
      </x:c>
      <x:c r="K1056" s="207" t="str"/>
      <x:c r="L1056" s="207" t="str"/>
      <x:c r="M1056" s="207" t="str">
        <x:v>Не рассмотрено</x:v>
      </x:c>
      <x:c r="N1056" s="207" t="str"/>
      <x:c r="O1056" s="207" t="str">
        <x:v>17</x:v>
      </x:c>
      <x:c r="P1056" s="207" t="n">
        <x:v>2</x:v>
      </x:c>
      <x:c r="Q1056" s="208" t="str">
        <x:v>Wave 3 (61–90 дней)</x:v>
      </x:c>
    </x:row>
    <x:row r="1057">
      <x:c r="A1057" s="206" t="str">
        <x:v>DEC-01053</x:v>
      </x:c>
      <x:c r="B1057" s="207" t="str">
        <x:v>Material master</x:v>
      </x:c>
      <x:c r="C1057" s="207" t="str">
        <x:v>MAT-DRAFT-0268</x:v>
      </x:c>
      <x:c r="D1057" s="207" t="str">
        <x:v>Unlinked</x:v>
      </x:c>
      <x:c r="E1057" s="207" t="str">
        <x:v>1 строк; 7250.00 руб.; 22-006</x:v>
      </x:c>
      <x:c r="F1057" s="207" t="str">
        <x:v>Подтвердить карточку, UOM, состав, цвет, поставщика и правила объединения</x:v>
      </x:c>
      <x:c r="G1057" s="207" t="str">
        <x:v>Закупки + склад</x:v>
      </x:c>
      <x:c r="H1057" s="207" t="str">
        <x:v>Средний</x:v>
      </x:c>
      <x:c r="I1057" s="207" t="str">
        <x:v>Material aging; BOM; procurement; actual usage</x:v>
      </x:c>
      <x:c r="J1057" s="207" t="str">
        <x:v>Остатки ткани 31.05.2026</x:v>
      </x:c>
      <x:c r="K1057" s="207" t="str"/>
      <x:c r="L1057" s="207" t="str"/>
      <x:c r="M1057" s="207" t="str">
        <x:v>Не рассмотрено</x:v>
      </x:c>
      <x:c r="N1057" s="207" t="str"/>
      <x:c r="O1057" s="207" t="str">
        <x:v>17</x:v>
      </x:c>
      <x:c r="P1057" s="207" t="n">
        <x:v>2</x:v>
      </x:c>
      <x:c r="Q1057" s="208" t="str">
        <x:v>Wave 3 (61–90 дней)</x:v>
      </x:c>
    </x:row>
    <x:row r="1058">
      <x:c r="A1058" s="206" t="str">
        <x:v>DEC-01054</x:v>
      </x:c>
      <x:c r="B1058" s="207" t="str">
        <x:v>Material master</x:v>
      </x:c>
      <x:c r="C1058" s="207" t="str">
        <x:v>MAT-DRAFT-0269</x:v>
      </x:c>
      <x:c r="D1058" s="207" t="str">
        <x:v>Unlinked</x:v>
      </x:c>
      <x:c r="E1058" s="207" t="str">
        <x:v>1 строк; 5250.00 руб.; 22-009</x:v>
      </x:c>
      <x:c r="F1058" s="207" t="str">
        <x:v>Подтвердить карточку, UOM, состав, цвет, поставщика и правила объединения</x:v>
      </x:c>
      <x:c r="G1058" s="207" t="str">
        <x:v>Закупки + склад</x:v>
      </x:c>
      <x:c r="H1058" s="207" t="str">
        <x:v>Средний</x:v>
      </x:c>
      <x:c r="I1058" s="207" t="str">
        <x:v>Material aging; BOM; procurement; actual usage</x:v>
      </x:c>
      <x:c r="J1058" s="207" t="str">
        <x:v>Остатки ткани 31.05.2026</x:v>
      </x:c>
      <x:c r="K1058" s="207" t="str"/>
      <x:c r="L1058" s="207" t="str"/>
      <x:c r="M1058" s="207" t="str">
        <x:v>Не рассмотрено</x:v>
      </x:c>
      <x:c r="N1058" s="207" t="str"/>
      <x:c r="O1058" s="207" t="str">
        <x:v>17</x:v>
      </x:c>
      <x:c r="P1058" s="207" t="n">
        <x:v>2</x:v>
      </x:c>
      <x:c r="Q1058" s="208" t="str">
        <x:v>Wave 3 (61–90 дней)</x:v>
      </x:c>
    </x:row>
    <x:row r="1059">
      <x:c r="A1059" s="206" t="str">
        <x:v>DEC-01055</x:v>
      </x:c>
      <x:c r="B1059" s="207" t="str">
        <x:v>Material master</x:v>
      </x:c>
      <x:c r="C1059" s="207" t="str">
        <x:v>MAT-DRAFT-0270</x:v>
      </x:c>
      <x:c r="D1059" s="207" t="str">
        <x:v>Unlinked</x:v>
      </x:c>
      <x:c r="E1059" s="207" t="str">
        <x:v>1 строк; 1650.00 руб.; 22-003</x:v>
      </x:c>
      <x:c r="F1059" s="207" t="str">
        <x:v>Подтвердить карточку, UOM, состав, цвет, поставщика и правила объединения</x:v>
      </x:c>
      <x:c r="G1059" s="207" t="str">
        <x:v>Закупки + склад</x:v>
      </x:c>
      <x:c r="H1059" s="207" t="str">
        <x:v>Средний</x:v>
      </x:c>
      <x:c r="I1059" s="207" t="str">
        <x:v>Material aging; BOM; procurement; actual usage</x:v>
      </x:c>
      <x:c r="J1059" s="207" t="str">
        <x:v>Остатки ткани 31.05.2026</x:v>
      </x:c>
      <x:c r="K1059" s="207" t="str"/>
      <x:c r="L1059" s="207" t="str"/>
      <x:c r="M1059" s="207" t="str">
        <x:v>Не рассмотрено</x:v>
      </x:c>
      <x:c r="N1059" s="207" t="str"/>
      <x:c r="O1059" s="207" t="str">
        <x:v>17</x:v>
      </x:c>
      <x:c r="P1059" s="207" t="n">
        <x:v>2</x:v>
      </x:c>
      <x:c r="Q1059" s="208" t="str">
        <x:v>Wave 3 (61–90 дней)</x:v>
      </x:c>
    </x:row>
    <x:row r="1060">
      <x:c r="A1060" s="206" t="str">
        <x:v>DEC-01056</x:v>
      </x:c>
      <x:c r="B1060" s="207" t="str">
        <x:v>Material master</x:v>
      </x:c>
      <x:c r="C1060" s="207" t="str">
        <x:v>MAT-DRAFT-0271</x:v>
      </x:c>
      <x:c r="D1060" s="207" t="str">
        <x:v>Unlinked</x:v>
      </x:c>
      <x:c r="E1060" s="207" t="str">
        <x:v>1 строк; 2200.00 руб.; 22-002</x:v>
      </x:c>
      <x:c r="F1060" s="207" t="str">
        <x:v>Подтвердить карточку, UOM, состав, цвет, поставщика и правила объединения</x:v>
      </x:c>
      <x:c r="G1060" s="207" t="str">
        <x:v>Закупки + склад</x:v>
      </x:c>
      <x:c r="H1060" s="207" t="str">
        <x:v>Средний</x:v>
      </x:c>
      <x:c r="I1060" s="207" t="str">
        <x:v>Material aging; BOM; procurement; actual usage</x:v>
      </x:c>
      <x:c r="J1060" s="207" t="str">
        <x:v>Остатки ткани 31.05.2026</x:v>
      </x:c>
      <x:c r="K1060" s="207" t="str"/>
      <x:c r="L1060" s="207" t="str"/>
      <x:c r="M1060" s="207" t="str">
        <x:v>Не рассмотрено</x:v>
      </x:c>
      <x:c r="N1060" s="207" t="str"/>
      <x:c r="O1060" s="207" t="str">
        <x:v>17</x:v>
      </x:c>
      <x:c r="P1060" s="207" t="n">
        <x:v>2</x:v>
      </x:c>
      <x:c r="Q1060" s="208" t="str">
        <x:v>Wave 3 (61–90 дней)</x:v>
      </x:c>
    </x:row>
    <x:row r="1061">
      <x:c r="A1061" s="206" t="str">
        <x:v>DEC-01057</x:v>
      </x:c>
      <x:c r="B1061" s="207" t="str">
        <x:v>Material master</x:v>
      </x:c>
      <x:c r="C1061" s="207" t="str">
        <x:v>MAT-DRAFT-0272</x:v>
      </x:c>
      <x:c r="D1061" s="207" t="str">
        <x:v>Unlinked</x:v>
      </x:c>
      <x:c r="E1061" s="207" t="str">
        <x:v>2 строк; 5700.00 руб.; 22-035</x:v>
      </x:c>
      <x:c r="F1061" s="207" t="str">
        <x:v>Подтвердить карточку, UOM, состав, цвет, поставщика и правила объединения</x:v>
      </x:c>
      <x:c r="G1061" s="207" t="str">
        <x:v>Закупки + склад</x:v>
      </x:c>
      <x:c r="H1061" s="207" t="str">
        <x:v>Средний</x:v>
      </x:c>
      <x:c r="I1061" s="207" t="str">
        <x:v>Material aging; BOM; procurement; actual usage</x:v>
      </x:c>
      <x:c r="J1061" s="207" t="str">
        <x:v>Остатки ткани 31.05.2026</x:v>
      </x:c>
      <x:c r="K1061" s="207" t="str"/>
      <x:c r="L1061" s="207" t="str"/>
      <x:c r="M1061" s="207" t="str">
        <x:v>Не рассмотрено</x:v>
      </x:c>
      <x:c r="N1061" s="207" t="str"/>
      <x:c r="O1061" s="207" t="str">
        <x:v>17</x:v>
      </x:c>
      <x:c r="P1061" s="207" t="n">
        <x:v>2</x:v>
      </x:c>
      <x:c r="Q1061" s="208" t="str">
        <x:v>Wave 3 (61–90 дней)</x:v>
      </x:c>
    </x:row>
    <x:row r="1062">
      <x:c r="A1062" s="206" t="str">
        <x:v>DEC-01058</x:v>
      </x:c>
      <x:c r="B1062" s="207" t="str">
        <x:v>Material master</x:v>
      </x:c>
      <x:c r="C1062" s="207" t="str">
        <x:v>MAT-DRAFT-0273</x:v>
      </x:c>
      <x:c r="D1062" s="207" t="str">
        <x:v>Unlinked</x:v>
      </x:c>
      <x:c r="E1062" s="207" t="str">
        <x:v>2 строк; 3880.00 руб.; 22-037</x:v>
      </x:c>
      <x:c r="F1062" s="207" t="str">
        <x:v>Подтвердить карточку, UOM, состав, цвет, поставщика и правила объединения</x:v>
      </x:c>
      <x:c r="G1062" s="207" t="str">
        <x:v>Закупки + склад</x:v>
      </x:c>
      <x:c r="H1062" s="207" t="str">
        <x:v>Средний</x:v>
      </x:c>
      <x:c r="I1062" s="207" t="str">
        <x:v>Material aging; BOM; procurement; actual usage</x:v>
      </x:c>
      <x:c r="J1062" s="207" t="str">
        <x:v>Остатки ткани 31.05.2026</x:v>
      </x:c>
      <x:c r="K1062" s="207" t="str"/>
      <x:c r="L1062" s="207" t="str"/>
      <x:c r="M1062" s="207" t="str">
        <x:v>Не рассмотрено</x:v>
      </x:c>
      <x:c r="N1062" s="207" t="str"/>
      <x:c r="O1062" s="207" t="str">
        <x:v>17</x:v>
      </x:c>
      <x:c r="P1062" s="207" t="n">
        <x:v>2</x:v>
      </x:c>
      <x:c r="Q1062" s="208" t="str">
        <x:v>Wave 3 (61–90 дней)</x:v>
      </x:c>
    </x:row>
    <x:row r="1063">
      <x:c r="A1063" s="206" t="str">
        <x:v>DEC-01059</x:v>
      </x:c>
      <x:c r="B1063" s="207" t="str">
        <x:v>Material master</x:v>
      </x:c>
      <x:c r="C1063" s="207" t="str">
        <x:v>MAT-DRAFT-0274</x:v>
      </x:c>
      <x:c r="D1063" s="207" t="str">
        <x:v>Unlinked</x:v>
      </x:c>
      <x:c r="E1063" s="207" t="str">
        <x:v>2 строк; 5550.00 руб.; 22-024</x:v>
      </x:c>
      <x:c r="F1063" s="207" t="str">
        <x:v>Подтвердить карточку, UOM, состав, цвет, поставщика и правила объединения</x:v>
      </x:c>
      <x:c r="G1063" s="207" t="str">
        <x:v>Закупки + склад</x:v>
      </x:c>
      <x:c r="H1063" s="207" t="str">
        <x:v>Средний</x:v>
      </x:c>
      <x:c r="I1063" s="207" t="str">
        <x:v>Material aging; BOM; procurement; actual usage</x:v>
      </x:c>
      <x:c r="J1063" s="207" t="str">
        <x:v>Остатки ткани 31.05.2026</x:v>
      </x:c>
      <x:c r="K1063" s="207" t="str"/>
      <x:c r="L1063" s="207" t="str"/>
      <x:c r="M1063" s="207" t="str">
        <x:v>Не рассмотрено</x:v>
      </x:c>
      <x:c r="N1063" s="207" t="str"/>
      <x:c r="O1063" s="207" t="str">
        <x:v>17</x:v>
      </x:c>
      <x:c r="P1063" s="207" t="n">
        <x:v>2</x:v>
      </x:c>
      <x:c r="Q1063" s="208" t="str">
        <x:v>Wave 3 (61–90 дней)</x:v>
      </x:c>
    </x:row>
    <x:row r="1064">
      <x:c r="A1064" s="206" t="str">
        <x:v>DEC-01060</x:v>
      </x:c>
      <x:c r="B1064" s="207" t="str">
        <x:v>Material master</x:v>
      </x:c>
      <x:c r="C1064" s="207" t="str">
        <x:v>MAT-DRAFT-0275</x:v>
      </x:c>
      <x:c r="D1064" s="207" t="str">
        <x:v>Unlinked</x:v>
      </x:c>
      <x:c r="E1064" s="207" t="str">
        <x:v>2 строк; 3470.00 руб.; 22-045</x:v>
      </x:c>
      <x:c r="F1064" s="207" t="str">
        <x:v>Подтвердить карточку, UOM, состав, цвет, поставщика и правила объединения</x:v>
      </x:c>
      <x:c r="G1064" s="207" t="str">
        <x:v>Закупки + склад</x:v>
      </x:c>
      <x:c r="H1064" s="207" t="str">
        <x:v>Средний</x:v>
      </x:c>
      <x:c r="I1064" s="207" t="str">
        <x:v>Material aging; BOM; procurement; actual usage</x:v>
      </x:c>
      <x:c r="J1064" s="207" t="str">
        <x:v>Остатки ткани 31.05.2026</x:v>
      </x:c>
      <x:c r="K1064" s="207" t="str"/>
      <x:c r="L1064" s="207" t="str"/>
      <x:c r="M1064" s="207" t="str">
        <x:v>Не рассмотрено</x:v>
      </x:c>
      <x:c r="N1064" s="207" t="str"/>
      <x:c r="O1064" s="207" t="str">
        <x:v>17</x:v>
      </x:c>
      <x:c r="P1064" s="207" t="n">
        <x:v>2</x:v>
      </x:c>
      <x:c r="Q1064" s="208" t="str">
        <x:v>Wave 3 (61–90 дней)</x:v>
      </x:c>
    </x:row>
    <x:row r="1065">
      <x:c r="A1065" s="206" t="str">
        <x:v>DEC-01061</x:v>
      </x:c>
      <x:c r="B1065" s="207" t="str">
        <x:v>Material master</x:v>
      </x:c>
      <x:c r="C1065" s="207" t="str">
        <x:v>MAT-DRAFT-0276</x:v>
      </x:c>
      <x:c r="D1065" s="207" t="str">
        <x:v>Unlinked</x:v>
      </x:c>
      <x:c r="E1065" s="207" t="str">
        <x:v>2 строк; 30470.00 руб.; 22-L-007</x:v>
      </x:c>
      <x:c r="F1065" s="207" t="str">
        <x:v>Подтвердить карточку, UOM, состав, цвет, поставщика и правила объединения</x:v>
      </x:c>
      <x:c r="G1065" s="207" t="str">
        <x:v>Закупки + склад</x:v>
      </x:c>
      <x:c r="H1065" s="207" t="str">
        <x:v>Высокий</x:v>
      </x:c>
      <x:c r="I1065" s="207" t="str">
        <x:v>Material aging; BOM; procurement; actual usage</x:v>
      </x:c>
      <x:c r="J1065" s="207" t="str">
        <x:v>Остатки ткани 31.05.2026</x:v>
      </x:c>
      <x:c r="K1065" s="207" t="str"/>
      <x:c r="L1065" s="207" t="str"/>
      <x:c r="M1065" s="207" t="str">
        <x:v>Не рассмотрено</x:v>
      </x:c>
      <x:c r="N1065" s="207" t="str"/>
      <x:c r="O1065" s="207" t="str">
        <x:v>17</x:v>
      </x:c>
      <x:c r="P1065" s="207" t="n">
        <x:v>3</x:v>
      </x:c>
      <x:c r="Q1065" s="208" t="str">
        <x:v>Wave 2 (31–60 дней)</x:v>
      </x:c>
    </x:row>
    <x:row r="1066">
      <x:c r="A1066" s="206" t="str">
        <x:v>DEC-01062</x:v>
      </x:c>
      <x:c r="B1066" s="207" t="str">
        <x:v>Material master</x:v>
      </x:c>
      <x:c r="C1066" s="207" t="str">
        <x:v>MAT-DRAFT-0278</x:v>
      </x:c>
      <x:c r="D1066" s="207" t="str">
        <x:v>Unlinked</x:v>
      </x:c>
      <x:c r="E1066" s="207" t="str">
        <x:v>1 строк; 1760.00 руб.; 22-L-012</x:v>
      </x:c>
      <x:c r="F1066" s="207" t="str">
        <x:v>Подтвердить карточку, UOM, состав, цвет, поставщика и правила объединения</x:v>
      </x:c>
      <x:c r="G1066" s="207" t="str">
        <x:v>Закупки + склад</x:v>
      </x:c>
      <x:c r="H1066" s="207" t="str">
        <x:v>Средний</x:v>
      </x:c>
      <x:c r="I1066" s="207" t="str">
        <x:v>Material aging; BOM; procurement; actual usage</x:v>
      </x:c>
      <x:c r="J1066" s="207" t="str">
        <x:v>Остатки ткани 31.05.2026</x:v>
      </x:c>
      <x:c r="K1066" s="207" t="str"/>
      <x:c r="L1066" s="207" t="str"/>
      <x:c r="M1066" s="207" t="str">
        <x:v>Не рассмотрено</x:v>
      </x:c>
      <x:c r="N1066" s="207" t="str"/>
      <x:c r="O1066" s="207" t="str">
        <x:v>17</x:v>
      </x:c>
      <x:c r="P1066" s="207" t="n">
        <x:v>2</x:v>
      </x:c>
      <x:c r="Q1066" s="208" t="str">
        <x:v>Wave 3 (61–90 дней)</x:v>
      </x:c>
    </x:row>
    <x:row r="1067">
      <x:c r="A1067" s="206" t="str">
        <x:v>DEC-01063</x:v>
      </x:c>
      <x:c r="B1067" s="207" t="str">
        <x:v>Material master</x:v>
      </x:c>
      <x:c r="C1067" s="207" t="str">
        <x:v>MAT-DRAFT-0281</x:v>
      </x:c>
      <x:c r="D1067" s="207" t="str">
        <x:v>Unlinked</x:v>
      </x:c>
      <x:c r="E1067" s="207" t="str">
        <x:v>1 строк; 400.00 руб.; 22-052</x:v>
      </x:c>
      <x:c r="F1067" s="207" t="str">
        <x:v>Подтвердить карточку, UOM, состав, цвет, поставщика и правила объединения</x:v>
      </x:c>
      <x:c r="G1067" s="207" t="str">
        <x:v>Закупки + склад</x:v>
      </x:c>
      <x:c r="H1067" s="207" t="str">
        <x:v>Средний</x:v>
      </x:c>
      <x:c r="I1067" s="207" t="str">
        <x:v>Material aging; BOM; procurement; actual usage</x:v>
      </x:c>
      <x:c r="J1067" s="207" t="str">
        <x:v>Остатки ткани 31.05.2026</x:v>
      </x:c>
      <x:c r="K1067" s="207" t="str"/>
      <x:c r="L1067" s="207" t="str"/>
      <x:c r="M1067" s="207" t="str">
        <x:v>Не рассмотрено</x:v>
      </x:c>
      <x:c r="N1067" s="207" t="str"/>
      <x:c r="O1067" s="207" t="str">
        <x:v>17</x:v>
      </x:c>
      <x:c r="P1067" s="207" t="n">
        <x:v>2</x:v>
      </x:c>
      <x:c r="Q1067" s="208" t="str">
        <x:v>Wave 3 (61–90 дней)</x:v>
      </x:c>
    </x:row>
    <x:row r="1068">
      <x:c r="A1068" s="206" t="str">
        <x:v>DEC-01064</x:v>
      </x:c>
      <x:c r="B1068" s="207" t="str">
        <x:v>Material master</x:v>
      </x:c>
      <x:c r="C1068" s="207" t="str">
        <x:v>MAT-DRAFT-0282</x:v>
      </x:c>
      <x:c r="D1068" s="207" t="str">
        <x:v>Несколько кодов; Несколько исходных наименований</x:v>
      </x:c>
      <x:c r="E1068" s="207" t="str">
        <x:v>4 строк; 14080.00 руб.; 22-030; 22-053</x:v>
      </x:c>
      <x:c r="F1068" s="207" t="str">
        <x:v>Подтвердить карточку, UOM, состав, цвет, поставщика и правила объединения</x:v>
      </x:c>
      <x:c r="G1068" s="207" t="str">
        <x:v>Закупки + склад</x:v>
      </x:c>
      <x:c r="H1068" s="207" t="str">
        <x:v>Высокий</x:v>
      </x:c>
      <x:c r="I1068" s="207" t="str">
        <x:v>Material aging; BOM; procurement; actual usage</x:v>
      </x:c>
      <x:c r="J1068" s="207" t="str">
        <x:v>Остатки ткани 31.05.2026</x:v>
      </x:c>
      <x:c r="K1068" s="207" t="str"/>
      <x:c r="L1068" s="207" t="str"/>
      <x:c r="M1068" s="207" t="str">
        <x:v>Не рассмотрено</x:v>
      </x:c>
      <x:c r="N1068" s="207" t="str"/>
      <x:c r="O1068" s="207" t="str">
        <x:v>17</x:v>
      </x:c>
      <x:c r="P1068" s="207" t="n">
        <x:v>3</x:v>
      </x:c>
      <x:c r="Q1068" s="208" t="str">
        <x:v>Wave 2 (31–60 дней)</x:v>
      </x:c>
    </x:row>
    <x:row r="1069">
      <x:c r="A1069" s="206" t="str">
        <x:v>DEC-01065</x:v>
      </x:c>
      <x:c r="B1069" s="207" t="str">
        <x:v>Material master</x:v>
      </x:c>
      <x:c r="C1069" s="207" t="str">
        <x:v>MAT-DRAFT-0283</x:v>
      </x:c>
      <x:c r="D1069" s="207" t="str">
        <x:v>Unlinked</x:v>
      </x:c>
      <x:c r="E1069" s="207" t="str">
        <x:v>2 строк; 3530.00 руб.; 22-034</x:v>
      </x:c>
      <x:c r="F1069" s="207" t="str">
        <x:v>Подтвердить карточку, UOM, состав, цвет, поставщика и правила объединения</x:v>
      </x:c>
      <x:c r="G1069" s="207" t="str">
        <x:v>Закупки + склад</x:v>
      </x:c>
      <x:c r="H1069" s="207" t="str">
        <x:v>Средний</x:v>
      </x:c>
      <x:c r="I1069" s="207" t="str">
        <x:v>Material aging; BOM; procurement; actual usage</x:v>
      </x:c>
      <x:c r="J1069" s="207" t="str">
        <x:v>Остатки ткани 31.05.2026</x:v>
      </x:c>
      <x:c r="K1069" s="207" t="str"/>
      <x:c r="L1069" s="207" t="str"/>
      <x:c r="M1069" s="207" t="str">
        <x:v>Не рассмотрено</x:v>
      </x:c>
      <x:c r="N1069" s="207" t="str"/>
      <x:c r="O1069" s="207" t="str">
        <x:v>17</x:v>
      </x:c>
      <x:c r="P1069" s="207" t="n">
        <x:v>2</x:v>
      </x:c>
      <x:c r="Q1069" s="208" t="str">
        <x:v>Wave 3 (61–90 дней)</x:v>
      </x:c>
    </x:row>
    <x:row r="1070">
      <x:c r="A1070" s="206" t="str">
        <x:v>DEC-01066</x:v>
      </x:c>
      <x:c r="B1070" s="207" t="str">
        <x:v>Material master</x:v>
      </x:c>
      <x:c r="C1070" s="207" t="str">
        <x:v>MAT-DRAFT-0285</x:v>
      </x:c>
      <x:c r="D1070" s="207" t="str">
        <x:v>Unlinked</x:v>
      </x:c>
      <x:c r="E1070" s="207" t="str">
        <x:v>2 строк; 900.00 руб.; 22-042</x:v>
      </x:c>
      <x:c r="F1070" s="207" t="str">
        <x:v>Подтвердить карточку, UOM, состав, цвет, поставщика и правила объединения</x:v>
      </x:c>
      <x:c r="G1070" s="207" t="str">
        <x:v>Закупки + склад</x:v>
      </x:c>
      <x:c r="H1070" s="207" t="str">
        <x:v>Средний</x:v>
      </x:c>
      <x:c r="I1070" s="207" t="str">
        <x:v>Material aging; BOM; procurement; actual usage</x:v>
      </x:c>
      <x:c r="J1070" s="207" t="str">
        <x:v>Остатки ткани 31.05.2026</x:v>
      </x:c>
      <x:c r="K1070" s="207" t="str"/>
      <x:c r="L1070" s="207" t="str"/>
      <x:c r="M1070" s="207" t="str">
        <x:v>Не рассмотрено</x:v>
      </x:c>
      <x:c r="N1070" s="207" t="str"/>
      <x:c r="O1070" s="207" t="str">
        <x:v>17</x:v>
      </x:c>
      <x:c r="P1070" s="207" t="n">
        <x:v>2</x:v>
      </x:c>
      <x:c r="Q1070" s="208" t="str">
        <x:v>Wave 3 (61–90 дней)</x:v>
      </x:c>
    </x:row>
    <x:row r="1071">
      <x:c r="A1071" s="206" t="str">
        <x:v>DEC-01067</x:v>
      </x:c>
      <x:c r="B1071" s="207" t="str">
        <x:v>Material master</x:v>
      </x:c>
      <x:c r="C1071" s="207" t="str">
        <x:v>MAT-DRAFT-0286</x:v>
      </x:c>
      <x:c r="D1071" s="207" t="str">
        <x:v>Unlinked</x:v>
      </x:c>
      <x:c r="E1071" s="207" t="str">
        <x:v>1 строк; 3800.00 руб.; 22-004</x:v>
      </x:c>
      <x:c r="F1071" s="207" t="str">
        <x:v>Подтвердить карточку, UOM, состав, цвет, поставщика и правила объединения</x:v>
      </x:c>
      <x:c r="G1071" s="207" t="str">
        <x:v>Закупки + склад</x:v>
      </x:c>
      <x:c r="H1071" s="207" t="str">
        <x:v>Средний</x:v>
      </x:c>
      <x:c r="I1071" s="207" t="str">
        <x:v>Material aging; BOM; procurement; actual usage</x:v>
      </x:c>
      <x:c r="J1071" s="207" t="str">
        <x:v>Остатки ткани 31.05.2026</x:v>
      </x:c>
      <x:c r="K1071" s="207" t="str"/>
      <x:c r="L1071" s="207" t="str"/>
      <x:c r="M1071" s="207" t="str">
        <x:v>Не рассмотрено</x:v>
      </x:c>
      <x:c r="N1071" s="207" t="str"/>
      <x:c r="O1071" s="207" t="str">
        <x:v>17</x:v>
      </x:c>
      <x:c r="P1071" s="207" t="n">
        <x:v>2</x:v>
      </x:c>
      <x:c r="Q1071" s="208" t="str">
        <x:v>Wave 3 (61–90 дней)</x:v>
      </x:c>
    </x:row>
    <x:row r="1072">
      <x:c r="A1072" s="206" t="str">
        <x:v>DEC-01068</x:v>
      </x:c>
      <x:c r="B1072" s="207" t="str">
        <x:v>Material master</x:v>
      </x:c>
      <x:c r="C1072" s="207" t="str">
        <x:v>MAT-DRAFT-0289</x:v>
      </x:c>
      <x:c r="D1072" s="207" t="str">
        <x:v>Unlinked</x:v>
      </x:c>
      <x:c r="E1072" s="207" t="str">
        <x:v>1 строк; 1200.00 руб.; 22-013</x:v>
      </x:c>
      <x:c r="F1072" s="207" t="str">
        <x:v>Подтвердить карточку, UOM, состав, цвет, поставщика и правила объединения</x:v>
      </x:c>
      <x:c r="G1072" s="207" t="str">
        <x:v>Закупки + склад</x:v>
      </x:c>
      <x:c r="H1072" s="207" t="str">
        <x:v>Средний</x:v>
      </x:c>
      <x:c r="I1072" s="207" t="str">
        <x:v>Material aging; BOM; procurement; actual usage</x:v>
      </x:c>
      <x:c r="J1072" s="207" t="str">
        <x:v>Остатки ткани 31.05.2026</x:v>
      </x:c>
      <x:c r="K1072" s="207" t="str"/>
      <x:c r="L1072" s="207" t="str"/>
      <x:c r="M1072" s="207" t="str">
        <x:v>Не рассмотрено</x:v>
      </x:c>
      <x:c r="N1072" s="207" t="str"/>
      <x:c r="O1072" s="207" t="str">
        <x:v>17</x:v>
      </x:c>
      <x:c r="P1072" s="207" t="n">
        <x:v>2</x:v>
      </x:c>
      <x:c r="Q1072" s="208" t="str">
        <x:v>Wave 3 (61–90 дней)</x:v>
      </x:c>
    </x:row>
    <x:row r="1073">
      <x:c r="A1073" s="206" t="str">
        <x:v>DEC-01069</x:v>
      </x:c>
      <x:c r="B1073" s="207" t="str">
        <x:v>Material master</x:v>
      </x:c>
      <x:c r="C1073" s="207" t="str">
        <x:v>MAT-DRAFT-0290</x:v>
      </x:c>
      <x:c r="D1073" s="207" t="str">
        <x:v>Unlinked</x:v>
      </x:c>
      <x:c r="E1073" s="207" t="str">
        <x:v>1 строк; 25250.00 руб.; 22-014</x:v>
      </x:c>
      <x:c r="F1073" s="207" t="str">
        <x:v>Подтвердить карточку, UOM, состав, цвет, поставщика и правила объединения</x:v>
      </x:c>
      <x:c r="G1073" s="207" t="str">
        <x:v>Закупки + склад</x:v>
      </x:c>
      <x:c r="H1073" s="207" t="str">
        <x:v>Высокий</x:v>
      </x:c>
      <x:c r="I1073" s="207" t="str">
        <x:v>Material aging; BOM; procurement; actual usage</x:v>
      </x:c>
      <x:c r="J1073" s="207" t="str">
        <x:v>Остатки ткани 31.05.2026</x:v>
      </x:c>
      <x:c r="K1073" s="207" t="str"/>
      <x:c r="L1073" s="207" t="str"/>
      <x:c r="M1073" s="207" t="str">
        <x:v>Не рассмотрено</x:v>
      </x:c>
      <x:c r="N1073" s="207" t="str"/>
      <x:c r="O1073" s="207" t="str">
        <x:v>17</x:v>
      </x:c>
      <x:c r="P1073" s="207" t="n">
        <x:v>3</x:v>
      </x:c>
      <x:c r="Q1073" s="208" t="str">
        <x:v>Wave 2 (31–60 дней)</x:v>
      </x:c>
    </x:row>
    <x:row r="1074">
      <x:c r="A1074" s="206" t="str">
        <x:v>DEC-01070</x:v>
      </x:c>
      <x:c r="B1074" s="207" t="str">
        <x:v>Material master</x:v>
      </x:c>
      <x:c r="C1074" s="207" t="str">
        <x:v>MAT-DRAFT-0291</x:v>
      </x:c>
      <x:c r="D1074" s="207" t="str">
        <x:v>Нет кода</x:v>
      </x:c>
      <x:c r="E1074" s="207" t="str">
        <x:v>2 строк; 2249.10 руб.; </x:v>
      </x:c>
      <x:c r="F1074" s="207" t="str">
        <x:v>Подтвердить карточку, UOM, состав, цвет, поставщика и правила объединения</x:v>
      </x:c>
      <x:c r="G1074" s="207" t="str">
        <x:v>Закупки + склад</x:v>
      </x:c>
      <x:c r="H1074" s="207" t="str">
        <x:v>Средний</x:v>
      </x:c>
      <x:c r="I1074" s="207" t="str">
        <x:v>Material aging; BOM; procurement; actual usage</x:v>
      </x:c>
      <x:c r="J1074" s="207" t="str">
        <x:v>Остатки ткани 31.05.2026</x:v>
      </x:c>
      <x:c r="K1074" s="207" t="str"/>
      <x:c r="L1074" s="207" t="str"/>
      <x:c r="M1074" s="207" t="str">
        <x:v>Не рассмотрено</x:v>
      </x:c>
      <x:c r="N1074" s="207" t="str"/>
      <x:c r="O1074" s="207" t="str">
        <x:v>17</x:v>
      </x:c>
      <x:c r="P1074" s="207" t="n">
        <x:v>2</x:v>
      </x:c>
      <x:c r="Q1074" s="208" t="str">
        <x:v>Wave 3 (61–90 дней)</x:v>
      </x:c>
    </x:row>
    <x:row r="1075">
      <x:c r="A1075" s="206" t="str">
        <x:v>DEC-01071</x:v>
      </x:c>
      <x:c r="B1075" s="207" t="str">
        <x:v>Material master</x:v>
      </x:c>
      <x:c r="C1075" s="207" t="str">
        <x:v>MAT-DRAFT-0292</x:v>
      </x:c>
      <x:c r="D1075" s="207" t="str">
        <x:v>Unlinked</x:v>
      </x:c>
      <x:c r="E1075" s="207" t="str">
        <x:v>1 строк; 14750.00 руб.; 22-007</x:v>
      </x:c>
      <x:c r="F1075" s="207" t="str">
        <x:v>Подтвердить карточку, UOM, состав, цвет, поставщика и правила объединения</x:v>
      </x:c>
      <x:c r="G1075" s="207" t="str">
        <x:v>Закупки + склад</x:v>
      </x:c>
      <x:c r="H1075" s="207" t="str">
        <x:v>Высокий</x:v>
      </x:c>
      <x:c r="I1075" s="207" t="str">
        <x:v>Material aging; BOM; procurement; actual usage</x:v>
      </x:c>
      <x:c r="J1075" s="207" t="str">
        <x:v>Остатки ткани 31.05.2026</x:v>
      </x:c>
      <x:c r="K1075" s="207" t="str"/>
      <x:c r="L1075" s="207" t="str"/>
      <x:c r="M1075" s="207" t="str">
        <x:v>Не рассмотрено</x:v>
      </x:c>
      <x:c r="N1075" s="207" t="str"/>
      <x:c r="O1075" s="207" t="str">
        <x:v>17</x:v>
      </x:c>
      <x:c r="P1075" s="207" t="n">
        <x:v>3</x:v>
      </x:c>
      <x:c r="Q1075" s="208" t="str">
        <x:v>Wave 2 (31–60 дней)</x:v>
      </x:c>
    </x:row>
    <x:row r="1076">
      <x:c r="A1076" s="206" t="str">
        <x:v>DEC-01072</x:v>
      </x:c>
      <x:c r="B1076" s="207" t="str">
        <x:v>Material master</x:v>
      </x:c>
      <x:c r="C1076" s="207" t="str">
        <x:v>MAT-DRAFT-0293</x:v>
      </x:c>
      <x:c r="D1076" s="207" t="str">
        <x:v>Unlinked</x:v>
      </x:c>
      <x:c r="E1076" s="207" t="str">
        <x:v>1 строк; 1350.00 руб.; 22-008</x:v>
      </x:c>
      <x:c r="F1076" s="207" t="str">
        <x:v>Подтвердить карточку, UOM, состав, цвет, поставщика и правила объединения</x:v>
      </x:c>
      <x:c r="G1076" s="207" t="str">
        <x:v>Закупки + склад</x:v>
      </x:c>
      <x:c r="H1076" s="207" t="str">
        <x:v>Средний</x:v>
      </x:c>
      <x:c r="I1076" s="207" t="str">
        <x:v>Material aging; BOM; procurement; actual usage</x:v>
      </x:c>
      <x:c r="J1076" s="207" t="str">
        <x:v>Остатки ткани 31.05.2026</x:v>
      </x:c>
      <x:c r="K1076" s="207" t="str"/>
      <x:c r="L1076" s="207" t="str"/>
      <x:c r="M1076" s="207" t="str">
        <x:v>Не рассмотрено</x:v>
      </x:c>
      <x:c r="N1076" s="207" t="str"/>
      <x:c r="O1076" s="207" t="str">
        <x:v>17</x:v>
      </x:c>
      <x:c r="P1076" s="207" t="n">
        <x:v>2</x:v>
      </x:c>
      <x:c r="Q1076" s="208" t="str">
        <x:v>Wave 3 (61–90 дней)</x:v>
      </x:c>
    </x:row>
    <x:row r="1077">
      <x:c r="A1077" s="206" t="str">
        <x:v>DEC-01073</x:v>
      </x:c>
      <x:c r="B1077" s="207" t="str">
        <x:v>Material master</x:v>
      </x:c>
      <x:c r="C1077" s="207" t="str">
        <x:v>MAT-DRAFT-0294</x:v>
      </x:c>
      <x:c r="D1077" s="207" t="str">
        <x:v>Unlinked</x:v>
      </x:c>
      <x:c r="E1077" s="207" t="str">
        <x:v>1 строк; 2500.00 руб.; 22-005</x:v>
      </x:c>
      <x:c r="F1077" s="207" t="str">
        <x:v>Подтвердить карточку, UOM, состав, цвет, поставщика и правила объединения</x:v>
      </x:c>
      <x:c r="G1077" s="207" t="str">
        <x:v>Закупки + склад</x:v>
      </x:c>
      <x:c r="H1077" s="207" t="str">
        <x:v>Средний</x:v>
      </x:c>
      <x:c r="I1077" s="207" t="str">
        <x:v>Material aging; BOM; procurement; actual usage</x:v>
      </x:c>
      <x:c r="J1077" s="207" t="str">
        <x:v>Остатки ткани 31.05.2026</x:v>
      </x:c>
      <x:c r="K1077" s="207" t="str"/>
      <x:c r="L1077" s="207" t="str"/>
      <x:c r="M1077" s="207" t="str">
        <x:v>Не рассмотрено</x:v>
      </x:c>
      <x:c r="N1077" s="207" t="str"/>
      <x:c r="O1077" s="207" t="str">
        <x:v>17</x:v>
      </x:c>
      <x:c r="P1077" s="207" t="n">
        <x:v>2</x:v>
      </x:c>
      <x:c r="Q1077" s="208" t="str">
        <x:v>Wave 3 (61–90 дней)</x:v>
      </x:c>
    </x:row>
    <x:row r="1078">
      <x:c r="A1078" s="206" t="str">
        <x:v>DEC-01074</x:v>
      </x:c>
      <x:c r="B1078" s="207" t="str">
        <x:v>Material master</x:v>
      </x:c>
      <x:c r="C1078" s="207" t="str">
        <x:v>MAT-DRAFT-0295</x:v>
      </x:c>
      <x:c r="D1078" s="207" t="str">
        <x:v>Несколько кодов; Несколько исходных наименований</x:v>
      </x:c>
      <x:c r="E1078" s="207" t="str">
        <x:v>4 строк; 17078.00 руб.; 22-022; 22-032</x:v>
      </x:c>
      <x:c r="F1078" s="207" t="str">
        <x:v>Подтвердить карточку, UOM, состав, цвет, поставщика и правила объединения</x:v>
      </x:c>
      <x:c r="G1078" s="207" t="str">
        <x:v>Закупки + склад</x:v>
      </x:c>
      <x:c r="H1078" s="207" t="str">
        <x:v>Высокий</x:v>
      </x:c>
      <x:c r="I1078" s="207" t="str">
        <x:v>Material aging; BOM; procurement; actual usage</x:v>
      </x:c>
      <x:c r="J1078" s="207" t="str">
        <x:v>Остатки ткани 31.05.2026</x:v>
      </x:c>
      <x:c r="K1078" s="207" t="str"/>
      <x:c r="L1078" s="207" t="str"/>
      <x:c r="M1078" s="207" t="str">
        <x:v>Не рассмотрено</x:v>
      </x:c>
      <x:c r="N1078" s="207" t="str"/>
      <x:c r="O1078" s="207" t="str">
        <x:v>17</x:v>
      </x:c>
      <x:c r="P1078" s="207" t="n">
        <x:v>3</x:v>
      </x:c>
      <x:c r="Q1078" s="208" t="str">
        <x:v>Wave 2 (31–60 дней)</x:v>
      </x:c>
    </x:row>
    <x:row r="1079">
      <x:c r="A1079" s="206" t="str">
        <x:v>DEC-01075</x:v>
      </x:c>
      <x:c r="B1079" s="207" t="str">
        <x:v>Material master</x:v>
      </x:c>
      <x:c r="C1079" s="207" t="str">
        <x:v>MAT-DRAFT-0296</x:v>
      </x:c>
      <x:c r="D1079" s="207" t="str">
        <x:v>Unlinked</x:v>
      </x:c>
      <x:c r="E1079" s="207" t="str">
        <x:v>1 строк; 1475.00 руб.; 20-017</x:v>
      </x:c>
      <x:c r="F1079" s="207" t="str">
        <x:v>Подтвердить карточку, UOM, состав, цвет, поставщика и правила объединения</x:v>
      </x:c>
      <x:c r="G1079" s="207" t="str">
        <x:v>Закупки + склад</x:v>
      </x:c>
      <x:c r="H1079" s="207" t="str">
        <x:v>Средний</x:v>
      </x:c>
      <x:c r="I1079" s="207" t="str">
        <x:v>Material aging; BOM; procurement; actual usage</x:v>
      </x:c>
      <x:c r="J1079" s="207" t="str">
        <x:v>Остатки ткани 31.05.2026</x:v>
      </x:c>
      <x:c r="K1079" s="207" t="str"/>
      <x:c r="L1079" s="207" t="str"/>
      <x:c r="M1079" s="207" t="str">
        <x:v>Не рассмотрено</x:v>
      </x:c>
      <x:c r="N1079" s="207" t="str"/>
      <x:c r="O1079" s="207" t="str">
        <x:v>17</x:v>
      </x:c>
      <x:c r="P1079" s="207" t="n">
        <x:v>2</x:v>
      </x:c>
      <x:c r="Q1079" s="208" t="str">
        <x:v>Wave 3 (61–90 дней)</x:v>
      </x:c>
    </x:row>
    <x:row r="1080">
      <x:c r="A1080" s="206" t="str">
        <x:v>DEC-01076</x:v>
      </x:c>
      <x:c r="B1080" s="207" t="str">
        <x:v>Material master</x:v>
      </x:c>
      <x:c r="C1080" s="207" t="str">
        <x:v>MAT-DRAFT-0297</x:v>
      </x:c>
      <x:c r="D1080" s="207" t="str">
        <x:v>Unlinked</x:v>
      </x:c>
      <x:c r="E1080" s="207" t="str">
        <x:v>1 строк; 4500.00 руб.; 20-018</x:v>
      </x:c>
      <x:c r="F1080" s="207" t="str">
        <x:v>Подтвердить карточку, UOM, состав, цвет, поставщика и правила объединения</x:v>
      </x:c>
      <x:c r="G1080" s="207" t="str">
        <x:v>Закупки + склад</x:v>
      </x:c>
      <x:c r="H1080" s="207" t="str">
        <x:v>Средний</x:v>
      </x:c>
      <x:c r="I1080" s="207" t="str">
        <x:v>Material aging; BOM; procurement; actual usage</x:v>
      </x:c>
      <x:c r="J1080" s="207" t="str">
        <x:v>Остатки ткани 31.05.2026</x:v>
      </x:c>
      <x:c r="K1080" s="207" t="str"/>
      <x:c r="L1080" s="207" t="str"/>
      <x:c r="M1080" s="207" t="str">
        <x:v>Не рассмотрено</x:v>
      </x:c>
      <x:c r="N1080" s="207" t="str"/>
      <x:c r="O1080" s="207" t="str">
        <x:v>17</x:v>
      </x:c>
      <x:c r="P1080" s="207" t="n">
        <x:v>2</x:v>
      </x:c>
      <x:c r="Q1080" s="208" t="str">
        <x:v>Wave 3 (61–90 дней)</x:v>
      </x:c>
    </x:row>
    <x:row r="1081">
      <x:c r="A1081" s="206" t="str">
        <x:v>DEC-01077</x:v>
      </x:c>
      <x:c r="B1081" s="207" t="str">
        <x:v>Material master</x:v>
      </x:c>
      <x:c r="C1081" s="207" t="str">
        <x:v>MAT-DRAFT-0299</x:v>
      </x:c>
      <x:c r="D1081" s="207" t="str">
        <x:v>Несколько кодов; Несколько исходных наименований</x:v>
      </x:c>
      <x:c r="E1081" s="207" t="str">
        <x:v>6 строк; 33417.00 руб.; 20-015; 20-027</x:v>
      </x:c>
      <x:c r="F1081" s="207" t="str">
        <x:v>Подтвердить карточку, UOM, состав, цвет, поставщика и правила объединения</x:v>
      </x:c>
      <x:c r="G1081" s="207" t="str">
        <x:v>Закупки + склад</x:v>
      </x:c>
      <x:c r="H1081" s="207" t="str">
        <x:v>Высокий</x:v>
      </x:c>
      <x:c r="I1081" s="207" t="str">
        <x:v>Material aging; BOM; procurement; actual usage</x:v>
      </x:c>
      <x:c r="J1081" s="207" t="str">
        <x:v>Остатки ткани 31.05.2026</x:v>
      </x:c>
      <x:c r="K1081" s="207" t="str"/>
      <x:c r="L1081" s="207" t="str"/>
      <x:c r="M1081" s="207" t="str">
        <x:v>Не рассмотрено</x:v>
      </x:c>
      <x:c r="N1081" s="207" t="str"/>
      <x:c r="O1081" s="207" t="str">
        <x:v>17</x:v>
      </x:c>
      <x:c r="P1081" s="207" t="n">
        <x:v>3</x:v>
      </x:c>
      <x:c r="Q1081" s="208" t="str">
        <x:v>Wave 2 (31–60 дней)</x:v>
      </x:c>
    </x:row>
    <x:row r="1082">
      <x:c r="A1082" s="206" t="str">
        <x:v>DEC-01078</x:v>
      </x:c>
      <x:c r="B1082" s="207" t="str">
        <x:v>Material master</x:v>
      </x:c>
      <x:c r="C1082" s="207" t="str">
        <x:v>MAT-DRAFT-0300</x:v>
      </x:c>
      <x:c r="D1082" s="207" t="str">
        <x:v>Несколько кодов; Несколько исходных наименований</x:v>
      </x:c>
      <x:c r="E1082" s="207" t="str">
        <x:v>2 строк; 9200.00 руб.; 20-021; 20-032</x:v>
      </x:c>
      <x:c r="F1082" s="207" t="str">
        <x:v>Подтвердить карточку, UOM, состав, цвет, поставщика и правила объединения</x:v>
      </x:c>
      <x:c r="G1082" s="207" t="str">
        <x:v>Закупки + склад</x:v>
      </x:c>
      <x:c r="H1082" s="207" t="str">
        <x:v>Средний</x:v>
      </x:c>
      <x:c r="I1082" s="207" t="str">
        <x:v>Material aging; BOM; procurement; actual usage</x:v>
      </x:c>
      <x:c r="J1082" s="207" t="str">
        <x:v>Остатки ткани 31.05.2026</x:v>
      </x:c>
      <x:c r="K1082" s="207" t="str"/>
      <x:c r="L1082" s="207" t="str"/>
      <x:c r="M1082" s="207" t="str">
        <x:v>Не рассмотрено</x:v>
      </x:c>
      <x:c r="N1082" s="207" t="str"/>
      <x:c r="O1082" s="207" t="str">
        <x:v>17</x:v>
      </x:c>
      <x:c r="P1082" s="207" t="n">
        <x:v>2</x:v>
      </x:c>
      <x:c r="Q1082" s="208" t="str">
        <x:v>Wave 3 (61–90 дней)</x:v>
      </x:c>
    </x:row>
    <x:row r="1083">
      <x:c r="A1083" s="206" t="str">
        <x:v>DEC-01079</x:v>
      </x:c>
      <x:c r="B1083" s="207" t="str">
        <x:v>Material master</x:v>
      </x:c>
      <x:c r="C1083" s="207" t="str">
        <x:v>MAT-DRAFT-0301</x:v>
      </x:c>
      <x:c r="D1083" s="207" t="str">
        <x:v>Unlinked</x:v>
      </x:c>
      <x:c r="E1083" s="207" t="str">
        <x:v>1 строк; 4340.00 руб.; 20-007</x:v>
      </x:c>
      <x:c r="F1083" s="207" t="str">
        <x:v>Подтвердить карточку, UOM, состав, цвет, поставщика и правила объединения</x:v>
      </x:c>
      <x:c r="G1083" s="207" t="str">
        <x:v>Закупки + склад</x:v>
      </x:c>
      <x:c r="H1083" s="207" t="str">
        <x:v>Средний</x:v>
      </x:c>
      <x:c r="I1083" s="207" t="str">
        <x:v>Material aging; BOM; procurement; actual usage</x:v>
      </x:c>
      <x:c r="J1083" s="207" t="str">
        <x:v>Остатки ткани 31.05.2026</x:v>
      </x:c>
      <x:c r="K1083" s="207" t="str"/>
      <x:c r="L1083" s="207" t="str"/>
      <x:c r="M1083" s="207" t="str">
        <x:v>Не рассмотрено</x:v>
      </x:c>
      <x:c r="N1083" s="207" t="str"/>
      <x:c r="O1083" s="207" t="str">
        <x:v>17</x:v>
      </x:c>
      <x:c r="P1083" s="207" t="n">
        <x:v>2</x:v>
      </x:c>
      <x:c r="Q1083" s="208" t="str">
        <x:v>Wave 3 (61–90 дней)</x:v>
      </x:c>
    </x:row>
    <x:row r="1084">
      <x:c r="A1084" s="206" t="str">
        <x:v>DEC-01080</x:v>
      </x:c>
      <x:c r="B1084" s="207" t="str">
        <x:v>Material master</x:v>
      </x:c>
      <x:c r="C1084" s="207" t="str">
        <x:v>MAT-DRAFT-0302</x:v>
      </x:c>
      <x:c r="D1084" s="207" t="str">
        <x:v>Unlinked</x:v>
      </x:c>
      <x:c r="E1084" s="207" t="str">
        <x:v>1 строк; 8750.00 руб.; 20-026</x:v>
      </x:c>
      <x:c r="F1084" s="207" t="str">
        <x:v>Подтвердить карточку, UOM, состав, цвет, поставщика и правила объединения</x:v>
      </x:c>
      <x:c r="G1084" s="207" t="str">
        <x:v>Закупки + склад</x:v>
      </x:c>
      <x:c r="H1084" s="207" t="str">
        <x:v>Средний</x:v>
      </x:c>
      <x:c r="I1084" s="207" t="str">
        <x:v>Material aging; BOM; procurement; actual usage</x:v>
      </x:c>
      <x:c r="J1084" s="207" t="str">
        <x:v>Остатки ткани 31.05.2026</x:v>
      </x:c>
      <x:c r="K1084" s="207" t="str"/>
      <x:c r="L1084" s="207" t="str"/>
      <x:c r="M1084" s="207" t="str">
        <x:v>Не рассмотрено</x:v>
      </x:c>
      <x:c r="N1084" s="207" t="str"/>
      <x:c r="O1084" s="207" t="str">
        <x:v>17</x:v>
      </x:c>
      <x:c r="P1084" s="207" t="n">
        <x:v>2</x:v>
      </x:c>
      <x:c r="Q1084" s="208" t="str">
        <x:v>Wave 3 (61–90 дней)</x:v>
      </x:c>
    </x:row>
    <x:row r="1085">
      <x:c r="A1085" s="206" t="str">
        <x:v>DEC-01081</x:v>
      </x:c>
      <x:c r="B1085" s="207" t="str">
        <x:v>Material master</x:v>
      </x:c>
      <x:c r="C1085" s="207" t="str">
        <x:v>MAT-DRAFT-0304</x:v>
      </x:c>
      <x:c r="D1085" s="207" t="str">
        <x:v>Unlinked</x:v>
      </x:c>
      <x:c r="E1085" s="207" t="str">
        <x:v>2 строк; 2055.00 руб.; 20-024</x:v>
      </x:c>
      <x:c r="F1085" s="207" t="str">
        <x:v>Подтвердить карточку, UOM, состав, цвет, поставщика и правила объединения</x:v>
      </x:c>
      <x:c r="G1085" s="207" t="str">
        <x:v>Закупки + склад</x:v>
      </x:c>
      <x:c r="H1085" s="207" t="str">
        <x:v>Средний</x:v>
      </x:c>
      <x:c r="I1085" s="207" t="str">
        <x:v>Material aging; BOM; procurement; actual usage</x:v>
      </x:c>
      <x:c r="J1085" s="207" t="str">
        <x:v>Остатки ткани 31.05.2026</x:v>
      </x:c>
      <x:c r="K1085" s="207" t="str"/>
      <x:c r="L1085" s="207" t="str"/>
      <x:c r="M1085" s="207" t="str">
        <x:v>Не рассмотрено</x:v>
      </x:c>
      <x:c r="N1085" s="207" t="str"/>
      <x:c r="O1085" s="207" t="str">
        <x:v>17</x:v>
      </x:c>
      <x:c r="P1085" s="207" t="n">
        <x:v>2</x:v>
      </x:c>
      <x:c r="Q1085" s="208" t="str">
        <x:v>Wave 3 (61–90 дней)</x:v>
      </x:c>
    </x:row>
    <x:row r="1086">
      <x:c r="A1086" s="206" t="str">
        <x:v>DEC-01082</x:v>
      </x:c>
      <x:c r="B1086" s="207" t="str">
        <x:v>Material master</x:v>
      </x:c>
      <x:c r="C1086" s="207" t="str">
        <x:v>MAT-DRAFT-0305</x:v>
      </x:c>
      <x:c r="D1086" s="207" t="str">
        <x:v>Unlinked</x:v>
      </x:c>
      <x:c r="E1086" s="207" t="str">
        <x:v>1 строк; 5250.00 руб.; 20-012</x:v>
      </x:c>
      <x:c r="F1086" s="207" t="str">
        <x:v>Подтвердить карточку, UOM, состав, цвет, поставщика и правила объединения</x:v>
      </x:c>
      <x:c r="G1086" s="207" t="str">
        <x:v>Закупки + склад</x:v>
      </x:c>
      <x:c r="H1086" s="207" t="str">
        <x:v>Средний</x:v>
      </x:c>
      <x:c r="I1086" s="207" t="str">
        <x:v>Material aging; BOM; procurement; actual usage</x:v>
      </x:c>
      <x:c r="J1086" s="207" t="str">
        <x:v>Остатки ткани 31.05.2026</x:v>
      </x:c>
      <x:c r="K1086" s="207" t="str"/>
      <x:c r="L1086" s="207" t="str"/>
      <x:c r="M1086" s="207" t="str">
        <x:v>Не рассмотрено</x:v>
      </x:c>
      <x:c r="N1086" s="207" t="str"/>
      <x:c r="O1086" s="207" t="str">
        <x:v>17</x:v>
      </x:c>
      <x:c r="P1086" s="207" t="n">
        <x:v>2</x:v>
      </x:c>
      <x:c r="Q1086" s="208" t="str">
        <x:v>Wave 3 (61–90 дней)</x:v>
      </x:c>
    </x:row>
    <x:row r="1087">
      <x:c r="A1087" s="206" t="str">
        <x:v>DEC-01083</x:v>
      </x:c>
      <x:c r="B1087" s="207" t="str">
        <x:v>Material master</x:v>
      </x:c>
      <x:c r="C1087" s="207" t="str">
        <x:v>MAT-DRAFT-0307</x:v>
      </x:c>
      <x:c r="D1087" s="207" t="str">
        <x:v>Unlinked</x:v>
      </x:c>
      <x:c r="E1087" s="207" t="str">
        <x:v>1 строк; 3710.00 руб.; 20-005</x:v>
      </x:c>
      <x:c r="F1087" s="207" t="str">
        <x:v>Подтвердить карточку, UOM, состав, цвет, поставщика и правила объединения</x:v>
      </x:c>
      <x:c r="G1087" s="207" t="str">
        <x:v>Закупки + склад</x:v>
      </x:c>
      <x:c r="H1087" s="207" t="str">
        <x:v>Средний</x:v>
      </x:c>
      <x:c r="I1087" s="207" t="str">
        <x:v>Material aging; BOM; procurement; actual usage</x:v>
      </x:c>
      <x:c r="J1087" s="207" t="str">
        <x:v>Остатки ткани 31.05.2026</x:v>
      </x:c>
      <x:c r="K1087" s="207" t="str"/>
      <x:c r="L1087" s="207" t="str"/>
      <x:c r="M1087" s="207" t="str">
        <x:v>Не рассмотрено</x:v>
      </x:c>
      <x:c r="N1087" s="207" t="str"/>
      <x:c r="O1087" s="207" t="str">
        <x:v>17</x:v>
      </x:c>
      <x:c r="P1087" s="207" t="n">
        <x:v>2</x:v>
      </x:c>
      <x:c r="Q1087" s="208" t="str">
        <x:v>Wave 3 (61–90 дней)</x:v>
      </x:c>
    </x:row>
    <x:row r="1088">
      <x:c r="A1088" s="206" t="str">
        <x:v>DEC-01084</x:v>
      </x:c>
      <x:c r="B1088" s="207" t="str">
        <x:v>Material master</x:v>
      </x:c>
      <x:c r="C1088" s="207" t="str">
        <x:v>MAT-DRAFT-0308</x:v>
      </x:c>
      <x:c r="D1088" s="207" t="str">
        <x:v>Unlinked</x:v>
      </x:c>
      <x:c r="E1088" s="207" t="str">
        <x:v>2 строк; 1005.00 руб.; 20-019</x:v>
      </x:c>
      <x:c r="F1088" s="207" t="str">
        <x:v>Подтвердить карточку, UOM, состав, цвет, поставщика и правила объединения</x:v>
      </x:c>
      <x:c r="G1088" s="207" t="str">
        <x:v>Закупки + склад</x:v>
      </x:c>
      <x:c r="H1088" s="207" t="str">
        <x:v>Средний</x:v>
      </x:c>
      <x:c r="I1088" s="207" t="str">
        <x:v>Material aging; BOM; procurement; actual usage</x:v>
      </x:c>
      <x:c r="J1088" s="207" t="str">
        <x:v>Остатки ткани 31.05.2026</x:v>
      </x:c>
      <x:c r="K1088" s="207" t="str"/>
      <x:c r="L1088" s="207" t="str"/>
      <x:c r="M1088" s="207" t="str">
        <x:v>Не рассмотрено</x:v>
      </x:c>
      <x:c r="N1088" s="207" t="str"/>
      <x:c r="O1088" s="207" t="str">
        <x:v>17</x:v>
      </x:c>
      <x:c r="P1088" s="207" t="n">
        <x:v>2</x:v>
      </x:c>
      <x:c r="Q1088" s="208" t="str">
        <x:v>Wave 3 (61–90 дней)</x:v>
      </x:c>
    </x:row>
    <x:row r="1089">
      <x:c r="A1089" s="206" t="str">
        <x:v>DEC-01085</x:v>
      </x:c>
      <x:c r="B1089" s="207" t="str">
        <x:v>Material master</x:v>
      </x:c>
      <x:c r="C1089" s="207" t="str">
        <x:v>MAT-DRAFT-0309</x:v>
      </x:c>
      <x:c r="D1089" s="207" t="str">
        <x:v>Unlinked</x:v>
      </x:c>
      <x:c r="E1089" s="207" t="str">
        <x:v>1 строк; 22250.00 руб.; 20A-002</x:v>
      </x:c>
      <x:c r="F1089" s="207" t="str">
        <x:v>Подтвердить карточку, UOM, состав, цвет, поставщика и правила объединения</x:v>
      </x:c>
      <x:c r="G1089" s="207" t="str">
        <x:v>Закупки + склад</x:v>
      </x:c>
      <x:c r="H1089" s="207" t="str">
        <x:v>Высокий</x:v>
      </x:c>
      <x:c r="I1089" s="207" t="str">
        <x:v>Material aging; BOM; procurement; actual usage</x:v>
      </x:c>
      <x:c r="J1089" s="207" t="str">
        <x:v>Остатки ткани 31.05.2026</x:v>
      </x:c>
      <x:c r="K1089" s="207" t="str"/>
      <x:c r="L1089" s="207" t="str"/>
      <x:c r="M1089" s="207" t="str">
        <x:v>Не рассмотрено</x:v>
      </x:c>
      <x:c r="N1089" s="207" t="str"/>
      <x:c r="O1089" s="207" t="str">
        <x:v>17</x:v>
      </x:c>
      <x:c r="P1089" s="207" t="n">
        <x:v>3</x:v>
      </x:c>
      <x:c r="Q1089" s="208" t="str">
        <x:v>Wave 2 (31–60 дней)</x:v>
      </x:c>
    </x:row>
    <x:row r="1090">
      <x:c r="A1090" s="206" t="str">
        <x:v>DEC-01086</x:v>
      </x:c>
      <x:c r="B1090" s="207" t="str">
        <x:v>Material master</x:v>
      </x:c>
      <x:c r="C1090" s="207" t="str">
        <x:v>MAT-DRAFT-0310</x:v>
      </x:c>
      <x:c r="D1090" s="207" t="str">
        <x:v>Unlinked</x:v>
      </x:c>
      <x:c r="E1090" s="207" t="str">
        <x:v>1 строк; 11650.00 руб.; 20-023</x:v>
      </x:c>
      <x:c r="F1090" s="207" t="str">
        <x:v>Подтвердить карточку, UOM, состав, цвет, поставщика и правила объединения</x:v>
      </x:c>
      <x:c r="G1090" s="207" t="str">
        <x:v>Закупки + склад</x:v>
      </x:c>
      <x:c r="H1090" s="207" t="str">
        <x:v>Высокий</x:v>
      </x:c>
      <x:c r="I1090" s="207" t="str">
        <x:v>Material aging; BOM; procurement; actual usage</x:v>
      </x:c>
      <x:c r="J1090" s="207" t="str">
        <x:v>Остатки ткани 31.05.2026</x:v>
      </x:c>
      <x:c r="K1090" s="207" t="str"/>
      <x:c r="L1090" s="207" t="str"/>
      <x:c r="M1090" s="207" t="str">
        <x:v>Не рассмотрено</x:v>
      </x:c>
      <x:c r="N1090" s="207" t="str"/>
      <x:c r="O1090" s="207" t="str">
        <x:v>17</x:v>
      </x:c>
      <x:c r="P1090" s="207" t="n">
        <x:v>3</x:v>
      </x:c>
      <x:c r="Q1090" s="208" t="str">
        <x:v>Wave 2 (31–60 дней)</x:v>
      </x:c>
    </x:row>
    <x:row r="1091">
      <x:c r="A1091" s="206" t="str">
        <x:v>DEC-01087</x:v>
      </x:c>
      <x:c r="B1091" s="207" t="str">
        <x:v>Material master</x:v>
      </x:c>
      <x:c r="C1091" s="207" t="str">
        <x:v>MAT-DRAFT-0311</x:v>
      </x:c>
      <x:c r="D1091" s="207" t="str">
        <x:v>Unlinked</x:v>
      </x:c>
      <x:c r="E1091" s="207" t="str">
        <x:v>1 строк; 14000.00 руб.; 20-008</x:v>
      </x:c>
      <x:c r="F1091" s="207" t="str">
        <x:v>Подтвердить карточку, UOM, состав, цвет, поставщика и правила объединения</x:v>
      </x:c>
      <x:c r="G1091" s="207" t="str">
        <x:v>Закупки + склад</x:v>
      </x:c>
      <x:c r="H1091" s="207" t="str">
        <x:v>Высокий</x:v>
      </x:c>
      <x:c r="I1091" s="207" t="str">
        <x:v>Material aging; BOM; procurement; actual usage</x:v>
      </x:c>
      <x:c r="J1091" s="207" t="str">
        <x:v>Остатки ткани 31.05.2026</x:v>
      </x:c>
      <x:c r="K1091" s="207" t="str"/>
      <x:c r="L1091" s="207" t="str"/>
      <x:c r="M1091" s="207" t="str">
        <x:v>Не рассмотрено</x:v>
      </x:c>
      <x:c r="N1091" s="207" t="str"/>
      <x:c r="O1091" s="207" t="str">
        <x:v>17</x:v>
      </x:c>
      <x:c r="P1091" s="207" t="n">
        <x:v>3</x:v>
      </x:c>
      <x:c r="Q1091" s="208" t="str">
        <x:v>Wave 2 (31–60 дней)</x:v>
      </x:c>
    </x:row>
    <x:row r="1092">
      <x:c r="A1092" s="206" t="str">
        <x:v>DEC-01088</x:v>
      </x:c>
      <x:c r="B1092" s="207" t="str">
        <x:v>Material master</x:v>
      </x:c>
      <x:c r="C1092" s="207" t="str">
        <x:v>MAT-DRAFT-0312</x:v>
      </x:c>
      <x:c r="D1092" s="207" t="str">
        <x:v>Несколько кодов; Несколько исходных наименований</x:v>
      </x:c>
      <x:c r="E1092" s="207" t="str">
        <x:v>3 строк; 26390.00 руб.; 20-003; 20-013</x:v>
      </x:c>
      <x:c r="F1092" s="207" t="str">
        <x:v>Подтвердить карточку, UOM, состав, цвет, поставщика и правила объединения</x:v>
      </x:c>
      <x:c r="G1092" s="207" t="str">
        <x:v>Закупки + склад</x:v>
      </x:c>
      <x:c r="H1092" s="207" t="str">
        <x:v>Высокий</x:v>
      </x:c>
      <x:c r="I1092" s="207" t="str">
        <x:v>Material aging; BOM; procurement; actual usage</x:v>
      </x:c>
      <x:c r="J1092" s="207" t="str">
        <x:v>Остатки ткани 31.05.2026</x:v>
      </x:c>
      <x:c r="K1092" s="207" t="str"/>
      <x:c r="L1092" s="207" t="str"/>
      <x:c r="M1092" s="207" t="str">
        <x:v>Не рассмотрено</x:v>
      </x:c>
      <x:c r="N1092" s="207" t="str"/>
      <x:c r="O1092" s="207" t="str">
        <x:v>17</x:v>
      </x:c>
      <x:c r="P1092" s="207" t="n">
        <x:v>3</x:v>
      </x:c>
      <x:c r="Q1092" s="208" t="str">
        <x:v>Wave 2 (31–60 дней)</x:v>
      </x:c>
    </x:row>
    <x:row r="1093">
      <x:c r="A1093" s="206" t="str">
        <x:v>DEC-01089</x:v>
      </x:c>
      <x:c r="B1093" s="207" t="str">
        <x:v>Material master</x:v>
      </x:c>
      <x:c r="C1093" s="207" t="str">
        <x:v>MAT-DRAFT-0313</x:v>
      </x:c>
      <x:c r="D1093" s="207" t="str">
        <x:v>Unlinked</x:v>
      </x:c>
      <x:c r="E1093" s="207" t="str">
        <x:v>1 строк; 16100.00 руб.; 20-014</x:v>
      </x:c>
      <x:c r="F1093" s="207" t="str">
        <x:v>Подтвердить карточку, UOM, состав, цвет, поставщика и правила объединения</x:v>
      </x:c>
      <x:c r="G1093" s="207" t="str">
        <x:v>Закупки + склад</x:v>
      </x:c>
      <x:c r="H1093" s="207" t="str">
        <x:v>Высокий</x:v>
      </x:c>
      <x:c r="I1093" s="207" t="str">
        <x:v>Material aging; BOM; procurement; actual usage</x:v>
      </x:c>
      <x:c r="J1093" s="207" t="str">
        <x:v>Остатки ткани 31.05.2026</x:v>
      </x:c>
      <x:c r="K1093" s="207" t="str"/>
      <x:c r="L1093" s="207" t="str"/>
      <x:c r="M1093" s="207" t="str">
        <x:v>Не рассмотрено</x:v>
      </x:c>
      <x:c r="N1093" s="207" t="str"/>
      <x:c r="O1093" s="207" t="str">
        <x:v>17</x:v>
      </x:c>
      <x:c r="P1093" s="207" t="n">
        <x:v>3</x:v>
      </x:c>
      <x:c r="Q1093" s="208" t="str">
        <x:v>Wave 2 (31–60 дней)</x:v>
      </x:c>
    </x:row>
    <x:row r="1094">
      <x:c r="A1094" s="206" t="str">
        <x:v>DEC-01090</x:v>
      </x:c>
      <x:c r="B1094" s="207" t="str">
        <x:v>Material master</x:v>
      </x:c>
      <x:c r="C1094" s="207" t="str">
        <x:v>MAT-DRAFT-0314</x:v>
      </x:c>
      <x:c r="D1094" s="207" t="str">
        <x:v>Unlinked</x:v>
      </x:c>
      <x:c r="E1094" s="207" t="str">
        <x:v>1 строк; 6750.00 руб.; 20-033</x:v>
      </x:c>
      <x:c r="F1094" s="207" t="str">
        <x:v>Подтвердить карточку, UOM, состав, цвет, поставщика и правила объединения</x:v>
      </x:c>
      <x:c r="G1094" s="207" t="str">
        <x:v>Закупки + склад</x:v>
      </x:c>
      <x:c r="H1094" s="207" t="str">
        <x:v>Средний</x:v>
      </x:c>
      <x:c r="I1094" s="207" t="str">
        <x:v>Material aging; BOM; procurement; actual usage</x:v>
      </x:c>
      <x:c r="J1094" s="207" t="str">
        <x:v>Остатки ткани 31.05.2026</x:v>
      </x:c>
      <x:c r="K1094" s="207" t="str"/>
      <x:c r="L1094" s="207" t="str"/>
      <x:c r="M1094" s="207" t="str">
        <x:v>Не рассмотрено</x:v>
      </x:c>
      <x:c r="N1094" s="207" t="str"/>
      <x:c r="O1094" s="207" t="str">
        <x:v>17</x:v>
      </x:c>
      <x:c r="P1094" s="207" t="n">
        <x:v>2</x:v>
      </x:c>
      <x:c r="Q1094" s="208" t="str">
        <x:v>Wave 3 (61–90 дней)</x:v>
      </x:c>
    </x:row>
    <x:row r="1095">
      <x:c r="A1095" s="206" t="str">
        <x:v>DEC-01091</x:v>
      </x:c>
      <x:c r="B1095" s="207" t="str">
        <x:v>Material master</x:v>
      </x:c>
      <x:c r="C1095" s="207" t="str">
        <x:v>MAT-DRAFT-0315</x:v>
      </x:c>
      <x:c r="D1095" s="207" t="str">
        <x:v>Unlinked</x:v>
      </x:c>
      <x:c r="E1095" s="207" t="str">
        <x:v>2 строк; 10175.00 руб.; 20-025</x:v>
      </x:c>
      <x:c r="F1095" s="207" t="str">
        <x:v>Подтвердить карточку, UOM, состав, цвет, поставщика и правила объединения</x:v>
      </x:c>
      <x:c r="G1095" s="207" t="str">
        <x:v>Закупки + склад</x:v>
      </x:c>
      <x:c r="H1095" s="207" t="str">
        <x:v>Высокий</x:v>
      </x:c>
      <x:c r="I1095" s="207" t="str">
        <x:v>Material aging; BOM; procurement; actual usage</x:v>
      </x:c>
      <x:c r="J1095" s="207" t="str">
        <x:v>Остатки ткани 31.05.2026</x:v>
      </x:c>
      <x:c r="K1095" s="207" t="str"/>
      <x:c r="L1095" s="207" t="str"/>
      <x:c r="M1095" s="207" t="str">
        <x:v>Не рассмотрено</x:v>
      </x:c>
      <x:c r="N1095" s="207" t="str"/>
      <x:c r="O1095" s="207" t="str">
        <x:v>17</x:v>
      </x:c>
      <x:c r="P1095" s="207" t="n">
        <x:v>3</x:v>
      </x:c>
      <x:c r="Q1095" s="208" t="str">
        <x:v>Wave 2 (31–60 дней)</x:v>
      </x:c>
    </x:row>
    <x:row r="1096">
      <x:c r="A1096" s="206" t="str">
        <x:v>DEC-01092</x:v>
      </x:c>
      <x:c r="B1096" s="207" t="str">
        <x:v>Material master</x:v>
      </x:c>
      <x:c r="C1096" s="207" t="str">
        <x:v>MAT-DRAFT-0316</x:v>
      </x:c>
      <x:c r="D1096" s="207" t="str">
        <x:v>Unlinked</x:v>
      </x:c>
      <x:c r="E1096" s="207" t="str">
        <x:v>1 строк; 12250.00 руб.; 20-022</x:v>
      </x:c>
      <x:c r="F1096" s="207" t="str">
        <x:v>Подтвердить карточку, UOM, состав, цвет, поставщика и правила объединения</x:v>
      </x:c>
      <x:c r="G1096" s="207" t="str">
        <x:v>Закупки + склад</x:v>
      </x:c>
      <x:c r="H1096" s="207" t="str">
        <x:v>Высокий</x:v>
      </x:c>
      <x:c r="I1096" s="207" t="str">
        <x:v>Material aging; BOM; procurement; actual usage</x:v>
      </x:c>
      <x:c r="J1096" s="207" t="str">
        <x:v>Остатки ткани 31.05.2026</x:v>
      </x:c>
      <x:c r="K1096" s="207" t="str"/>
      <x:c r="L1096" s="207" t="str"/>
      <x:c r="M1096" s="207" t="str">
        <x:v>Не рассмотрено</x:v>
      </x:c>
      <x:c r="N1096" s="207" t="str"/>
      <x:c r="O1096" s="207" t="str">
        <x:v>17</x:v>
      </x:c>
      <x:c r="P1096" s="207" t="n">
        <x:v>3</x:v>
      </x:c>
      <x:c r="Q1096" s="208" t="str">
        <x:v>Wave 2 (31–60 дней)</x:v>
      </x:c>
    </x:row>
    <x:row r="1097">
      <x:c r="A1097" s="206" t="str">
        <x:v>DEC-01093</x:v>
      </x:c>
      <x:c r="B1097" s="207" t="str">
        <x:v>Material master</x:v>
      </x:c>
      <x:c r="C1097" s="207" t="str">
        <x:v>MAT-DRAFT-0317</x:v>
      </x:c>
      <x:c r="D1097" s="207" t="str">
        <x:v>Unlinked</x:v>
      </x:c>
      <x:c r="E1097" s="207" t="str">
        <x:v>1 строк; 8650.00 руб.; 20-020</x:v>
      </x:c>
      <x:c r="F1097" s="207" t="str">
        <x:v>Подтвердить карточку, UOM, состав, цвет, поставщика и правила объединения</x:v>
      </x:c>
      <x:c r="G1097" s="207" t="str">
        <x:v>Закупки + склад</x:v>
      </x:c>
      <x:c r="H1097" s="207" t="str">
        <x:v>Средний</x:v>
      </x:c>
      <x:c r="I1097" s="207" t="str">
        <x:v>Material aging; BOM; procurement; actual usage</x:v>
      </x:c>
      <x:c r="J1097" s="207" t="str">
        <x:v>Остатки ткани 31.05.2026</x:v>
      </x:c>
      <x:c r="K1097" s="207" t="str"/>
      <x:c r="L1097" s="207" t="str"/>
      <x:c r="M1097" s="207" t="str">
        <x:v>Не рассмотрено</x:v>
      </x:c>
      <x:c r="N1097" s="207" t="str"/>
      <x:c r="O1097" s="207" t="str">
        <x:v>17</x:v>
      </x:c>
      <x:c r="P1097" s="207" t="n">
        <x:v>2</x:v>
      </x:c>
      <x:c r="Q1097" s="208" t="str">
        <x:v>Wave 3 (61–90 дней)</x:v>
      </x:c>
    </x:row>
    <x:row r="1098">
      <x:c r="A1098" s="206" t="str">
        <x:v>DEC-01094</x:v>
      </x:c>
      <x:c r="B1098" s="207" t="str">
        <x:v>Material master</x:v>
      </x:c>
      <x:c r="C1098" s="207" t="str">
        <x:v>MAT-DRAFT-0318</x:v>
      </x:c>
      <x:c r="D1098" s="207" t="str">
        <x:v>Unlinked</x:v>
      </x:c>
      <x:c r="E1098" s="207" t="str">
        <x:v>1 строк; 3850.00 руб.; 20-036</x:v>
      </x:c>
      <x:c r="F1098" s="207" t="str">
        <x:v>Подтвердить карточку, UOM, состав, цвет, поставщика и правила объединения</x:v>
      </x:c>
      <x:c r="G1098" s="207" t="str">
        <x:v>Закупки + склад</x:v>
      </x:c>
      <x:c r="H1098" s="207" t="str">
        <x:v>Средний</x:v>
      </x:c>
      <x:c r="I1098" s="207" t="str">
        <x:v>Material aging; BOM; procurement; actual usage</x:v>
      </x:c>
      <x:c r="J1098" s="207" t="str">
        <x:v>Остатки ткани 31.05.2026</x:v>
      </x:c>
      <x:c r="K1098" s="207" t="str"/>
      <x:c r="L1098" s="207" t="str"/>
      <x:c r="M1098" s="207" t="str">
        <x:v>Не рассмотрено</x:v>
      </x:c>
      <x:c r="N1098" s="207" t="str"/>
      <x:c r="O1098" s="207" t="str">
        <x:v>17</x:v>
      </x:c>
      <x:c r="P1098" s="207" t="n">
        <x:v>2</x:v>
      </x:c>
      <x:c r="Q1098" s="208" t="str">
        <x:v>Wave 3 (61–90 дней)</x:v>
      </x:c>
    </x:row>
    <x:row r="1099">
      <x:c r="A1099" s="206" t="str">
        <x:v>DEC-01095</x:v>
      </x:c>
      <x:c r="B1099" s="207" t="str">
        <x:v>Material master</x:v>
      </x:c>
      <x:c r="C1099" s="207" t="str">
        <x:v>MAT-DRAFT-0319</x:v>
      </x:c>
      <x:c r="D1099" s="207" t="str">
        <x:v>Unlinked</x:v>
      </x:c>
      <x:c r="E1099" s="207" t="str">
        <x:v>1 строк; 8750.00 руб.; 20-001</x:v>
      </x:c>
      <x:c r="F1099" s="207" t="str">
        <x:v>Подтвердить карточку, UOM, состав, цвет, поставщика и правила объединения</x:v>
      </x:c>
      <x:c r="G1099" s="207" t="str">
        <x:v>Закупки + склад</x:v>
      </x:c>
      <x:c r="H1099" s="207" t="str">
        <x:v>Средний</x:v>
      </x:c>
      <x:c r="I1099" s="207" t="str">
        <x:v>Material aging; BOM; procurement; actual usage</x:v>
      </x:c>
      <x:c r="J1099" s="207" t="str">
        <x:v>Остатки ткани 31.05.2026</x:v>
      </x:c>
      <x:c r="K1099" s="207" t="str"/>
      <x:c r="L1099" s="207" t="str"/>
      <x:c r="M1099" s="207" t="str">
        <x:v>Не рассмотрено</x:v>
      </x:c>
      <x:c r="N1099" s="207" t="str"/>
      <x:c r="O1099" s="207" t="str">
        <x:v>17</x:v>
      </x:c>
      <x:c r="P1099" s="207" t="n">
        <x:v>2</x:v>
      </x:c>
      <x:c r="Q1099" s="208" t="str">
        <x:v>Wave 3 (61–90 дней)</x:v>
      </x:c>
    </x:row>
    <x:row r="1100">
      <x:c r="A1100" s="206" t="str">
        <x:v>DEC-01096</x:v>
      </x:c>
      <x:c r="B1100" s="207" t="str">
        <x:v>Material master</x:v>
      </x:c>
      <x:c r="C1100" s="207" t="str">
        <x:v>MAT-DRAFT-0320</x:v>
      </x:c>
      <x:c r="D1100" s="207" t="str">
        <x:v>Unlinked</x:v>
      </x:c>
      <x:c r="E1100" s="207" t="str">
        <x:v>3 строк; 16953.46 руб.; 20-016</x:v>
      </x:c>
      <x:c r="F1100" s="207" t="str">
        <x:v>Подтвердить карточку, UOM, состав, цвет, поставщика и правила объединения</x:v>
      </x:c>
      <x:c r="G1100" s="207" t="str">
        <x:v>Закупки + склад</x:v>
      </x:c>
      <x:c r="H1100" s="207" t="str">
        <x:v>Высокий</x:v>
      </x:c>
      <x:c r="I1100" s="207" t="str">
        <x:v>Material aging; BOM; procurement; actual usage</x:v>
      </x:c>
      <x:c r="J1100" s="207" t="str">
        <x:v>Остатки ткани 31.05.2026</x:v>
      </x:c>
      <x:c r="K1100" s="207" t="str"/>
      <x:c r="L1100" s="207" t="str"/>
      <x:c r="M1100" s="207" t="str">
        <x:v>Не рассмотрено</x:v>
      </x:c>
      <x:c r="N1100" s="207" t="str"/>
      <x:c r="O1100" s="207" t="str">
        <x:v>17</x:v>
      </x:c>
      <x:c r="P1100" s="207" t="n">
        <x:v>3</x:v>
      </x:c>
      <x:c r="Q1100" s="208" t="str">
        <x:v>Wave 2 (31–60 дней)</x:v>
      </x:c>
    </x:row>
    <x:row r="1101">
      <x:c r="A1101" s="206" t="str">
        <x:v>DEC-01097</x:v>
      </x:c>
      <x:c r="B1101" s="207" t="str">
        <x:v>Material master</x:v>
      </x:c>
      <x:c r="C1101" s="207" t="str">
        <x:v>MAT-DRAFT-0323</x:v>
      </x:c>
      <x:c r="D1101" s="207" t="str">
        <x:v>Unlinked</x:v>
      </x:c>
      <x:c r="E1101" s="207" t="str">
        <x:v>1 строк; 1610.00 руб.; 20-002</x:v>
      </x:c>
      <x:c r="F1101" s="207" t="str">
        <x:v>Подтвердить карточку, UOM, состав, цвет, поставщика и правила объединения</x:v>
      </x:c>
      <x:c r="G1101" s="207" t="str">
        <x:v>Закупки + склад</x:v>
      </x:c>
      <x:c r="H1101" s="207" t="str">
        <x:v>Средний</x:v>
      </x:c>
      <x:c r="I1101" s="207" t="str">
        <x:v>Material aging; BOM; procurement; actual usage</x:v>
      </x:c>
      <x:c r="J1101" s="207" t="str">
        <x:v>Остатки ткани 31.05.2026</x:v>
      </x:c>
      <x:c r="K1101" s="207" t="str"/>
      <x:c r="L1101" s="207" t="str"/>
      <x:c r="M1101" s="207" t="str">
        <x:v>Не рассмотрено</x:v>
      </x:c>
      <x:c r="N1101" s="207" t="str"/>
      <x:c r="O1101" s="207" t="str">
        <x:v>17</x:v>
      </x:c>
      <x:c r="P1101" s="207" t="n">
        <x:v>2</x:v>
      </x:c>
      <x:c r="Q1101" s="208" t="str">
        <x:v>Wave 3 (61–90 дней)</x:v>
      </x:c>
    </x:row>
    <x:row r="1102">
      <x:c r="A1102" s="206" t="str">
        <x:v>DEC-01098</x:v>
      </x:c>
      <x:c r="B1102" s="207" t="str">
        <x:v>Material master</x:v>
      </x:c>
      <x:c r="C1102" s="207" t="str">
        <x:v>MAT-DRAFT-0324</x:v>
      </x:c>
      <x:c r="D1102" s="207" t="str">
        <x:v>Unlinked</x:v>
      </x:c>
      <x:c r="E1102" s="207" t="str">
        <x:v>1 строк; 12600.00 руб.; 20-004</x:v>
      </x:c>
      <x:c r="F1102" s="207" t="str">
        <x:v>Подтвердить карточку, UOM, состав, цвет, поставщика и правила объединения</x:v>
      </x:c>
      <x:c r="G1102" s="207" t="str">
        <x:v>Закупки + склад</x:v>
      </x:c>
      <x:c r="H1102" s="207" t="str">
        <x:v>Высокий</x:v>
      </x:c>
      <x:c r="I1102" s="207" t="str">
        <x:v>Material aging; BOM; procurement; actual usage</x:v>
      </x:c>
      <x:c r="J1102" s="207" t="str">
        <x:v>Остатки ткани 31.05.2026</x:v>
      </x:c>
      <x:c r="K1102" s="207" t="str"/>
      <x:c r="L1102" s="207" t="str"/>
      <x:c r="M1102" s="207" t="str">
        <x:v>Не рассмотрено</x:v>
      </x:c>
      <x:c r="N1102" s="207" t="str"/>
      <x:c r="O1102" s="207" t="str">
        <x:v>17</x:v>
      </x:c>
      <x:c r="P1102" s="207" t="n">
        <x:v>3</x:v>
      </x:c>
      <x:c r="Q1102" s="208" t="str">
        <x:v>Wave 2 (31–60 дней)</x:v>
      </x:c>
    </x:row>
    <x:row r="1103">
      <x:c r="A1103" s="206" t="str">
        <x:v>DEC-01099</x:v>
      </x:c>
      <x:c r="B1103" s="207" t="str">
        <x:v>Material master</x:v>
      </x:c>
      <x:c r="C1103" s="207" t="str">
        <x:v>MAT-DRAFT-0326</x:v>
      </x:c>
      <x:c r="D1103" s="207" t="str">
        <x:v>Unlinked</x:v>
      </x:c>
      <x:c r="E1103" s="207" t="str">
        <x:v>2 строк; 156240.00 руб.; 2A-002</x:v>
      </x:c>
      <x:c r="F1103" s="207" t="str">
        <x:v>Подтвердить карточку, UOM, состав, цвет, поставщика и правила объединения</x:v>
      </x:c>
      <x:c r="G1103" s="207" t="str">
        <x:v>Закупки + склад</x:v>
      </x:c>
      <x:c r="H1103" s="207" t="str">
        <x:v>Критический</x:v>
      </x:c>
      <x:c r="I1103" s="207" t="str">
        <x:v>Material aging; BOM; procurement; actual usage</x:v>
      </x:c>
      <x:c r="J1103" s="207" t="str">
        <x:v>Остатки ткани 31.05.2026</x:v>
      </x:c>
      <x:c r="K1103" s="207" t="str"/>
      <x:c r="L1103" s="207" t="str"/>
      <x:c r="M1103" s="207" t="str">
        <x:v>Не рассмотрено</x:v>
      </x:c>
      <x:c r="N1103" s="207" t="str"/>
      <x:c r="O1103" s="207" t="str">
        <x:v>17</x:v>
      </x:c>
      <x:c r="P1103" s="207" t="n">
        <x:v>4</x:v>
      </x:c>
      <x:c r="Q1103" s="208" t="str">
        <x:v>Wave 1 (0–30 дней)</x:v>
      </x:c>
    </x:row>
    <x:row r="1104">
      <x:c r="A1104" s="206" t="str">
        <x:v>DEC-01100</x:v>
      </x:c>
      <x:c r="B1104" s="207" t="str">
        <x:v>Material master</x:v>
      </x:c>
      <x:c r="C1104" s="207" t="str">
        <x:v>MAT-DRAFT-0327</x:v>
      </x:c>
      <x:c r="D1104" s="207" t="str">
        <x:v>Unlinked</x:v>
      </x:c>
      <x:c r="E1104" s="207" t="str">
        <x:v>1 строк; 3300.00 руб.; 2-035</x:v>
      </x:c>
      <x:c r="F1104" s="207" t="str">
        <x:v>Подтвердить карточку, UOM, состав, цвет, поставщика и правила объединения</x:v>
      </x:c>
      <x:c r="G1104" s="207" t="str">
        <x:v>Закупки + склад</x:v>
      </x:c>
      <x:c r="H1104" s="207" t="str">
        <x:v>Средний</x:v>
      </x:c>
      <x:c r="I1104" s="207" t="str">
        <x:v>Material aging; BOM; procurement; actual usage</x:v>
      </x:c>
      <x:c r="J1104" s="207" t="str">
        <x:v>Остатки ткани 31.05.2026</x:v>
      </x:c>
      <x:c r="K1104" s="207" t="str"/>
      <x:c r="L1104" s="207" t="str"/>
      <x:c r="M1104" s="207" t="str">
        <x:v>Не рассмотрено</x:v>
      </x:c>
      <x:c r="N1104" s="207" t="str"/>
      <x:c r="O1104" s="207" t="str">
        <x:v>17</x:v>
      </x:c>
      <x:c r="P1104" s="207" t="n">
        <x:v>2</x:v>
      </x:c>
      <x:c r="Q1104" s="208" t="str">
        <x:v>Wave 3 (61–90 дней)</x:v>
      </x:c>
    </x:row>
    <x:row r="1105">
      <x:c r="A1105" s="206" t="str">
        <x:v>DEC-01101</x:v>
      </x:c>
      <x:c r="B1105" s="207" t="str">
        <x:v>Material master</x:v>
      </x:c>
      <x:c r="C1105" s="207" t="str">
        <x:v>MAT-DRAFT-0329</x:v>
      </x:c>
      <x:c r="D1105" s="207" t="str">
        <x:v>Несколько кодов; Несколько исходных наименований</x:v>
      </x:c>
      <x:c r="E1105" s="207" t="str">
        <x:v>5 строк; 134420.00 руб.; 2-005; 2-006; 2-013; 2-039</x:v>
      </x:c>
      <x:c r="F1105" s="207" t="str">
        <x:v>Подтвердить карточку, UOM, состав, цвет, поставщика и правила объединения</x:v>
      </x:c>
      <x:c r="G1105" s="207" t="str">
        <x:v>Закупки + склад</x:v>
      </x:c>
      <x:c r="H1105" s="207" t="str">
        <x:v>Высокий</x:v>
      </x:c>
      <x:c r="I1105" s="207" t="str">
        <x:v>Material aging; BOM; procurement; actual usage</x:v>
      </x:c>
      <x:c r="J1105" s="207" t="str">
        <x:v>Остатки ткани 31.05.2026</x:v>
      </x:c>
      <x:c r="K1105" s="207" t="str"/>
      <x:c r="L1105" s="207" t="str"/>
      <x:c r="M1105" s="207" t="str">
        <x:v>Не рассмотрено</x:v>
      </x:c>
      <x:c r="N1105" s="207" t="str"/>
      <x:c r="O1105" s="207" t="str">
        <x:v>17</x:v>
      </x:c>
      <x:c r="P1105" s="207" t="n">
        <x:v>3</x:v>
      </x:c>
      <x:c r="Q1105" s="208" t="str">
        <x:v>Wave 2 (31–60 дней)</x:v>
      </x:c>
    </x:row>
    <x:row r="1106">
      <x:c r="A1106" s="206" t="str">
        <x:v>DEC-01102</x:v>
      </x:c>
      <x:c r="B1106" s="207" t="str">
        <x:v>Material master</x:v>
      </x:c>
      <x:c r="C1106" s="207" t="str">
        <x:v>MAT-DRAFT-0330</x:v>
      </x:c>
      <x:c r="D1106" s="207" t="str">
        <x:v>Unlinked</x:v>
      </x:c>
      <x:c r="E1106" s="207" t="str">
        <x:v>1 строк; 34100.00 руб.; 2-033</x:v>
      </x:c>
      <x:c r="F1106" s="207" t="str">
        <x:v>Подтвердить карточку, UOM, состав, цвет, поставщика и правила объединения</x:v>
      </x:c>
      <x:c r="G1106" s="207" t="str">
        <x:v>Закупки + склад</x:v>
      </x:c>
      <x:c r="H1106" s="207" t="str">
        <x:v>Высокий</x:v>
      </x:c>
      <x:c r="I1106" s="207" t="str">
        <x:v>Material aging; BOM; procurement; actual usage</x:v>
      </x:c>
      <x:c r="J1106" s="207" t="str">
        <x:v>Остатки ткани 31.05.2026</x:v>
      </x:c>
      <x:c r="K1106" s="207" t="str"/>
      <x:c r="L1106" s="207" t="str"/>
      <x:c r="M1106" s="207" t="str">
        <x:v>Не рассмотрено</x:v>
      </x:c>
      <x:c r="N1106" s="207" t="str"/>
      <x:c r="O1106" s="207" t="str">
        <x:v>17</x:v>
      </x:c>
      <x:c r="P1106" s="207" t="n">
        <x:v>3</x:v>
      </x:c>
      <x:c r="Q1106" s="208" t="str">
        <x:v>Wave 2 (31–60 дней)</x:v>
      </x:c>
    </x:row>
    <x:row r="1107">
      <x:c r="A1107" s="206" t="str">
        <x:v>DEC-01103</x:v>
      </x:c>
      <x:c r="B1107" s="207" t="str">
        <x:v>Material master</x:v>
      </x:c>
      <x:c r="C1107" s="207" t="str">
        <x:v>MAT-DRAFT-0331</x:v>
      </x:c>
      <x:c r="D1107" s="207" t="str">
        <x:v>Нет кода</x:v>
      </x:c>
      <x:c r="E1107" s="207" t="str">
        <x:v>3 строк; 7632.00 руб.; </x:v>
      </x:c>
      <x:c r="F1107" s="207" t="str">
        <x:v>Подтвердить карточку, UOM, состав, цвет, поставщика и правила объединения</x:v>
      </x:c>
      <x:c r="G1107" s="207" t="str">
        <x:v>Закупки + склад</x:v>
      </x:c>
      <x:c r="H1107" s="207" t="str">
        <x:v>Средний</x:v>
      </x:c>
      <x:c r="I1107" s="207" t="str">
        <x:v>Material aging; BOM; procurement; actual usage</x:v>
      </x:c>
      <x:c r="J1107" s="207" t="str">
        <x:v>Остатки ткани 31.05.2026</x:v>
      </x:c>
      <x:c r="K1107" s="207" t="str"/>
      <x:c r="L1107" s="207" t="str"/>
      <x:c r="M1107" s="207" t="str">
        <x:v>Не рассмотрено</x:v>
      </x:c>
      <x:c r="N1107" s="207" t="str"/>
      <x:c r="O1107" s="207" t="str">
        <x:v>17</x:v>
      </x:c>
      <x:c r="P1107" s="207" t="n">
        <x:v>2</x:v>
      </x:c>
      <x:c r="Q1107" s="208" t="str">
        <x:v>Wave 3 (61–90 дней)</x:v>
      </x:c>
    </x:row>
    <x:row r="1108">
      <x:c r="A1108" s="206" t="str">
        <x:v>DEC-01104</x:v>
      </x:c>
      <x:c r="B1108" s="207" t="str">
        <x:v>Material master</x:v>
      </x:c>
      <x:c r="C1108" s="207" t="str">
        <x:v>MAT-DRAFT-0332</x:v>
      </x:c>
      <x:c r="D1108" s="207" t="str">
        <x:v>Unlinked</x:v>
      </x:c>
      <x:c r="E1108" s="207" t="str">
        <x:v>1 строк; 29700.00 руб.; 2-037</x:v>
      </x:c>
      <x:c r="F1108" s="207" t="str">
        <x:v>Подтвердить карточку, UOM, состав, цвет, поставщика и правила объединения</x:v>
      </x:c>
      <x:c r="G1108" s="207" t="str">
        <x:v>Закупки + склад</x:v>
      </x:c>
      <x:c r="H1108" s="207" t="str">
        <x:v>Высокий</x:v>
      </x:c>
      <x:c r="I1108" s="207" t="str">
        <x:v>Material aging; BOM; procurement; actual usage</x:v>
      </x:c>
      <x:c r="J1108" s="207" t="str">
        <x:v>Остатки ткани 31.05.2026</x:v>
      </x:c>
      <x:c r="K1108" s="207" t="str"/>
      <x:c r="L1108" s="207" t="str"/>
      <x:c r="M1108" s="207" t="str">
        <x:v>Не рассмотрено</x:v>
      </x:c>
      <x:c r="N1108" s="207" t="str"/>
      <x:c r="O1108" s="207" t="str">
        <x:v>17</x:v>
      </x:c>
      <x:c r="P1108" s="207" t="n">
        <x:v>3</x:v>
      </x:c>
      <x:c r="Q1108" s="208" t="str">
        <x:v>Wave 2 (31–60 дней)</x:v>
      </x:c>
    </x:row>
    <x:row r="1109">
      <x:c r="A1109" s="206" t="str">
        <x:v>DEC-01105</x:v>
      </x:c>
      <x:c r="B1109" s="207" t="str">
        <x:v>Material master</x:v>
      </x:c>
      <x:c r="C1109" s="207" t="str">
        <x:v>MAT-DRAFT-0333</x:v>
      </x:c>
      <x:c r="D1109" s="207" t="str">
        <x:v>Несколько кодов; Несколько исходных наименований</x:v>
      </x:c>
      <x:c r="E1109" s="207" t="str">
        <x:v>3 строк; 63140.00 руб.; 2-008; 2-010; 2-011</x:v>
      </x:c>
      <x:c r="F1109" s="207" t="str">
        <x:v>Подтвердить карточку, UOM, состав, цвет, поставщика и правила объединения</x:v>
      </x:c>
      <x:c r="G1109" s="207" t="str">
        <x:v>Закупки + склад</x:v>
      </x:c>
      <x:c r="H1109" s="207" t="str">
        <x:v>Высокий</x:v>
      </x:c>
      <x:c r="I1109" s="207" t="str">
        <x:v>Material aging; BOM; procurement; actual usage</x:v>
      </x:c>
      <x:c r="J1109" s="207" t="str">
        <x:v>Остатки ткани 31.05.2026</x:v>
      </x:c>
      <x:c r="K1109" s="207" t="str"/>
      <x:c r="L1109" s="207" t="str"/>
      <x:c r="M1109" s="207" t="str">
        <x:v>Не рассмотрено</x:v>
      </x:c>
      <x:c r="N1109" s="207" t="str"/>
      <x:c r="O1109" s="207" t="str">
        <x:v>17</x:v>
      </x:c>
      <x:c r="P1109" s="207" t="n">
        <x:v>3</x:v>
      </x:c>
      <x:c r="Q1109" s="208" t="str">
        <x:v>Wave 2 (31–60 дней)</x:v>
      </x:c>
    </x:row>
    <x:row r="1110">
      <x:c r="A1110" s="206" t="str">
        <x:v>DEC-01106</x:v>
      </x:c>
      <x:c r="B1110" s="207" t="str">
        <x:v>Material master</x:v>
      </x:c>
      <x:c r="C1110" s="207" t="str">
        <x:v>MAT-DRAFT-0334</x:v>
      </x:c>
      <x:c r="D1110" s="207" t="str">
        <x:v>Unlinked</x:v>
      </x:c>
      <x:c r="E1110" s="207" t="str">
        <x:v>1 строк; 39380.00 руб.; 2-009</x:v>
      </x:c>
      <x:c r="F1110" s="207" t="str">
        <x:v>Подтвердить карточку, UOM, состав, цвет, поставщика и правила объединения</x:v>
      </x:c>
      <x:c r="G1110" s="207" t="str">
        <x:v>Закупки + склад</x:v>
      </x:c>
      <x:c r="H1110" s="207" t="str">
        <x:v>Высокий</x:v>
      </x:c>
      <x:c r="I1110" s="207" t="str">
        <x:v>Material aging; BOM; procurement; actual usage</x:v>
      </x:c>
      <x:c r="J1110" s="207" t="str">
        <x:v>Остатки ткани 31.05.2026</x:v>
      </x:c>
      <x:c r="K1110" s="207" t="str"/>
      <x:c r="L1110" s="207" t="str"/>
      <x:c r="M1110" s="207" t="str">
        <x:v>Не рассмотрено</x:v>
      </x:c>
      <x:c r="N1110" s="207" t="str"/>
      <x:c r="O1110" s="207" t="str">
        <x:v>17</x:v>
      </x:c>
      <x:c r="P1110" s="207" t="n">
        <x:v>3</x:v>
      </x:c>
      <x:c r="Q1110" s="208" t="str">
        <x:v>Wave 2 (31–60 дней)</x:v>
      </x:c>
    </x:row>
    <x:row r="1111">
      <x:c r="A1111" s="206" t="str">
        <x:v>DEC-01107</x:v>
      </x:c>
      <x:c r="B1111" s="207" t="str">
        <x:v>Material master</x:v>
      </x:c>
      <x:c r="C1111" s="207" t="str">
        <x:v>MAT-DRAFT-0335</x:v>
      </x:c>
      <x:c r="D1111" s="207" t="str">
        <x:v>Unlinked</x:v>
      </x:c>
      <x:c r="E1111" s="207" t="str">
        <x:v>1 строк; 50930.00 руб.; 2-036</x:v>
      </x:c>
      <x:c r="F1111" s="207" t="str">
        <x:v>Подтвердить карточку, UOM, состав, цвет, поставщика и правила объединения</x:v>
      </x:c>
      <x:c r="G1111" s="207" t="str">
        <x:v>Закупки + склад</x:v>
      </x:c>
      <x:c r="H1111" s="207" t="str">
        <x:v>Высокий</x:v>
      </x:c>
      <x:c r="I1111" s="207" t="str">
        <x:v>Material aging; BOM; procurement; actual usage</x:v>
      </x:c>
      <x:c r="J1111" s="207" t="str">
        <x:v>Остатки ткани 31.05.2026</x:v>
      </x:c>
      <x:c r="K1111" s="207" t="str"/>
      <x:c r="L1111" s="207" t="str"/>
      <x:c r="M1111" s="207" t="str">
        <x:v>Не рассмотрено</x:v>
      </x:c>
      <x:c r="N1111" s="207" t="str"/>
      <x:c r="O1111" s="207" t="str">
        <x:v>17</x:v>
      </x:c>
      <x:c r="P1111" s="207" t="n">
        <x:v>3</x:v>
      </x:c>
      <x:c r="Q1111" s="208" t="str">
        <x:v>Wave 2 (31–60 дней)</x:v>
      </x:c>
    </x:row>
    <x:row r="1112">
      <x:c r="A1112" s="206" t="str">
        <x:v>DEC-01108</x:v>
      </x:c>
      <x:c r="B1112" s="207" t="str">
        <x:v>Material master</x:v>
      </x:c>
      <x:c r="C1112" s="207" t="str">
        <x:v>MAT-DRAFT-0337</x:v>
      </x:c>
      <x:c r="D1112" s="207" t="str">
        <x:v>Несколько кодов; Несколько исходных наименований</x:v>
      </x:c>
      <x:c r="E1112" s="207" t="str">
        <x:v>4 строк; 62040.00 руб.; 2-021; 2-022; 2-040</x:v>
      </x:c>
      <x:c r="F1112" s="207" t="str">
        <x:v>Подтвердить карточку, UOM, состав, цвет, поставщика и правила объединения</x:v>
      </x:c>
      <x:c r="G1112" s="207" t="str">
        <x:v>Закупки + склад</x:v>
      </x:c>
      <x:c r="H1112" s="207" t="str">
        <x:v>Высокий</x:v>
      </x:c>
      <x:c r="I1112" s="207" t="str">
        <x:v>Material aging; BOM; procurement; actual usage</x:v>
      </x:c>
      <x:c r="J1112" s="207" t="str">
        <x:v>Остатки ткани 31.05.2026</x:v>
      </x:c>
      <x:c r="K1112" s="207" t="str"/>
      <x:c r="L1112" s="207" t="str"/>
      <x:c r="M1112" s="207" t="str">
        <x:v>Не рассмотрено</x:v>
      </x:c>
      <x:c r="N1112" s="207" t="str"/>
      <x:c r="O1112" s="207" t="str">
        <x:v>17</x:v>
      </x:c>
      <x:c r="P1112" s="207" t="n">
        <x:v>3</x:v>
      </x:c>
      <x:c r="Q1112" s="208" t="str">
        <x:v>Wave 2 (31–60 дней)</x:v>
      </x:c>
    </x:row>
    <x:row r="1113">
      <x:c r="A1113" s="206" t="str">
        <x:v>DEC-01109</x:v>
      </x:c>
      <x:c r="B1113" s="207" t="str">
        <x:v>Material master</x:v>
      </x:c>
      <x:c r="C1113" s="207" t="str">
        <x:v>MAT-DRAFT-0338</x:v>
      </x:c>
      <x:c r="D1113" s="207" t="str">
        <x:v>Unlinked</x:v>
      </x:c>
      <x:c r="E1113" s="207" t="str">
        <x:v>1 строк; 51260.00 руб.; 2-016</x:v>
      </x:c>
      <x:c r="F1113" s="207" t="str">
        <x:v>Подтвердить карточку, UOM, состав, цвет, поставщика и правила объединения</x:v>
      </x:c>
      <x:c r="G1113" s="207" t="str">
        <x:v>Закупки + склад</x:v>
      </x:c>
      <x:c r="H1113" s="207" t="str">
        <x:v>Высокий</x:v>
      </x:c>
      <x:c r="I1113" s="207" t="str">
        <x:v>Material aging; BOM; procurement; actual usage</x:v>
      </x:c>
      <x:c r="J1113" s="207" t="str">
        <x:v>Остатки ткани 31.05.2026</x:v>
      </x:c>
      <x:c r="K1113" s="207" t="str"/>
      <x:c r="L1113" s="207" t="str"/>
      <x:c r="M1113" s="207" t="str">
        <x:v>Не рассмотрено</x:v>
      </x:c>
      <x:c r="N1113" s="207" t="str"/>
      <x:c r="O1113" s="207" t="str">
        <x:v>17</x:v>
      </x:c>
      <x:c r="P1113" s="207" t="n">
        <x:v>3</x:v>
      </x:c>
      <x:c r="Q1113" s="208" t="str">
        <x:v>Wave 2 (31–60 дней)</x:v>
      </x:c>
    </x:row>
    <x:row r="1114">
      <x:c r="A1114" s="206" t="str">
        <x:v>DEC-01110</x:v>
      </x:c>
      <x:c r="B1114" s="207" t="str">
        <x:v>Material master</x:v>
      </x:c>
      <x:c r="C1114" s="207" t="str">
        <x:v>MAT-DRAFT-0339</x:v>
      </x:c>
      <x:c r="D1114" s="207" t="str">
        <x:v>Unlinked</x:v>
      </x:c>
      <x:c r="E1114" s="207" t="str">
        <x:v>1 строк; 6380.00 руб.; 2-014</x:v>
      </x:c>
      <x:c r="F1114" s="207" t="str">
        <x:v>Подтвердить карточку, UOM, состав, цвет, поставщика и правила объединения</x:v>
      </x:c>
      <x:c r="G1114" s="207" t="str">
        <x:v>Закупки + склад</x:v>
      </x:c>
      <x:c r="H1114" s="207" t="str">
        <x:v>Средний</x:v>
      </x:c>
      <x:c r="I1114" s="207" t="str">
        <x:v>Material aging; BOM; procurement; actual usage</x:v>
      </x:c>
      <x:c r="J1114" s="207" t="str">
        <x:v>Остатки ткани 31.05.2026</x:v>
      </x:c>
      <x:c r="K1114" s="207" t="str"/>
      <x:c r="L1114" s="207" t="str"/>
      <x:c r="M1114" s="207" t="str">
        <x:v>Не рассмотрено</x:v>
      </x:c>
      <x:c r="N1114" s="207" t="str"/>
      <x:c r="O1114" s="207" t="str">
        <x:v>17</x:v>
      </x:c>
      <x:c r="P1114" s="207" t="n">
        <x:v>2</x:v>
      </x:c>
      <x:c r="Q1114" s="208" t="str">
        <x:v>Wave 3 (61–90 дней)</x:v>
      </x:c>
    </x:row>
    <x:row r="1115">
      <x:c r="A1115" s="206" t="str">
        <x:v>DEC-01111</x:v>
      </x:c>
      <x:c r="B1115" s="207" t="str">
        <x:v>Material master</x:v>
      </x:c>
      <x:c r="C1115" s="207" t="str">
        <x:v>MAT-DRAFT-0340</x:v>
      </x:c>
      <x:c r="D1115" s="207" t="str">
        <x:v>Несколько кодов; Несколько исходных наименований</x:v>
      </x:c>
      <x:c r="E1115" s="207" t="str">
        <x:v>2 строк; 57200.00 руб.; 2-028; 2-032</x:v>
      </x:c>
      <x:c r="F1115" s="207" t="str">
        <x:v>Подтвердить карточку, UOM, состав, цвет, поставщика и правила объединения</x:v>
      </x:c>
      <x:c r="G1115" s="207" t="str">
        <x:v>Закупки + склад</x:v>
      </x:c>
      <x:c r="H1115" s="207" t="str">
        <x:v>Высокий</x:v>
      </x:c>
      <x:c r="I1115" s="207" t="str">
        <x:v>Material aging; BOM; procurement; actual usage</x:v>
      </x:c>
      <x:c r="J1115" s="207" t="str">
        <x:v>Остатки ткани 31.05.2026</x:v>
      </x:c>
      <x:c r="K1115" s="207" t="str"/>
      <x:c r="L1115" s="207" t="str"/>
      <x:c r="M1115" s="207" t="str">
        <x:v>Не рассмотрено</x:v>
      </x:c>
      <x:c r="N1115" s="207" t="str"/>
      <x:c r="O1115" s="207" t="str">
        <x:v>17</x:v>
      </x:c>
      <x:c r="P1115" s="207" t="n">
        <x:v>3</x:v>
      </x:c>
      <x:c r="Q1115" s="208" t="str">
        <x:v>Wave 2 (31–60 дней)</x:v>
      </x:c>
    </x:row>
    <x:row r="1116">
      <x:c r="A1116" s="206" t="str">
        <x:v>DEC-01112</x:v>
      </x:c>
      <x:c r="B1116" s="207" t="str">
        <x:v>Material master</x:v>
      </x:c>
      <x:c r="C1116" s="207" t="str">
        <x:v>MAT-DRAFT-0341</x:v>
      </x:c>
      <x:c r="D1116" s="207" t="str">
        <x:v>Unlinked</x:v>
      </x:c>
      <x:c r="E1116" s="207" t="str">
        <x:v>1 строк; 10340.00 руб.; 2-O-005</x:v>
      </x:c>
      <x:c r="F1116" s="207" t="str">
        <x:v>Подтвердить карточку, UOM, состав, цвет, поставщика и правила объединения</x:v>
      </x:c>
      <x:c r="G1116" s="207" t="str">
        <x:v>Закупки + склад</x:v>
      </x:c>
      <x:c r="H1116" s="207" t="str">
        <x:v>Высокий</x:v>
      </x:c>
      <x:c r="I1116" s="207" t="str">
        <x:v>Material aging; BOM; procurement; actual usage</x:v>
      </x:c>
      <x:c r="J1116" s="207" t="str">
        <x:v>Остатки ткани 31.05.2026</x:v>
      </x:c>
      <x:c r="K1116" s="207" t="str"/>
      <x:c r="L1116" s="207" t="str"/>
      <x:c r="M1116" s="207" t="str">
        <x:v>Не рассмотрено</x:v>
      </x:c>
      <x:c r="N1116" s="207" t="str"/>
      <x:c r="O1116" s="207" t="str">
        <x:v>17</x:v>
      </x:c>
      <x:c r="P1116" s="207" t="n">
        <x:v>3</x:v>
      </x:c>
      <x:c r="Q1116" s="208" t="str">
        <x:v>Wave 2 (31–60 дней)</x:v>
      </x:c>
    </x:row>
    <x:row r="1117">
      <x:c r="A1117" s="206" t="str">
        <x:v>DEC-01113</x:v>
      </x:c>
      <x:c r="B1117" s="207" t="str">
        <x:v>Material master</x:v>
      </x:c>
      <x:c r="C1117" s="207" t="str">
        <x:v>MAT-DRAFT-0342</x:v>
      </x:c>
      <x:c r="D1117" s="207" t="str">
        <x:v>Несколько кодов; Несколько исходных наименований</x:v>
      </x:c>
      <x:c r="E1117" s="207" t="str">
        <x:v>3 строк; 50050.00 руб.; 2-025; 2-026; 2-030</x:v>
      </x:c>
      <x:c r="F1117" s="207" t="str">
        <x:v>Подтвердить карточку, UOM, состав, цвет, поставщика и правила объединения</x:v>
      </x:c>
      <x:c r="G1117" s="207" t="str">
        <x:v>Закупки + склад</x:v>
      </x:c>
      <x:c r="H1117" s="207" t="str">
        <x:v>Высокий</x:v>
      </x:c>
      <x:c r="I1117" s="207" t="str">
        <x:v>Material aging; BOM; procurement; actual usage</x:v>
      </x:c>
      <x:c r="J1117" s="207" t="str">
        <x:v>Остатки ткани 31.05.2026</x:v>
      </x:c>
      <x:c r="K1117" s="207" t="str"/>
      <x:c r="L1117" s="207" t="str"/>
      <x:c r="M1117" s="207" t="str">
        <x:v>Не рассмотрено</x:v>
      </x:c>
      <x:c r="N1117" s="207" t="str"/>
      <x:c r="O1117" s="207" t="str">
        <x:v>17</x:v>
      </x:c>
      <x:c r="P1117" s="207" t="n">
        <x:v>3</x:v>
      </x:c>
      <x:c r="Q1117" s="208" t="str">
        <x:v>Wave 2 (31–60 дней)</x:v>
      </x:c>
    </x:row>
    <x:row r="1118">
      <x:c r="A1118" s="206" t="str">
        <x:v>DEC-01114</x:v>
      </x:c>
      <x:c r="B1118" s="207" t="str">
        <x:v>Material master</x:v>
      </x:c>
      <x:c r="C1118" s="207" t="str">
        <x:v>MAT-DRAFT-0343</x:v>
      </x:c>
      <x:c r="D1118" s="207" t="str">
        <x:v>Unlinked</x:v>
      </x:c>
      <x:c r="E1118" s="207" t="str">
        <x:v>2 строк; 41690.00 руб.; 2-038</x:v>
      </x:c>
      <x:c r="F1118" s="207" t="str">
        <x:v>Подтвердить карточку, UOM, состав, цвет, поставщика и правила объединения</x:v>
      </x:c>
      <x:c r="G1118" s="207" t="str">
        <x:v>Закупки + склад</x:v>
      </x:c>
      <x:c r="H1118" s="207" t="str">
        <x:v>Высокий</x:v>
      </x:c>
      <x:c r="I1118" s="207" t="str">
        <x:v>Material aging; BOM; procurement; actual usage</x:v>
      </x:c>
      <x:c r="J1118" s="207" t="str">
        <x:v>Остатки ткани 31.05.2026</x:v>
      </x:c>
      <x:c r="K1118" s="207" t="str"/>
      <x:c r="L1118" s="207" t="str"/>
      <x:c r="M1118" s="207" t="str">
        <x:v>Не рассмотрено</x:v>
      </x:c>
      <x:c r="N1118" s="207" t="str"/>
      <x:c r="O1118" s="207" t="str">
        <x:v>17</x:v>
      </x:c>
      <x:c r="P1118" s="207" t="n">
        <x:v>3</x:v>
      </x:c>
      <x:c r="Q1118" s="208" t="str">
        <x:v>Wave 2 (31–60 дней)</x:v>
      </x:c>
    </x:row>
    <x:row r="1119">
      <x:c r="A1119" s="206" t="str">
        <x:v>DEC-01115</x:v>
      </x:c>
      <x:c r="B1119" s="207" t="str">
        <x:v>Material master</x:v>
      </x:c>
      <x:c r="C1119" s="207" t="str">
        <x:v>MAT-DRAFT-0344</x:v>
      </x:c>
      <x:c r="D1119" s="207" t="str">
        <x:v>Несколько кодов; Несколько исходных наименований</x:v>
      </x:c>
      <x:c r="E1119" s="207" t="str">
        <x:v>4 строк; 66220.00 руб.; 2-018; 2-019; 2-041</x:v>
      </x:c>
      <x:c r="F1119" s="207" t="str">
        <x:v>Подтвердить карточку, UOM, состав, цвет, поставщика и правила объединения</x:v>
      </x:c>
      <x:c r="G1119" s="207" t="str">
        <x:v>Закупки + склад</x:v>
      </x:c>
      <x:c r="H1119" s="207" t="str">
        <x:v>Высокий</x:v>
      </x:c>
      <x:c r="I1119" s="207" t="str">
        <x:v>Material aging; BOM; procurement; actual usage</x:v>
      </x:c>
      <x:c r="J1119" s="207" t="str">
        <x:v>Остатки ткани 31.05.2026</x:v>
      </x:c>
      <x:c r="K1119" s="207" t="str"/>
      <x:c r="L1119" s="207" t="str"/>
      <x:c r="M1119" s="207" t="str">
        <x:v>Не рассмотрено</x:v>
      </x:c>
      <x:c r="N1119" s="207" t="str"/>
      <x:c r="O1119" s="207" t="str">
        <x:v>17</x:v>
      </x:c>
      <x:c r="P1119" s="207" t="n">
        <x:v>3</x:v>
      </x:c>
      <x:c r="Q1119" s="208" t="str">
        <x:v>Wave 2 (31–60 дней)</x:v>
      </x:c>
    </x:row>
    <x:row r="1120">
      <x:c r="A1120" s="206" t="str">
        <x:v>DEC-01116</x:v>
      </x:c>
      <x:c r="B1120" s="207" t="str">
        <x:v>Material master</x:v>
      </x:c>
      <x:c r="C1120" s="207" t="str">
        <x:v>MAT-DRAFT-0345</x:v>
      </x:c>
      <x:c r="D1120" s="207" t="str">
        <x:v>Unlinked</x:v>
      </x:c>
      <x:c r="E1120" s="207" t="str">
        <x:v>1 строк; 36520.00 руб.; 2-029</x:v>
      </x:c>
      <x:c r="F1120" s="207" t="str">
        <x:v>Подтвердить карточку, UOM, состав, цвет, поставщика и правила объединения</x:v>
      </x:c>
      <x:c r="G1120" s="207" t="str">
        <x:v>Закупки + склад</x:v>
      </x:c>
      <x:c r="H1120" s="207" t="str">
        <x:v>Высокий</x:v>
      </x:c>
      <x:c r="I1120" s="207" t="str">
        <x:v>Material aging; BOM; procurement; actual usage</x:v>
      </x:c>
      <x:c r="J1120" s="207" t="str">
        <x:v>Остатки ткани 31.05.2026</x:v>
      </x:c>
      <x:c r="K1120" s="207" t="str"/>
      <x:c r="L1120" s="207" t="str"/>
      <x:c r="M1120" s="207" t="str">
        <x:v>Не рассмотрено</x:v>
      </x:c>
      <x:c r="N1120" s="207" t="str"/>
      <x:c r="O1120" s="207" t="str">
        <x:v>17</x:v>
      </x:c>
      <x:c r="P1120" s="207" t="n">
        <x:v>3</x:v>
      </x:c>
      <x:c r="Q1120" s="208" t="str">
        <x:v>Wave 2 (31–60 дней)</x:v>
      </x:c>
    </x:row>
    <x:row r="1121">
      <x:c r="A1121" s="206" t="str">
        <x:v>DEC-01117</x:v>
      </x:c>
      <x:c r="B1121" s="207" t="str">
        <x:v>Material master</x:v>
      </x:c>
      <x:c r="C1121" s="207" t="str">
        <x:v>MAT-DRAFT-0346</x:v>
      </x:c>
      <x:c r="D1121" s="207" t="str">
        <x:v>Нет кода</x:v>
      </x:c>
      <x:c r="E1121" s="207" t="str">
        <x:v>2 строк; 64680.00 руб.; </x:v>
      </x:c>
      <x:c r="F1121" s="207" t="str">
        <x:v>Подтвердить карточку, UOM, состав, цвет, поставщика и правила объединения</x:v>
      </x:c>
      <x:c r="G1121" s="207" t="str">
        <x:v>Закупки + склад</x:v>
      </x:c>
      <x:c r="H1121" s="207" t="str">
        <x:v>Высокий</x:v>
      </x:c>
      <x:c r="I1121" s="207" t="str">
        <x:v>Material aging; BOM; procurement; actual usage</x:v>
      </x:c>
      <x:c r="J1121" s="207" t="str">
        <x:v>Остатки ткани 31.05.2026</x:v>
      </x:c>
      <x:c r="K1121" s="207" t="str"/>
      <x:c r="L1121" s="207" t="str"/>
      <x:c r="M1121" s="207" t="str">
        <x:v>Не рассмотрено</x:v>
      </x:c>
      <x:c r="N1121" s="207" t="str"/>
      <x:c r="O1121" s="207" t="str">
        <x:v>17</x:v>
      </x:c>
      <x:c r="P1121" s="207" t="n">
        <x:v>3</x:v>
      </x:c>
      <x:c r="Q1121" s="208" t="str">
        <x:v>Wave 2 (31–60 дней)</x:v>
      </x:c>
    </x:row>
    <x:row r="1122">
      <x:c r="A1122" s="206" t="str">
        <x:v>DEC-01118</x:v>
      </x:c>
      <x:c r="B1122" s="207" t="str">
        <x:v>Material master</x:v>
      </x:c>
      <x:c r="C1122" s="207" t="str">
        <x:v>MAT-DRAFT-0347</x:v>
      </x:c>
      <x:c r="D1122" s="207" t="str">
        <x:v>Unlinked</x:v>
      </x:c>
      <x:c r="E1122" s="207" t="str">
        <x:v>1 строк; 35640.00 руб.; 2-042</x:v>
      </x:c>
      <x:c r="F1122" s="207" t="str">
        <x:v>Подтвердить карточку, UOM, состав, цвет, поставщика и правила объединения</x:v>
      </x:c>
      <x:c r="G1122" s="207" t="str">
        <x:v>Закупки + склад</x:v>
      </x:c>
      <x:c r="H1122" s="207" t="str">
        <x:v>Высокий</x:v>
      </x:c>
      <x:c r="I1122" s="207" t="str">
        <x:v>Material aging; BOM; procurement; actual usage</x:v>
      </x:c>
      <x:c r="J1122" s="207" t="str">
        <x:v>Остатки ткани 31.05.2026</x:v>
      </x:c>
      <x:c r="K1122" s="207" t="str"/>
      <x:c r="L1122" s="207" t="str"/>
      <x:c r="M1122" s="207" t="str">
        <x:v>Не рассмотрено</x:v>
      </x:c>
      <x:c r="N1122" s="207" t="str"/>
      <x:c r="O1122" s="207" t="str">
        <x:v>17</x:v>
      </x:c>
      <x:c r="P1122" s="207" t="n">
        <x:v>3</x:v>
      </x:c>
      <x:c r="Q1122" s="208" t="str">
        <x:v>Wave 2 (31–60 дней)</x:v>
      </x:c>
    </x:row>
    <x:row r="1123">
      <x:c r="A1123" s="206" t="str">
        <x:v>DEC-01119</x:v>
      </x:c>
      <x:c r="B1123" s="207" t="str">
        <x:v>Material master</x:v>
      </x:c>
      <x:c r="C1123" s="207" t="str">
        <x:v>MAT-DRAFT-0349</x:v>
      </x:c>
      <x:c r="D1123" s="207" t="str">
        <x:v>Unlinked</x:v>
      </x:c>
      <x:c r="E1123" s="207" t="str">
        <x:v>1 строк; 18040.00 руб.; 2-024</x:v>
      </x:c>
      <x:c r="F1123" s="207" t="str">
        <x:v>Подтвердить карточку, UOM, состав, цвет, поставщика и правила объединения</x:v>
      </x:c>
      <x:c r="G1123" s="207" t="str">
        <x:v>Закупки + склад</x:v>
      </x:c>
      <x:c r="H1123" s="207" t="str">
        <x:v>Высокий</x:v>
      </x:c>
      <x:c r="I1123" s="207" t="str">
        <x:v>Material aging; BOM; procurement; actual usage</x:v>
      </x:c>
      <x:c r="J1123" s="207" t="str">
        <x:v>Остатки ткани 31.05.2026</x:v>
      </x:c>
      <x:c r="K1123" s="207" t="str"/>
      <x:c r="L1123" s="207" t="str"/>
      <x:c r="M1123" s="207" t="str">
        <x:v>Не рассмотрено</x:v>
      </x:c>
      <x:c r="N1123" s="207" t="str"/>
      <x:c r="O1123" s="207" t="str">
        <x:v>17</x:v>
      </x:c>
      <x:c r="P1123" s="207" t="n">
        <x:v>3</x:v>
      </x:c>
      <x:c r="Q1123" s="208" t="str">
        <x:v>Wave 2 (31–60 дней)</x:v>
      </x:c>
    </x:row>
    <x:row r="1124">
      <x:c r="A1124" s="206" t="str">
        <x:v>DEC-01120</x:v>
      </x:c>
      <x:c r="B1124" s="207" t="str">
        <x:v>Material master</x:v>
      </x:c>
      <x:c r="C1124" s="207" t="str">
        <x:v>MAT-DRAFT-0350</x:v>
      </x:c>
      <x:c r="D1124" s="207" t="str">
        <x:v>Несколько кодов; Несколько исходных наименований</x:v>
      </x:c>
      <x:c r="E1124" s="207" t="str">
        <x:v>2 строк; 19750.00 руб.; 23-010; 23-038</x:v>
      </x:c>
      <x:c r="F1124" s="207" t="str">
        <x:v>Подтвердить карточку, UOM, состав, цвет, поставщика и правила объединения</x:v>
      </x:c>
      <x:c r="G1124" s="207" t="str">
        <x:v>Закупки + склад</x:v>
      </x:c>
      <x:c r="H1124" s="207" t="str">
        <x:v>Высокий</x:v>
      </x:c>
      <x:c r="I1124" s="207" t="str">
        <x:v>Material aging; BOM; procurement; actual usage</x:v>
      </x:c>
      <x:c r="J1124" s="207" t="str">
        <x:v>Остатки ткани 31.05.2026</x:v>
      </x:c>
      <x:c r="K1124" s="207" t="str"/>
      <x:c r="L1124" s="207" t="str"/>
      <x:c r="M1124" s="207" t="str">
        <x:v>Не рассмотрено</x:v>
      </x:c>
      <x:c r="N1124" s="207" t="str"/>
      <x:c r="O1124" s="207" t="str">
        <x:v>17</x:v>
      </x:c>
      <x:c r="P1124" s="207" t="n">
        <x:v>3</x:v>
      </x:c>
      <x:c r="Q1124" s="208" t="str">
        <x:v>Wave 2 (31–60 дней)</x:v>
      </x:c>
    </x:row>
    <x:row r="1125">
      <x:c r="A1125" s="206" t="str">
        <x:v>DEC-01121</x:v>
      </x:c>
      <x:c r="B1125" s="207" t="str">
        <x:v>Material master</x:v>
      </x:c>
      <x:c r="C1125" s="207" t="str">
        <x:v>MAT-DRAFT-0351</x:v>
      </x:c>
      <x:c r="D1125" s="207" t="str">
        <x:v>Unlinked</x:v>
      </x:c>
      <x:c r="E1125" s="207" t="str">
        <x:v>1 строк; 7470.00 руб.; 23-040</x:v>
      </x:c>
      <x:c r="F1125" s="207" t="str">
        <x:v>Подтвердить карточку, UOM, состав, цвет, поставщика и правила объединения</x:v>
      </x:c>
      <x:c r="G1125" s="207" t="str">
        <x:v>Закупки + склад</x:v>
      </x:c>
      <x:c r="H1125" s="207" t="str">
        <x:v>Средний</x:v>
      </x:c>
      <x:c r="I1125" s="207" t="str">
        <x:v>Material aging; BOM; procurement; actual usage</x:v>
      </x:c>
      <x:c r="J1125" s="207" t="str">
        <x:v>Остатки ткани 31.05.2026</x:v>
      </x:c>
      <x:c r="K1125" s="207" t="str"/>
      <x:c r="L1125" s="207" t="str"/>
      <x:c r="M1125" s="207" t="str">
        <x:v>Не рассмотрено</x:v>
      </x:c>
      <x:c r="N1125" s="207" t="str"/>
      <x:c r="O1125" s="207" t="str">
        <x:v>17</x:v>
      </x:c>
      <x:c r="P1125" s="207" t="n">
        <x:v>2</x:v>
      </x:c>
      <x:c r="Q1125" s="208" t="str">
        <x:v>Wave 3 (61–90 дней)</x:v>
      </x:c>
    </x:row>
    <x:row r="1126">
      <x:c r="A1126" s="206" t="str">
        <x:v>DEC-01122</x:v>
      </x:c>
      <x:c r="B1126" s="207" t="str">
        <x:v>Material master</x:v>
      </x:c>
      <x:c r="C1126" s="207" t="str">
        <x:v>MAT-DRAFT-0353</x:v>
      </x:c>
      <x:c r="D1126" s="207" t="str">
        <x:v>Unlinked</x:v>
      </x:c>
      <x:c r="E1126" s="207" t="str">
        <x:v>1 строк; 3700.00 руб.; 23-009</x:v>
      </x:c>
      <x:c r="F1126" s="207" t="str">
        <x:v>Подтвердить карточку, UOM, состав, цвет, поставщика и правила объединения</x:v>
      </x:c>
      <x:c r="G1126" s="207" t="str">
        <x:v>Закупки + склад</x:v>
      </x:c>
      <x:c r="H1126" s="207" t="str">
        <x:v>Средний</x:v>
      </x:c>
      <x:c r="I1126" s="207" t="str">
        <x:v>Material aging; BOM; procurement; actual usage</x:v>
      </x:c>
      <x:c r="J1126" s="207" t="str">
        <x:v>Остатки ткани 31.05.2026</x:v>
      </x:c>
      <x:c r="K1126" s="207" t="str"/>
      <x:c r="L1126" s="207" t="str"/>
      <x:c r="M1126" s="207" t="str">
        <x:v>Не рассмотрено</x:v>
      </x:c>
      <x:c r="N1126" s="207" t="str"/>
      <x:c r="O1126" s="207" t="str">
        <x:v>17</x:v>
      </x:c>
      <x:c r="P1126" s="207" t="n">
        <x:v>2</x:v>
      </x:c>
      <x:c r="Q1126" s="208" t="str">
        <x:v>Wave 3 (61–90 дней)</x:v>
      </x:c>
    </x:row>
    <x:row r="1127">
      <x:c r="A1127" s="206" t="str">
        <x:v>DEC-01123</x:v>
      </x:c>
      <x:c r="B1127" s="207" t="str">
        <x:v>Material master</x:v>
      </x:c>
      <x:c r="C1127" s="207" t="str">
        <x:v>MAT-DRAFT-0354</x:v>
      </x:c>
      <x:c r="D1127" s="207" t="str">
        <x:v>Unlinked</x:v>
      </x:c>
      <x:c r="E1127" s="207" t="str">
        <x:v>1 строк; 7475.00 руб.; 23-020</x:v>
      </x:c>
      <x:c r="F1127" s="207" t="str">
        <x:v>Подтвердить карточку, UOM, состав, цвет, поставщика и правила объединения</x:v>
      </x:c>
      <x:c r="G1127" s="207" t="str">
        <x:v>Закупки + склад</x:v>
      </x:c>
      <x:c r="H1127" s="207" t="str">
        <x:v>Средний</x:v>
      </x:c>
      <x:c r="I1127" s="207" t="str">
        <x:v>Material aging; BOM; procurement; actual usage</x:v>
      </x:c>
      <x:c r="J1127" s="207" t="str">
        <x:v>Остатки ткани 31.05.2026</x:v>
      </x:c>
      <x:c r="K1127" s="207" t="str"/>
      <x:c r="L1127" s="207" t="str"/>
      <x:c r="M1127" s="207" t="str">
        <x:v>Не рассмотрено</x:v>
      </x:c>
      <x:c r="N1127" s="207" t="str"/>
      <x:c r="O1127" s="207" t="str">
        <x:v>17</x:v>
      </x:c>
      <x:c r="P1127" s="207" t="n">
        <x:v>2</x:v>
      </x:c>
      <x:c r="Q1127" s="208" t="str">
        <x:v>Wave 3 (61–90 дней)</x:v>
      </x:c>
    </x:row>
    <x:row r="1128">
      <x:c r="A1128" s="206" t="str">
        <x:v>DEC-01124</x:v>
      </x:c>
      <x:c r="B1128" s="207" t="str">
        <x:v>Material master</x:v>
      </x:c>
      <x:c r="C1128" s="207" t="str">
        <x:v>MAT-DRAFT-0355</x:v>
      </x:c>
      <x:c r="D1128" s="207" t="str">
        <x:v>Unlinked</x:v>
      </x:c>
      <x:c r="E1128" s="207" t="str">
        <x:v>1 строк; 7000.00 руб.; 23-050</x:v>
      </x:c>
      <x:c r="F1128" s="207" t="str">
        <x:v>Подтвердить карточку, UOM, состав, цвет, поставщика и правила объединения</x:v>
      </x:c>
      <x:c r="G1128" s="207" t="str">
        <x:v>Закупки + склад</x:v>
      </x:c>
      <x:c r="H1128" s="207" t="str">
        <x:v>Средний</x:v>
      </x:c>
      <x:c r="I1128" s="207" t="str">
        <x:v>Material aging; BOM; procurement; actual usage</x:v>
      </x:c>
      <x:c r="J1128" s="207" t="str">
        <x:v>Остатки ткани 31.05.2026</x:v>
      </x:c>
      <x:c r="K1128" s="207" t="str"/>
      <x:c r="L1128" s="207" t="str"/>
      <x:c r="M1128" s="207" t="str">
        <x:v>Не рассмотрено</x:v>
      </x:c>
      <x:c r="N1128" s="207" t="str"/>
      <x:c r="O1128" s="207" t="str">
        <x:v>17</x:v>
      </x:c>
      <x:c r="P1128" s="207" t="n">
        <x:v>2</x:v>
      </x:c>
      <x:c r="Q1128" s="208" t="str">
        <x:v>Wave 3 (61–90 дней)</x:v>
      </x:c>
    </x:row>
    <x:row r="1129">
      <x:c r="A1129" s="206" t="str">
        <x:v>DEC-01125</x:v>
      </x:c>
      <x:c r="B1129" s="207" t="str">
        <x:v>Material master</x:v>
      </x:c>
      <x:c r="C1129" s="207" t="str">
        <x:v>MAT-DRAFT-0356</x:v>
      </x:c>
      <x:c r="D1129" s="207" t="str">
        <x:v>Unlinked</x:v>
      </x:c>
      <x:c r="E1129" s="207" t="str">
        <x:v>1 строк; 5300.00 руб.; 23-048</x:v>
      </x:c>
      <x:c r="F1129" s="207" t="str">
        <x:v>Подтвердить карточку, UOM, состав, цвет, поставщика и правила объединения</x:v>
      </x:c>
      <x:c r="G1129" s="207" t="str">
        <x:v>Закупки + склад</x:v>
      </x:c>
      <x:c r="H1129" s="207" t="str">
        <x:v>Средний</x:v>
      </x:c>
      <x:c r="I1129" s="207" t="str">
        <x:v>Material aging; BOM; procurement; actual usage</x:v>
      </x:c>
      <x:c r="J1129" s="207" t="str">
        <x:v>Остатки ткани 31.05.2026</x:v>
      </x:c>
      <x:c r="K1129" s="207" t="str"/>
      <x:c r="L1129" s="207" t="str"/>
      <x:c r="M1129" s="207" t="str">
        <x:v>Не рассмотрено</x:v>
      </x:c>
      <x:c r="N1129" s="207" t="str"/>
      <x:c r="O1129" s="207" t="str">
        <x:v>17</x:v>
      </x:c>
      <x:c r="P1129" s="207" t="n">
        <x:v>2</x:v>
      </x:c>
      <x:c r="Q1129" s="208" t="str">
        <x:v>Wave 3 (61–90 дней)</x:v>
      </x:c>
    </x:row>
    <x:row r="1130">
      <x:c r="A1130" s="206" t="str">
        <x:v>DEC-01126</x:v>
      </x:c>
      <x:c r="B1130" s="207" t="str">
        <x:v>Material master</x:v>
      </x:c>
      <x:c r="C1130" s="207" t="str">
        <x:v>MAT-DRAFT-0357</x:v>
      </x:c>
      <x:c r="D1130" s="207" t="str">
        <x:v>Unlinked</x:v>
      </x:c>
      <x:c r="E1130" s="207" t="str">
        <x:v>1 строк; 41925.00 руб.; 23-061</x:v>
      </x:c>
      <x:c r="F1130" s="207" t="str">
        <x:v>Подтвердить карточку, UOM, состав, цвет, поставщика и правила объединения</x:v>
      </x:c>
      <x:c r="G1130" s="207" t="str">
        <x:v>Закупки + склад</x:v>
      </x:c>
      <x:c r="H1130" s="207" t="str">
        <x:v>Высокий</x:v>
      </x:c>
      <x:c r="I1130" s="207" t="str">
        <x:v>Material aging; BOM; procurement; actual usage</x:v>
      </x:c>
      <x:c r="J1130" s="207" t="str">
        <x:v>Остатки ткани 31.05.2026</x:v>
      </x:c>
      <x:c r="K1130" s="207" t="str"/>
      <x:c r="L1130" s="207" t="str"/>
      <x:c r="M1130" s="207" t="str">
        <x:v>Не рассмотрено</x:v>
      </x:c>
      <x:c r="N1130" s="207" t="str"/>
      <x:c r="O1130" s="207" t="str">
        <x:v>17</x:v>
      </x:c>
      <x:c r="P1130" s="207" t="n">
        <x:v>3</x:v>
      </x:c>
      <x:c r="Q1130" s="208" t="str">
        <x:v>Wave 2 (31–60 дней)</x:v>
      </x:c>
    </x:row>
    <x:row r="1131">
      <x:c r="A1131" s="206" t="str">
        <x:v>DEC-01127</x:v>
      </x:c>
      <x:c r="B1131" s="207" t="str">
        <x:v>Material master</x:v>
      </x:c>
      <x:c r="C1131" s="207" t="str">
        <x:v>MAT-DRAFT-0358</x:v>
      </x:c>
      <x:c r="D1131" s="207" t="str">
        <x:v>Unlinked</x:v>
      </x:c>
      <x:c r="E1131" s="207" t="str">
        <x:v>1 строк; 2400.00 руб.; 23-014</x:v>
      </x:c>
      <x:c r="F1131" s="207" t="str">
        <x:v>Подтвердить карточку, UOM, состав, цвет, поставщика и правила объединения</x:v>
      </x:c>
      <x:c r="G1131" s="207" t="str">
        <x:v>Закупки + склад</x:v>
      </x:c>
      <x:c r="H1131" s="207" t="str">
        <x:v>Средний</x:v>
      </x:c>
      <x:c r="I1131" s="207" t="str">
        <x:v>Material aging; BOM; procurement; actual usage</x:v>
      </x:c>
      <x:c r="J1131" s="207" t="str">
        <x:v>Остатки ткани 31.05.2026</x:v>
      </x:c>
      <x:c r="K1131" s="207" t="str"/>
      <x:c r="L1131" s="207" t="str"/>
      <x:c r="M1131" s="207" t="str">
        <x:v>Не рассмотрено</x:v>
      </x:c>
      <x:c r="N1131" s="207" t="str"/>
      <x:c r="O1131" s="207" t="str">
        <x:v>17</x:v>
      </x:c>
      <x:c r="P1131" s="207" t="n">
        <x:v>2</x:v>
      </x:c>
      <x:c r="Q1131" s="208" t="str">
        <x:v>Wave 3 (61–90 дней)</x:v>
      </x:c>
    </x:row>
    <x:row r="1132">
      <x:c r="A1132" s="206" t="str">
        <x:v>DEC-01128</x:v>
      </x:c>
      <x:c r="B1132" s="207" t="str">
        <x:v>Material master</x:v>
      </x:c>
      <x:c r="C1132" s="207" t="str">
        <x:v>MAT-DRAFT-0359</x:v>
      </x:c>
      <x:c r="D1132" s="207" t="str">
        <x:v>Unlinked</x:v>
      </x:c>
      <x:c r="E1132" s="207" t="str">
        <x:v>1 строк; 7500.00 руб.; 23-005</x:v>
      </x:c>
      <x:c r="F1132" s="207" t="str">
        <x:v>Подтвердить карточку, UOM, состав, цвет, поставщика и правила объединения</x:v>
      </x:c>
      <x:c r="G1132" s="207" t="str">
        <x:v>Закупки + склад</x:v>
      </x:c>
      <x:c r="H1132" s="207" t="str">
        <x:v>Средний</x:v>
      </x:c>
      <x:c r="I1132" s="207" t="str">
        <x:v>Material aging; BOM; procurement; actual usage</x:v>
      </x:c>
      <x:c r="J1132" s="207" t="str">
        <x:v>Остатки ткани 31.05.2026</x:v>
      </x:c>
      <x:c r="K1132" s="207" t="str"/>
      <x:c r="L1132" s="207" t="str"/>
      <x:c r="M1132" s="207" t="str">
        <x:v>Не рассмотрено</x:v>
      </x:c>
      <x:c r="N1132" s="207" t="str"/>
      <x:c r="O1132" s="207" t="str">
        <x:v>17</x:v>
      </x:c>
      <x:c r="P1132" s="207" t="n">
        <x:v>2</x:v>
      </x:c>
      <x:c r="Q1132" s="208" t="str">
        <x:v>Wave 3 (61–90 дней)</x:v>
      </x:c>
    </x:row>
    <x:row r="1133">
      <x:c r="A1133" s="206" t="str">
        <x:v>DEC-01129</x:v>
      </x:c>
      <x:c r="B1133" s="207" t="str">
        <x:v>Material master</x:v>
      </x:c>
      <x:c r="C1133" s="207" t="str">
        <x:v>MAT-DRAFT-0360</x:v>
      </x:c>
      <x:c r="D1133" s="207" t="str">
        <x:v>Несколько кодов; Несколько исходных наименований</x:v>
      </x:c>
      <x:c r="E1133" s="207" t="str">
        <x:v>2 строк; 25000.00 руб.; 23-015; 23-074</x:v>
      </x:c>
      <x:c r="F1133" s="207" t="str">
        <x:v>Подтвердить карточку, UOM, состав, цвет, поставщика и правила объединения</x:v>
      </x:c>
      <x:c r="G1133" s="207" t="str">
        <x:v>Закупки + склад</x:v>
      </x:c>
      <x:c r="H1133" s="207" t="str">
        <x:v>Высокий</x:v>
      </x:c>
      <x:c r="I1133" s="207" t="str">
        <x:v>Material aging; BOM; procurement; actual usage</x:v>
      </x:c>
      <x:c r="J1133" s="207" t="str">
        <x:v>Остатки ткани 31.05.2026</x:v>
      </x:c>
      <x:c r="K1133" s="207" t="str"/>
      <x:c r="L1133" s="207" t="str"/>
      <x:c r="M1133" s="207" t="str">
        <x:v>Не рассмотрено</x:v>
      </x:c>
      <x:c r="N1133" s="207" t="str"/>
      <x:c r="O1133" s="207" t="str">
        <x:v>17</x:v>
      </x:c>
      <x:c r="P1133" s="207" t="n">
        <x:v>3</x:v>
      </x:c>
      <x:c r="Q1133" s="208" t="str">
        <x:v>Wave 2 (31–60 дней)</x:v>
      </x:c>
    </x:row>
    <x:row r="1134">
      <x:c r="A1134" s="206" t="str">
        <x:v>DEC-01130</x:v>
      </x:c>
      <x:c r="B1134" s="207" t="str">
        <x:v>Material master</x:v>
      </x:c>
      <x:c r="C1134" s="207" t="str">
        <x:v>MAT-DRAFT-0361</x:v>
      </x:c>
      <x:c r="D1134" s="207" t="str">
        <x:v>Unlinked</x:v>
      </x:c>
      <x:c r="E1134" s="207" t="str">
        <x:v>1 строк; 3200.00 руб.; 23-036</x:v>
      </x:c>
      <x:c r="F1134" s="207" t="str">
        <x:v>Подтвердить карточку, UOM, состав, цвет, поставщика и правила объединения</x:v>
      </x:c>
      <x:c r="G1134" s="207" t="str">
        <x:v>Закупки + склад</x:v>
      </x:c>
      <x:c r="H1134" s="207" t="str">
        <x:v>Средний</x:v>
      </x:c>
      <x:c r="I1134" s="207" t="str">
        <x:v>Material aging; BOM; procurement; actual usage</x:v>
      </x:c>
      <x:c r="J1134" s="207" t="str">
        <x:v>Остатки ткани 31.05.2026</x:v>
      </x:c>
      <x:c r="K1134" s="207" t="str"/>
      <x:c r="L1134" s="207" t="str"/>
      <x:c r="M1134" s="207" t="str">
        <x:v>Не рассмотрено</x:v>
      </x:c>
      <x:c r="N1134" s="207" t="str"/>
      <x:c r="O1134" s="207" t="str">
        <x:v>17</x:v>
      </x:c>
      <x:c r="P1134" s="207" t="n">
        <x:v>2</x:v>
      </x:c>
      <x:c r="Q1134" s="208" t="str">
        <x:v>Wave 3 (61–90 дней)</x:v>
      </x:c>
    </x:row>
    <x:row r="1135">
      <x:c r="A1135" s="206" t="str">
        <x:v>DEC-01131</x:v>
      </x:c>
      <x:c r="B1135" s="207" t="str">
        <x:v>Material master</x:v>
      </x:c>
      <x:c r="C1135" s="207" t="str">
        <x:v>MAT-DRAFT-0362</x:v>
      </x:c>
      <x:c r="D1135" s="207" t="str">
        <x:v>Unlinked</x:v>
      </x:c>
      <x:c r="E1135" s="207" t="str">
        <x:v>1 строк; 7400.00 руб.; 23-023</x:v>
      </x:c>
      <x:c r="F1135" s="207" t="str">
        <x:v>Подтвердить карточку, UOM, состав, цвет, поставщика и правила объединения</x:v>
      </x:c>
      <x:c r="G1135" s="207" t="str">
        <x:v>Закупки + склад</x:v>
      </x:c>
      <x:c r="H1135" s="207" t="str">
        <x:v>Средний</x:v>
      </x:c>
      <x:c r="I1135" s="207" t="str">
        <x:v>Material aging; BOM; procurement; actual usage</x:v>
      </x:c>
      <x:c r="J1135" s="207" t="str">
        <x:v>Остатки ткани 31.05.2026</x:v>
      </x:c>
      <x:c r="K1135" s="207" t="str"/>
      <x:c r="L1135" s="207" t="str"/>
      <x:c r="M1135" s="207" t="str">
        <x:v>Не рассмотрено</x:v>
      </x:c>
      <x:c r="N1135" s="207" t="str"/>
      <x:c r="O1135" s="207" t="str">
        <x:v>17</x:v>
      </x:c>
      <x:c r="P1135" s="207" t="n">
        <x:v>2</x:v>
      </x:c>
      <x:c r="Q1135" s="208" t="str">
        <x:v>Wave 3 (61–90 дней)</x:v>
      </x:c>
    </x:row>
    <x:row r="1136">
      <x:c r="A1136" s="206" t="str">
        <x:v>DEC-01132</x:v>
      </x:c>
      <x:c r="B1136" s="207" t="str">
        <x:v>Material master</x:v>
      </x:c>
      <x:c r="C1136" s="207" t="str">
        <x:v>MAT-DRAFT-0363</x:v>
      </x:c>
      <x:c r="D1136" s="207" t="str">
        <x:v>Несколько кодов; Несколько исходных наименований</x:v>
      </x:c>
      <x:c r="E1136" s="207" t="str">
        <x:v>2 строк; 18850.00 руб.; 23-026; 23-057</x:v>
      </x:c>
      <x:c r="F1136" s="207" t="str">
        <x:v>Подтвердить карточку, UOM, состав, цвет, поставщика и правила объединения</x:v>
      </x:c>
      <x:c r="G1136" s="207" t="str">
        <x:v>Закупки + склад</x:v>
      </x:c>
      <x:c r="H1136" s="207" t="str">
        <x:v>Высокий</x:v>
      </x:c>
      <x:c r="I1136" s="207" t="str">
        <x:v>Material aging; BOM; procurement; actual usage</x:v>
      </x:c>
      <x:c r="J1136" s="207" t="str">
        <x:v>Остатки ткани 31.05.2026</x:v>
      </x:c>
      <x:c r="K1136" s="207" t="str"/>
      <x:c r="L1136" s="207" t="str"/>
      <x:c r="M1136" s="207" t="str">
        <x:v>Не рассмотрено</x:v>
      </x:c>
      <x:c r="N1136" s="207" t="str"/>
      <x:c r="O1136" s="207" t="str">
        <x:v>17</x:v>
      </x:c>
      <x:c r="P1136" s="207" t="n">
        <x:v>3</x:v>
      </x:c>
      <x:c r="Q1136" s="208" t="str">
        <x:v>Wave 2 (31–60 дней)</x:v>
      </x:c>
    </x:row>
    <x:row r="1137">
      <x:c r="A1137" s="206" t="str">
        <x:v>DEC-01133</x:v>
      </x:c>
      <x:c r="B1137" s="207" t="str">
        <x:v>Material master</x:v>
      </x:c>
      <x:c r="C1137" s="207" t="str">
        <x:v>MAT-DRAFT-0365</x:v>
      </x:c>
      <x:c r="D1137" s="207" t="str">
        <x:v>Unlinked</x:v>
      </x:c>
      <x:c r="E1137" s="207" t="str">
        <x:v>1 строк; 10270.00 руб.; 23-021</x:v>
      </x:c>
      <x:c r="F1137" s="207" t="str">
        <x:v>Подтвердить карточку, UOM, состав, цвет, поставщика и правила объединения</x:v>
      </x:c>
      <x:c r="G1137" s="207" t="str">
        <x:v>Закупки + склад</x:v>
      </x:c>
      <x:c r="H1137" s="207" t="str">
        <x:v>Высокий</x:v>
      </x:c>
      <x:c r="I1137" s="207" t="str">
        <x:v>Material aging; BOM; procurement; actual usage</x:v>
      </x:c>
      <x:c r="J1137" s="207" t="str">
        <x:v>Остатки ткани 31.05.2026</x:v>
      </x:c>
      <x:c r="K1137" s="207" t="str"/>
      <x:c r="L1137" s="207" t="str"/>
      <x:c r="M1137" s="207" t="str">
        <x:v>Не рассмотрено</x:v>
      </x:c>
      <x:c r="N1137" s="207" t="str"/>
      <x:c r="O1137" s="207" t="str">
        <x:v>17</x:v>
      </x:c>
      <x:c r="P1137" s="207" t="n">
        <x:v>3</x:v>
      </x:c>
      <x:c r="Q1137" s="208" t="str">
        <x:v>Wave 2 (31–60 дней)</x:v>
      </x:c>
    </x:row>
    <x:row r="1138">
      <x:c r="A1138" s="206" t="str">
        <x:v>DEC-01134</x:v>
      </x:c>
      <x:c r="B1138" s="207" t="str">
        <x:v>Material master</x:v>
      </x:c>
      <x:c r="C1138" s="207" t="str">
        <x:v>MAT-DRAFT-0366</x:v>
      </x:c>
      <x:c r="D1138" s="207" t="str">
        <x:v>Unlinked</x:v>
      </x:c>
      <x:c r="E1138" s="207" t="str">
        <x:v>1 строк; 3100.00 руб.; 23-071</x:v>
      </x:c>
      <x:c r="F1138" s="207" t="str">
        <x:v>Подтвердить карточку, UOM, состав, цвет, поставщика и правила объединения</x:v>
      </x:c>
      <x:c r="G1138" s="207" t="str">
        <x:v>Закупки + склад</x:v>
      </x:c>
      <x:c r="H1138" s="207" t="str">
        <x:v>Средний</x:v>
      </x:c>
      <x:c r="I1138" s="207" t="str">
        <x:v>Material aging; BOM; procurement; actual usage</x:v>
      </x:c>
      <x:c r="J1138" s="207" t="str">
        <x:v>Остатки ткани 31.05.2026</x:v>
      </x:c>
      <x:c r="K1138" s="207" t="str"/>
      <x:c r="L1138" s="207" t="str"/>
      <x:c r="M1138" s="207" t="str">
        <x:v>Не рассмотрено</x:v>
      </x:c>
      <x:c r="N1138" s="207" t="str"/>
      <x:c r="O1138" s="207" t="str">
        <x:v>17</x:v>
      </x:c>
      <x:c r="P1138" s="207" t="n">
        <x:v>2</x:v>
      </x:c>
      <x:c r="Q1138" s="208" t="str">
        <x:v>Wave 3 (61–90 дней)</x:v>
      </x:c>
    </x:row>
    <x:row r="1139">
      <x:c r="A1139" s="206" t="str">
        <x:v>DEC-01135</x:v>
      </x:c>
      <x:c r="B1139" s="207" t="str">
        <x:v>Material master</x:v>
      </x:c>
      <x:c r="C1139" s="207" t="str">
        <x:v>MAT-DRAFT-0367</x:v>
      </x:c>
      <x:c r="D1139" s="207" t="str">
        <x:v>Unlinked</x:v>
      </x:c>
      <x:c r="E1139" s="207" t="str">
        <x:v>1 строк; 9450.00 руб.; 23-042</x:v>
      </x:c>
      <x:c r="F1139" s="207" t="str">
        <x:v>Подтвердить карточку, UOM, состав, цвет, поставщика и правила объединения</x:v>
      </x:c>
      <x:c r="G1139" s="207" t="str">
        <x:v>Закупки + склад</x:v>
      </x:c>
      <x:c r="H1139" s="207" t="str">
        <x:v>Средний</x:v>
      </x:c>
      <x:c r="I1139" s="207" t="str">
        <x:v>Material aging; BOM; procurement; actual usage</x:v>
      </x:c>
      <x:c r="J1139" s="207" t="str">
        <x:v>Остатки ткани 31.05.2026</x:v>
      </x:c>
      <x:c r="K1139" s="207" t="str"/>
      <x:c r="L1139" s="207" t="str"/>
      <x:c r="M1139" s="207" t="str">
        <x:v>Не рассмотрено</x:v>
      </x:c>
      <x:c r="N1139" s="207" t="str"/>
      <x:c r="O1139" s="207" t="str">
        <x:v>17</x:v>
      </x:c>
      <x:c r="P1139" s="207" t="n">
        <x:v>2</x:v>
      </x:c>
      <x:c r="Q1139" s="208" t="str">
        <x:v>Wave 3 (61–90 дней)</x:v>
      </x:c>
    </x:row>
    <x:row r="1140">
      <x:c r="A1140" s="206" t="str">
        <x:v>DEC-01136</x:v>
      </x:c>
      <x:c r="B1140" s="207" t="str">
        <x:v>Material master</x:v>
      </x:c>
      <x:c r="C1140" s="207" t="str">
        <x:v>MAT-DRAFT-0368</x:v>
      </x:c>
      <x:c r="D1140" s="207" t="str">
        <x:v>Unlinked</x:v>
      </x:c>
      <x:c r="E1140" s="207" t="str">
        <x:v>1 строк; 13300.00 руб.; 23-056</x:v>
      </x:c>
      <x:c r="F1140" s="207" t="str">
        <x:v>Подтвердить карточку, UOM, состав, цвет, поставщика и правила объединения</x:v>
      </x:c>
      <x:c r="G1140" s="207" t="str">
        <x:v>Закупки + склад</x:v>
      </x:c>
      <x:c r="H1140" s="207" t="str">
        <x:v>Высокий</x:v>
      </x:c>
      <x:c r="I1140" s="207" t="str">
        <x:v>Material aging; BOM; procurement; actual usage</x:v>
      </x:c>
      <x:c r="J1140" s="207" t="str">
        <x:v>Остатки ткани 31.05.2026</x:v>
      </x:c>
      <x:c r="K1140" s="207" t="str"/>
      <x:c r="L1140" s="207" t="str"/>
      <x:c r="M1140" s="207" t="str">
        <x:v>Не рассмотрено</x:v>
      </x:c>
      <x:c r="N1140" s="207" t="str"/>
      <x:c r="O1140" s="207" t="str">
        <x:v>17</x:v>
      </x:c>
      <x:c r="P1140" s="207" t="n">
        <x:v>3</x:v>
      </x:c>
      <x:c r="Q1140" s="208" t="str">
        <x:v>Wave 2 (31–60 дней)</x:v>
      </x:c>
    </x:row>
    <x:row r="1141">
      <x:c r="A1141" s="206" t="str">
        <x:v>DEC-01137</x:v>
      </x:c>
      <x:c r="B1141" s="207" t="str">
        <x:v>Material master</x:v>
      </x:c>
      <x:c r="C1141" s="207" t="str">
        <x:v>MAT-DRAFT-0369</x:v>
      </x:c>
      <x:c r="D1141" s="207" t="str">
        <x:v>Unlinked</x:v>
      </x:c>
      <x:c r="E1141" s="207" t="str">
        <x:v>1 строк; 10800.00 руб.; 23-052</x:v>
      </x:c>
      <x:c r="F1141" s="207" t="str">
        <x:v>Подтвердить карточку, UOM, состав, цвет, поставщика и правила объединения</x:v>
      </x:c>
      <x:c r="G1141" s="207" t="str">
        <x:v>Закупки + склад</x:v>
      </x:c>
      <x:c r="H1141" s="207" t="str">
        <x:v>Высокий</x:v>
      </x:c>
      <x:c r="I1141" s="207" t="str">
        <x:v>Material aging; BOM; procurement; actual usage</x:v>
      </x:c>
      <x:c r="J1141" s="207" t="str">
        <x:v>Остатки ткани 31.05.2026</x:v>
      </x:c>
      <x:c r="K1141" s="207" t="str"/>
      <x:c r="L1141" s="207" t="str"/>
      <x:c r="M1141" s="207" t="str">
        <x:v>Не рассмотрено</x:v>
      </x:c>
      <x:c r="N1141" s="207" t="str"/>
      <x:c r="O1141" s="207" t="str">
        <x:v>17</x:v>
      </x:c>
      <x:c r="P1141" s="207" t="n">
        <x:v>3</x:v>
      </x:c>
      <x:c r="Q1141" s="208" t="str">
        <x:v>Wave 2 (31–60 дней)</x:v>
      </x:c>
    </x:row>
    <x:row r="1142">
      <x:c r="A1142" s="206" t="str">
        <x:v>DEC-01138</x:v>
      </x:c>
      <x:c r="B1142" s="207" t="str">
        <x:v>Material master</x:v>
      </x:c>
      <x:c r="C1142" s="207" t="str">
        <x:v>MAT-DRAFT-0370</x:v>
      </x:c>
      <x:c r="D1142" s="207" t="str">
        <x:v>Unlinked</x:v>
      </x:c>
      <x:c r="E1142" s="207" t="str">
        <x:v>1 строк; 13500.00 руб.; 23-053</x:v>
      </x:c>
      <x:c r="F1142" s="207" t="str">
        <x:v>Подтвердить карточку, UOM, состав, цвет, поставщика и правила объединения</x:v>
      </x:c>
      <x:c r="G1142" s="207" t="str">
        <x:v>Закупки + склад</x:v>
      </x:c>
      <x:c r="H1142" s="207" t="str">
        <x:v>Высокий</x:v>
      </x:c>
      <x:c r="I1142" s="207" t="str">
        <x:v>Material aging; BOM; procurement; actual usage</x:v>
      </x:c>
      <x:c r="J1142" s="207" t="str">
        <x:v>Остатки ткани 31.05.2026</x:v>
      </x:c>
      <x:c r="K1142" s="207" t="str"/>
      <x:c r="L1142" s="207" t="str"/>
      <x:c r="M1142" s="207" t="str">
        <x:v>Не рассмотрено</x:v>
      </x:c>
      <x:c r="N1142" s="207" t="str"/>
      <x:c r="O1142" s="207" t="str">
        <x:v>17</x:v>
      </x:c>
      <x:c r="P1142" s="207" t="n">
        <x:v>3</x:v>
      </x:c>
      <x:c r="Q1142" s="208" t="str">
        <x:v>Wave 2 (31–60 дней)</x:v>
      </x:c>
    </x:row>
    <x:row r="1143">
      <x:c r="A1143" s="206" t="str">
        <x:v>DEC-01139</x:v>
      </x:c>
      <x:c r="B1143" s="207" t="str">
        <x:v>Material master</x:v>
      </x:c>
      <x:c r="C1143" s="207" t="str">
        <x:v>MAT-DRAFT-0371</x:v>
      </x:c>
      <x:c r="D1143" s="207" t="str">
        <x:v>Unlinked</x:v>
      </x:c>
      <x:c r="E1143" s="207" t="str">
        <x:v>1 строк; 15350.00 руб.; 23-060</x:v>
      </x:c>
      <x:c r="F1143" s="207" t="str">
        <x:v>Подтвердить карточку, UOM, состав, цвет, поставщика и правила объединения</x:v>
      </x:c>
      <x:c r="G1143" s="207" t="str">
        <x:v>Закупки + склад</x:v>
      </x:c>
      <x:c r="H1143" s="207" t="str">
        <x:v>Высокий</x:v>
      </x:c>
      <x:c r="I1143" s="207" t="str">
        <x:v>Material aging; BOM; procurement; actual usage</x:v>
      </x:c>
      <x:c r="J1143" s="207" t="str">
        <x:v>Остатки ткани 31.05.2026</x:v>
      </x:c>
      <x:c r="K1143" s="207" t="str"/>
      <x:c r="L1143" s="207" t="str"/>
      <x:c r="M1143" s="207" t="str">
        <x:v>Не рассмотрено</x:v>
      </x:c>
      <x:c r="N1143" s="207" t="str"/>
      <x:c r="O1143" s="207" t="str">
        <x:v>17</x:v>
      </x:c>
      <x:c r="P1143" s="207" t="n">
        <x:v>3</x:v>
      </x:c>
      <x:c r="Q1143" s="208" t="str">
        <x:v>Wave 2 (31–60 дней)</x:v>
      </x:c>
    </x:row>
    <x:row r="1144">
      <x:c r="A1144" s="206" t="str">
        <x:v>DEC-01140</x:v>
      </x:c>
      <x:c r="B1144" s="207" t="str">
        <x:v>Material master</x:v>
      </x:c>
      <x:c r="C1144" s="207" t="str">
        <x:v>MAT-DRAFT-0372</x:v>
      </x:c>
      <x:c r="D1144" s="207" t="str">
        <x:v>Unlinked</x:v>
      </x:c>
      <x:c r="E1144" s="207" t="str">
        <x:v>1 строк; 5600.00 руб.; 23-037</x:v>
      </x:c>
      <x:c r="F1144" s="207" t="str">
        <x:v>Подтвердить карточку, UOM, состав, цвет, поставщика и правила объединения</x:v>
      </x:c>
      <x:c r="G1144" s="207" t="str">
        <x:v>Закупки + склад</x:v>
      </x:c>
      <x:c r="H1144" s="207" t="str">
        <x:v>Средний</x:v>
      </x:c>
      <x:c r="I1144" s="207" t="str">
        <x:v>Material aging; BOM; procurement; actual usage</x:v>
      </x:c>
      <x:c r="J1144" s="207" t="str">
        <x:v>Остатки ткани 31.05.2026</x:v>
      </x:c>
      <x:c r="K1144" s="207" t="str"/>
      <x:c r="L1144" s="207" t="str"/>
      <x:c r="M1144" s="207" t="str">
        <x:v>Не рассмотрено</x:v>
      </x:c>
      <x:c r="N1144" s="207" t="str"/>
      <x:c r="O1144" s="207" t="str">
        <x:v>17</x:v>
      </x:c>
      <x:c r="P1144" s="207" t="n">
        <x:v>2</x:v>
      </x:c>
      <x:c r="Q1144" s="208" t="str">
        <x:v>Wave 3 (61–90 дней)</x:v>
      </x:c>
    </x:row>
    <x:row r="1145">
      <x:c r="A1145" s="206" t="str">
        <x:v>DEC-01141</x:v>
      </x:c>
      <x:c r="B1145" s="207" t="str">
        <x:v>Material master</x:v>
      </x:c>
      <x:c r="C1145" s="207" t="str">
        <x:v>MAT-DRAFT-0373</x:v>
      </x:c>
      <x:c r="D1145" s="207" t="str">
        <x:v>Unlinked</x:v>
      </x:c>
      <x:c r="E1145" s="207" t="str">
        <x:v>1 строк; 9500.00 руб.; 23-043</x:v>
      </x:c>
      <x:c r="F1145" s="207" t="str">
        <x:v>Подтвердить карточку, UOM, состав, цвет, поставщика и правила объединения</x:v>
      </x:c>
      <x:c r="G1145" s="207" t="str">
        <x:v>Закупки + склад</x:v>
      </x:c>
      <x:c r="H1145" s="207" t="str">
        <x:v>Средний</x:v>
      </x:c>
      <x:c r="I1145" s="207" t="str">
        <x:v>Material aging; BOM; procurement; actual usage</x:v>
      </x:c>
      <x:c r="J1145" s="207" t="str">
        <x:v>Остатки ткани 31.05.2026</x:v>
      </x:c>
      <x:c r="K1145" s="207" t="str"/>
      <x:c r="L1145" s="207" t="str"/>
      <x:c r="M1145" s="207" t="str">
        <x:v>Не рассмотрено</x:v>
      </x:c>
      <x:c r="N1145" s="207" t="str"/>
      <x:c r="O1145" s="207" t="str">
        <x:v>17</x:v>
      </x:c>
      <x:c r="P1145" s="207" t="n">
        <x:v>2</x:v>
      </x:c>
      <x:c r="Q1145" s="208" t="str">
        <x:v>Wave 3 (61–90 дней)</x:v>
      </x:c>
    </x:row>
    <x:row r="1146">
      <x:c r="A1146" s="206" t="str">
        <x:v>DEC-01142</x:v>
      </x:c>
      <x:c r="B1146" s="207" t="str">
        <x:v>Material master</x:v>
      </x:c>
      <x:c r="C1146" s="207" t="str">
        <x:v>MAT-DRAFT-0374</x:v>
      </x:c>
      <x:c r="D1146" s="207" t="str">
        <x:v>Unlinked</x:v>
      </x:c>
      <x:c r="E1146" s="207" t="str">
        <x:v>1 строк; 8700.00 руб.; 23-044</x:v>
      </x:c>
      <x:c r="F1146" s="207" t="str">
        <x:v>Подтвердить карточку, UOM, состав, цвет, поставщика и правила объединения</x:v>
      </x:c>
      <x:c r="G1146" s="207" t="str">
        <x:v>Закупки + склад</x:v>
      </x:c>
      <x:c r="H1146" s="207" t="str">
        <x:v>Средний</x:v>
      </x:c>
      <x:c r="I1146" s="207" t="str">
        <x:v>Material aging; BOM; procurement; actual usage</x:v>
      </x:c>
      <x:c r="J1146" s="207" t="str">
        <x:v>Остатки ткани 31.05.2026</x:v>
      </x:c>
      <x:c r="K1146" s="207" t="str"/>
      <x:c r="L1146" s="207" t="str"/>
      <x:c r="M1146" s="207" t="str">
        <x:v>Не рассмотрено</x:v>
      </x:c>
      <x:c r="N1146" s="207" t="str"/>
      <x:c r="O1146" s="207" t="str">
        <x:v>17</x:v>
      </x:c>
      <x:c r="P1146" s="207" t="n">
        <x:v>2</x:v>
      </x:c>
      <x:c r="Q1146" s="208" t="str">
        <x:v>Wave 3 (61–90 дней)</x:v>
      </x:c>
    </x:row>
    <x:row r="1147">
      <x:c r="A1147" s="206" t="str">
        <x:v>DEC-01143</x:v>
      </x:c>
      <x:c r="B1147" s="207" t="str">
        <x:v>Material master</x:v>
      </x:c>
      <x:c r="C1147" s="207" t="str">
        <x:v>MAT-DRAFT-0375</x:v>
      </x:c>
      <x:c r="D1147" s="207" t="str">
        <x:v>Unlinked</x:v>
      </x:c>
      <x:c r="E1147" s="207" t="str">
        <x:v>1 строк; 7050.00 руб.; 23-045</x:v>
      </x:c>
      <x:c r="F1147" s="207" t="str">
        <x:v>Подтвердить карточку, UOM, состав, цвет, поставщика и правила объединения</x:v>
      </x:c>
      <x:c r="G1147" s="207" t="str">
        <x:v>Закупки + склад</x:v>
      </x:c>
      <x:c r="H1147" s="207" t="str">
        <x:v>Средний</x:v>
      </x:c>
      <x:c r="I1147" s="207" t="str">
        <x:v>Material aging; BOM; procurement; actual usage</x:v>
      </x:c>
      <x:c r="J1147" s="207" t="str">
        <x:v>Остатки ткани 31.05.2026</x:v>
      </x:c>
      <x:c r="K1147" s="207" t="str"/>
      <x:c r="L1147" s="207" t="str"/>
      <x:c r="M1147" s="207" t="str">
        <x:v>Не рассмотрено</x:v>
      </x:c>
      <x:c r="N1147" s="207" t="str"/>
      <x:c r="O1147" s="207" t="str">
        <x:v>17</x:v>
      </x:c>
      <x:c r="P1147" s="207" t="n">
        <x:v>2</x:v>
      </x:c>
      <x:c r="Q1147" s="208" t="str">
        <x:v>Wave 3 (61–90 дней)</x:v>
      </x:c>
    </x:row>
    <x:row r="1148">
      <x:c r="A1148" s="206" t="str">
        <x:v>DEC-01144</x:v>
      </x:c>
      <x:c r="B1148" s="207" t="str">
        <x:v>Material master</x:v>
      </x:c>
      <x:c r="C1148" s="207" t="str">
        <x:v>MAT-DRAFT-0376</x:v>
      </x:c>
      <x:c r="D1148" s="207" t="str">
        <x:v>Unlinked</x:v>
      </x:c>
      <x:c r="E1148" s="207" t="str">
        <x:v>1 строк; 2610.00 руб.; 23-039</x:v>
      </x:c>
      <x:c r="F1148" s="207" t="str">
        <x:v>Подтвердить карточку, UOM, состав, цвет, поставщика и правила объединения</x:v>
      </x:c>
      <x:c r="G1148" s="207" t="str">
        <x:v>Закупки + склад</x:v>
      </x:c>
      <x:c r="H1148" s="207" t="str">
        <x:v>Средний</x:v>
      </x:c>
      <x:c r="I1148" s="207" t="str">
        <x:v>Material aging; BOM; procurement; actual usage</x:v>
      </x:c>
      <x:c r="J1148" s="207" t="str">
        <x:v>Остатки ткани 31.05.2026</x:v>
      </x:c>
      <x:c r="K1148" s="207" t="str"/>
      <x:c r="L1148" s="207" t="str"/>
      <x:c r="M1148" s="207" t="str">
        <x:v>Не рассмотрено</x:v>
      </x:c>
      <x:c r="N1148" s="207" t="str"/>
      <x:c r="O1148" s="207" t="str">
        <x:v>17</x:v>
      </x:c>
      <x:c r="P1148" s="207" t="n">
        <x:v>2</x:v>
      </x:c>
      <x:c r="Q1148" s="208" t="str">
        <x:v>Wave 3 (61–90 дней)</x:v>
      </x:c>
    </x:row>
    <x:row r="1149">
      <x:c r="A1149" s="206" t="str">
        <x:v>DEC-01145</x:v>
      </x:c>
      <x:c r="B1149" s="207" t="str">
        <x:v>Material master</x:v>
      </x:c>
      <x:c r="C1149" s="207" t="str">
        <x:v>MAT-DRAFT-0377</x:v>
      </x:c>
      <x:c r="D1149" s="207" t="str">
        <x:v>Unlinked</x:v>
      </x:c>
      <x:c r="E1149" s="207" t="str">
        <x:v>1 строк; 6000.00 руб.; 23-013</x:v>
      </x:c>
      <x:c r="F1149" s="207" t="str">
        <x:v>Подтвердить карточку, UOM, состав, цвет, поставщика и правила объединения</x:v>
      </x:c>
      <x:c r="G1149" s="207" t="str">
        <x:v>Закупки + склад</x:v>
      </x:c>
      <x:c r="H1149" s="207" t="str">
        <x:v>Средний</x:v>
      </x:c>
      <x:c r="I1149" s="207" t="str">
        <x:v>Material aging; BOM; procurement; actual usage</x:v>
      </x:c>
      <x:c r="J1149" s="207" t="str">
        <x:v>Остатки ткани 31.05.2026</x:v>
      </x:c>
      <x:c r="K1149" s="207" t="str"/>
      <x:c r="L1149" s="207" t="str"/>
      <x:c r="M1149" s="207" t="str">
        <x:v>Не рассмотрено</x:v>
      </x:c>
      <x:c r="N1149" s="207" t="str"/>
      <x:c r="O1149" s="207" t="str">
        <x:v>17</x:v>
      </x:c>
      <x:c r="P1149" s="207" t="n">
        <x:v>2</x:v>
      </x:c>
      <x:c r="Q1149" s="208" t="str">
        <x:v>Wave 3 (61–90 дней)</x:v>
      </x:c>
    </x:row>
    <x:row r="1150">
      <x:c r="A1150" s="206" t="str">
        <x:v>DEC-01146</x:v>
      </x:c>
      <x:c r="B1150" s="207" t="str">
        <x:v>Material master</x:v>
      </x:c>
      <x:c r="C1150" s="207" t="str">
        <x:v>MAT-DRAFT-0378</x:v>
      </x:c>
      <x:c r="D1150" s="207" t="str">
        <x:v>Unlinked</x:v>
      </x:c>
      <x:c r="E1150" s="207" t="str">
        <x:v>1 строк; 2000.00 руб.; 23-028</x:v>
      </x:c>
      <x:c r="F1150" s="207" t="str">
        <x:v>Подтвердить карточку, UOM, состав, цвет, поставщика и правила объединения</x:v>
      </x:c>
      <x:c r="G1150" s="207" t="str">
        <x:v>Закупки + склад</x:v>
      </x:c>
      <x:c r="H1150" s="207" t="str">
        <x:v>Средний</x:v>
      </x:c>
      <x:c r="I1150" s="207" t="str">
        <x:v>Material aging; BOM; procurement; actual usage</x:v>
      </x:c>
      <x:c r="J1150" s="207" t="str">
        <x:v>Остатки ткани 31.05.2026</x:v>
      </x:c>
      <x:c r="K1150" s="207" t="str"/>
      <x:c r="L1150" s="207" t="str"/>
      <x:c r="M1150" s="207" t="str">
        <x:v>Не рассмотрено</x:v>
      </x:c>
      <x:c r="N1150" s="207" t="str"/>
      <x:c r="O1150" s="207" t="str">
        <x:v>17</x:v>
      </x:c>
      <x:c r="P1150" s="207" t="n">
        <x:v>2</x:v>
      </x:c>
      <x:c r="Q1150" s="208" t="str">
        <x:v>Wave 3 (61–90 дней)</x:v>
      </x:c>
    </x:row>
    <x:row r="1151">
      <x:c r="A1151" s="206" t="str">
        <x:v>DEC-01147</x:v>
      </x:c>
      <x:c r="B1151" s="207" t="str">
        <x:v>Material master</x:v>
      </x:c>
      <x:c r="C1151" s="207" t="str">
        <x:v>MAT-DRAFT-0379</x:v>
      </x:c>
      <x:c r="D1151" s="207" t="str">
        <x:v>Несколько кодов; Несколько исходных наименований</x:v>
      </x:c>
      <x:c r="E1151" s="207" t="str">
        <x:v>2 строк; 4300.00 руб.; 23-068; 23-076</x:v>
      </x:c>
      <x:c r="F1151" s="207" t="str">
        <x:v>Подтвердить карточку, UOM, состав, цвет, поставщика и правила объединения</x:v>
      </x:c>
      <x:c r="G1151" s="207" t="str">
        <x:v>Закупки + склад</x:v>
      </x:c>
      <x:c r="H1151" s="207" t="str">
        <x:v>Средний</x:v>
      </x:c>
      <x:c r="I1151" s="207" t="str">
        <x:v>Material aging; BOM; procurement; actual usage</x:v>
      </x:c>
      <x:c r="J1151" s="207" t="str">
        <x:v>Остатки ткани 31.05.2026</x:v>
      </x:c>
      <x:c r="K1151" s="207" t="str"/>
      <x:c r="L1151" s="207" t="str"/>
      <x:c r="M1151" s="207" t="str">
        <x:v>Не рассмотрено</x:v>
      </x:c>
      <x:c r="N1151" s="207" t="str"/>
      <x:c r="O1151" s="207" t="str">
        <x:v>17</x:v>
      </x:c>
      <x:c r="P1151" s="207" t="n">
        <x:v>2</x:v>
      </x:c>
      <x:c r="Q1151" s="208" t="str">
        <x:v>Wave 3 (61–90 дней)</x:v>
      </x:c>
    </x:row>
    <x:row r="1152">
      <x:c r="A1152" s="206" t="str">
        <x:v>DEC-01148</x:v>
      </x:c>
      <x:c r="B1152" s="207" t="str">
        <x:v>Material master</x:v>
      </x:c>
      <x:c r="C1152" s="207" t="str">
        <x:v>MAT-DRAFT-0380</x:v>
      </x:c>
      <x:c r="D1152" s="207" t="str">
        <x:v>Unlinked</x:v>
      </x:c>
      <x:c r="E1152" s="207" t="str">
        <x:v>1 строк; 500.00 руб.; 23-063</x:v>
      </x:c>
      <x:c r="F1152" s="207" t="str">
        <x:v>Подтвердить карточку, UOM, состав, цвет, поставщика и правила объединения</x:v>
      </x:c>
      <x:c r="G1152" s="207" t="str">
        <x:v>Закупки + склад</x:v>
      </x:c>
      <x:c r="H1152" s="207" t="str">
        <x:v>Средний</x:v>
      </x:c>
      <x:c r="I1152" s="207" t="str">
        <x:v>Material aging; BOM; procurement; actual usage</x:v>
      </x:c>
      <x:c r="J1152" s="207" t="str">
        <x:v>Остатки ткани 31.05.2026</x:v>
      </x:c>
      <x:c r="K1152" s="207" t="str"/>
      <x:c r="L1152" s="207" t="str"/>
      <x:c r="M1152" s="207" t="str">
        <x:v>Не рассмотрено</x:v>
      </x:c>
      <x:c r="N1152" s="207" t="str"/>
      <x:c r="O1152" s="207" t="str">
        <x:v>17</x:v>
      </x:c>
      <x:c r="P1152" s="207" t="n">
        <x:v>2</x:v>
      </x:c>
      <x:c r="Q1152" s="208" t="str">
        <x:v>Wave 3 (61–90 дней)</x:v>
      </x:c>
    </x:row>
    <x:row r="1153">
      <x:c r="A1153" s="206" t="str">
        <x:v>DEC-01149</x:v>
      </x:c>
      <x:c r="B1153" s="207" t="str">
        <x:v>Material master</x:v>
      </x:c>
      <x:c r="C1153" s="207" t="str">
        <x:v>MAT-DRAFT-0381</x:v>
      </x:c>
      <x:c r="D1153" s="207" t="str">
        <x:v>Unlinked</x:v>
      </x:c>
      <x:c r="E1153" s="207" t="str">
        <x:v>1 строк; 2650.00 руб.; 23-069</x:v>
      </x:c>
      <x:c r="F1153" s="207" t="str">
        <x:v>Подтвердить карточку, UOM, состав, цвет, поставщика и правила объединения</x:v>
      </x:c>
      <x:c r="G1153" s="207" t="str">
        <x:v>Закупки + склад</x:v>
      </x:c>
      <x:c r="H1153" s="207" t="str">
        <x:v>Средний</x:v>
      </x:c>
      <x:c r="I1153" s="207" t="str">
        <x:v>Material aging; BOM; procurement; actual usage</x:v>
      </x:c>
      <x:c r="J1153" s="207" t="str">
        <x:v>Остатки ткани 31.05.2026</x:v>
      </x:c>
      <x:c r="K1153" s="207" t="str"/>
      <x:c r="L1153" s="207" t="str"/>
      <x:c r="M1153" s="207" t="str">
        <x:v>Не рассмотрено</x:v>
      </x:c>
      <x:c r="N1153" s="207" t="str"/>
      <x:c r="O1153" s="207" t="str">
        <x:v>17</x:v>
      </x:c>
      <x:c r="P1153" s="207" t="n">
        <x:v>2</x:v>
      </x:c>
      <x:c r="Q1153" s="208" t="str">
        <x:v>Wave 3 (61–90 дней)</x:v>
      </x:c>
    </x:row>
    <x:row r="1154">
      <x:c r="A1154" s="206" t="str">
        <x:v>DEC-01150</x:v>
      </x:c>
      <x:c r="B1154" s="207" t="str">
        <x:v>Material master</x:v>
      </x:c>
      <x:c r="C1154" s="207" t="str">
        <x:v>MAT-DRAFT-0382</x:v>
      </x:c>
      <x:c r="D1154" s="207" t="str">
        <x:v>Unlinked</x:v>
      </x:c>
      <x:c r="E1154" s="207" t="str">
        <x:v>1 строк; 4900.00 руб.; 23-070</x:v>
      </x:c>
      <x:c r="F1154" s="207" t="str">
        <x:v>Подтвердить карточку, UOM, состав, цвет, поставщика и правила объединения</x:v>
      </x:c>
      <x:c r="G1154" s="207" t="str">
        <x:v>Закупки + склад</x:v>
      </x:c>
      <x:c r="H1154" s="207" t="str">
        <x:v>Средний</x:v>
      </x:c>
      <x:c r="I1154" s="207" t="str">
        <x:v>Material aging; BOM; procurement; actual usage</x:v>
      </x:c>
      <x:c r="J1154" s="207" t="str">
        <x:v>Остатки ткани 31.05.2026</x:v>
      </x:c>
      <x:c r="K1154" s="207" t="str"/>
      <x:c r="L1154" s="207" t="str"/>
      <x:c r="M1154" s="207" t="str">
        <x:v>Не рассмотрено</x:v>
      </x:c>
      <x:c r="N1154" s="207" t="str"/>
      <x:c r="O1154" s="207" t="str">
        <x:v>17</x:v>
      </x:c>
      <x:c r="P1154" s="207" t="n">
        <x:v>2</x:v>
      </x:c>
      <x:c r="Q1154" s="208" t="str">
        <x:v>Wave 3 (61–90 дней)</x:v>
      </x:c>
    </x:row>
    <x:row r="1155">
      <x:c r="A1155" s="206" t="str">
        <x:v>DEC-01151</x:v>
      </x:c>
      <x:c r="B1155" s="207" t="str">
        <x:v>Material master</x:v>
      </x:c>
      <x:c r="C1155" s="207" t="str">
        <x:v>MAT-DRAFT-0383</x:v>
      </x:c>
      <x:c r="D1155" s="207" t="str">
        <x:v>Unlinked</x:v>
      </x:c>
      <x:c r="E1155" s="207" t="str">
        <x:v>1 строк; 2500.00 руб.; 23-065</x:v>
      </x:c>
      <x:c r="F1155" s="207" t="str">
        <x:v>Подтвердить карточку, UOM, состав, цвет, поставщика и правила объединения</x:v>
      </x:c>
      <x:c r="G1155" s="207" t="str">
        <x:v>Закупки + склад</x:v>
      </x:c>
      <x:c r="H1155" s="207" t="str">
        <x:v>Средний</x:v>
      </x:c>
      <x:c r="I1155" s="207" t="str">
        <x:v>Material aging; BOM; procurement; actual usage</x:v>
      </x:c>
      <x:c r="J1155" s="207" t="str">
        <x:v>Остатки ткани 31.05.2026</x:v>
      </x:c>
      <x:c r="K1155" s="207" t="str"/>
      <x:c r="L1155" s="207" t="str"/>
      <x:c r="M1155" s="207" t="str">
        <x:v>Не рассмотрено</x:v>
      </x:c>
      <x:c r="N1155" s="207" t="str"/>
      <x:c r="O1155" s="207" t="str">
        <x:v>17</x:v>
      </x:c>
      <x:c r="P1155" s="207" t="n">
        <x:v>2</x:v>
      </x:c>
      <x:c r="Q1155" s="208" t="str">
        <x:v>Wave 3 (61–90 дней)</x:v>
      </x:c>
    </x:row>
    <x:row r="1156">
      <x:c r="A1156" s="206" t="str">
        <x:v>DEC-01152</x:v>
      </x:c>
      <x:c r="B1156" s="207" t="str">
        <x:v>Material master</x:v>
      </x:c>
      <x:c r="C1156" s="207" t="str">
        <x:v>MAT-DRAFT-0384</x:v>
      </x:c>
      <x:c r="D1156" s="207" t="str">
        <x:v>Unlinked</x:v>
      </x:c>
      <x:c r="E1156" s="207" t="str">
        <x:v>1 строк; 3650.00 руб.; 23-067</x:v>
      </x:c>
      <x:c r="F1156" s="207" t="str">
        <x:v>Подтвердить карточку, UOM, состав, цвет, поставщика и правила объединения</x:v>
      </x:c>
      <x:c r="G1156" s="207" t="str">
        <x:v>Закупки + склад</x:v>
      </x:c>
      <x:c r="H1156" s="207" t="str">
        <x:v>Средний</x:v>
      </x:c>
      <x:c r="I1156" s="207" t="str">
        <x:v>Material aging; BOM; procurement; actual usage</x:v>
      </x:c>
      <x:c r="J1156" s="207" t="str">
        <x:v>Остатки ткани 31.05.2026</x:v>
      </x:c>
      <x:c r="K1156" s="207" t="str"/>
      <x:c r="L1156" s="207" t="str"/>
      <x:c r="M1156" s="207" t="str">
        <x:v>Не рассмотрено</x:v>
      </x:c>
      <x:c r="N1156" s="207" t="str"/>
      <x:c r="O1156" s="207" t="str">
        <x:v>17</x:v>
      </x:c>
      <x:c r="P1156" s="207" t="n">
        <x:v>2</x:v>
      </x:c>
      <x:c r="Q1156" s="208" t="str">
        <x:v>Wave 3 (61–90 дней)</x:v>
      </x:c>
    </x:row>
    <x:row r="1157">
      <x:c r="A1157" s="206" t="str">
        <x:v>DEC-01153</x:v>
      </x:c>
      <x:c r="B1157" s="207" t="str">
        <x:v>Material master</x:v>
      </x:c>
      <x:c r="C1157" s="207" t="str">
        <x:v>MAT-DRAFT-0385</x:v>
      </x:c>
      <x:c r="D1157" s="207" t="str">
        <x:v>Unlinked</x:v>
      </x:c>
      <x:c r="E1157" s="207" t="str">
        <x:v>1 строк; 3750.00 руб.; 23-075</x:v>
      </x:c>
      <x:c r="F1157" s="207" t="str">
        <x:v>Подтвердить карточку, UOM, состав, цвет, поставщика и правила объединения</x:v>
      </x:c>
      <x:c r="G1157" s="207" t="str">
        <x:v>Закупки + склад</x:v>
      </x:c>
      <x:c r="H1157" s="207" t="str">
        <x:v>Средний</x:v>
      </x:c>
      <x:c r="I1157" s="207" t="str">
        <x:v>Material aging; BOM; procurement; actual usage</x:v>
      </x:c>
      <x:c r="J1157" s="207" t="str">
        <x:v>Остатки ткани 31.05.2026</x:v>
      </x:c>
      <x:c r="K1157" s="207" t="str"/>
      <x:c r="L1157" s="207" t="str"/>
      <x:c r="M1157" s="207" t="str">
        <x:v>Не рассмотрено</x:v>
      </x:c>
      <x:c r="N1157" s="207" t="str"/>
      <x:c r="O1157" s="207" t="str">
        <x:v>17</x:v>
      </x:c>
      <x:c r="P1157" s="207" t="n">
        <x:v>2</x:v>
      </x:c>
      <x:c r="Q1157" s="208" t="str">
        <x:v>Wave 3 (61–90 дней)</x:v>
      </x:c>
    </x:row>
    <x:row r="1158">
      <x:c r="A1158" s="206" t="str">
        <x:v>DEC-01154</x:v>
      </x:c>
      <x:c r="B1158" s="207" t="str">
        <x:v>Material master</x:v>
      </x:c>
      <x:c r="C1158" s="207" t="str">
        <x:v>MAT-DRAFT-0386</x:v>
      </x:c>
      <x:c r="D1158" s="207" t="str">
        <x:v>Unlinked</x:v>
      </x:c>
      <x:c r="E1158" s="207" t="str">
        <x:v>1 строк; 5100.00 руб.; 23-064</x:v>
      </x:c>
      <x:c r="F1158" s="207" t="str">
        <x:v>Подтвердить карточку, UOM, состав, цвет, поставщика и правила объединения</x:v>
      </x:c>
      <x:c r="G1158" s="207" t="str">
        <x:v>Закупки + склад</x:v>
      </x:c>
      <x:c r="H1158" s="207" t="str">
        <x:v>Средний</x:v>
      </x:c>
      <x:c r="I1158" s="207" t="str">
        <x:v>Material aging; BOM; procurement; actual usage</x:v>
      </x:c>
      <x:c r="J1158" s="207" t="str">
        <x:v>Остатки ткани 31.05.2026</x:v>
      </x:c>
      <x:c r="K1158" s="207" t="str"/>
      <x:c r="L1158" s="207" t="str"/>
      <x:c r="M1158" s="207" t="str">
        <x:v>Не рассмотрено</x:v>
      </x:c>
      <x:c r="N1158" s="207" t="str"/>
      <x:c r="O1158" s="207" t="str">
        <x:v>17</x:v>
      </x:c>
      <x:c r="P1158" s="207" t="n">
        <x:v>2</x:v>
      </x:c>
      <x:c r="Q1158" s="208" t="str">
        <x:v>Wave 3 (61–90 дней)</x:v>
      </x:c>
    </x:row>
    <x:row r="1159">
      <x:c r="A1159" s="206" t="str">
        <x:v>DEC-01155</x:v>
      </x:c>
      <x:c r="B1159" s="207" t="str">
        <x:v>Material master</x:v>
      </x:c>
      <x:c r="C1159" s="207" t="str">
        <x:v>MAT-DRAFT-0387</x:v>
      </x:c>
      <x:c r="D1159" s="207" t="str">
        <x:v>Unlinked</x:v>
      </x:c>
      <x:c r="E1159" s="207" t="str">
        <x:v>1 строк; 16950.00 руб.; 23-058</x:v>
      </x:c>
      <x:c r="F1159" s="207" t="str">
        <x:v>Подтвердить карточку, UOM, состав, цвет, поставщика и правила объединения</x:v>
      </x:c>
      <x:c r="G1159" s="207" t="str">
        <x:v>Закупки + склад</x:v>
      </x:c>
      <x:c r="H1159" s="207" t="str">
        <x:v>Высокий</x:v>
      </x:c>
      <x:c r="I1159" s="207" t="str">
        <x:v>Material aging; BOM; procurement; actual usage</x:v>
      </x:c>
      <x:c r="J1159" s="207" t="str">
        <x:v>Остатки ткани 31.05.2026</x:v>
      </x:c>
      <x:c r="K1159" s="207" t="str"/>
      <x:c r="L1159" s="207" t="str"/>
      <x:c r="M1159" s="207" t="str">
        <x:v>Не рассмотрено</x:v>
      </x:c>
      <x:c r="N1159" s="207" t="str"/>
      <x:c r="O1159" s="207" t="str">
        <x:v>17</x:v>
      </x:c>
      <x:c r="P1159" s="207" t="n">
        <x:v>3</x:v>
      </x:c>
      <x:c r="Q1159" s="208" t="str">
        <x:v>Wave 2 (31–60 дней)</x:v>
      </x:c>
    </x:row>
    <x:row r="1160">
      <x:c r="A1160" s="206" t="str">
        <x:v>DEC-01156</x:v>
      </x:c>
      <x:c r="B1160" s="207" t="str">
        <x:v>Material master</x:v>
      </x:c>
      <x:c r="C1160" s="207" t="str">
        <x:v>MAT-DRAFT-0389</x:v>
      </x:c>
      <x:c r="D1160" s="207" t="str">
        <x:v>Unlinked</x:v>
      </x:c>
      <x:c r="E1160" s="207" t="str">
        <x:v>1 строк; 17225.00 руб.; 23-016</x:v>
      </x:c>
      <x:c r="F1160" s="207" t="str">
        <x:v>Подтвердить карточку, UOM, состав, цвет, поставщика и правила объединения</x:v>
      </x:c>
      <x:c r="G1160" s="207" t="str">
        <x:v>Закупки + склад</x:v>
      </x:c>
      <x:c r="H1160" s="207" t="str">
        <x:v>Высокий</x:v>
      </x:c>
      <x:c r="I1160" s="207" t="str">
        <x:v>Material aging; BOM; procurement; actual usage</x:v>
      </x:c>
      <x:c r="J1160" s="207" t="str">
        <x:v>Остатки ткани 31.05.2026</x:v>
      </x:c>
      <x:c r="K1160" s="207" t="str"/>
      <x:c r="L1160" s="207" t="str"/>
      <x:c r="M1160" s="207" t="str">
        <x:v>Не рассмотрено</x:v>
      </x:c>
      <x:c r="N1160" s="207" t="str"/>
      <x:c r="O1160" s="207" t="str">
        <x:v>17</x:v>
      </x:c>
      <x:c r="P1160" s="207" t="n">
        <x:v>3</x:v>
      </x:c>
      <x:c r="Q1160" s="208" t="str">
        <x:v>Wave 2 (31–60 дней)</x:v>
      </x:c>
    </x:row>
    <x:row r="1161">
      <x:c r="A1161" s="206" t="str">
        <x:v>DEC-01157</x:v>
      </x:c>
      <x:c r="B1161" s="207" t="str">
        <x:v>Material master</x:v>
      </x:c>
      <x:c r="C1161" s="207" t="str">
        <x:v>MAT-DRAFT-0390</x:v>
      </x:c>
      <x:c r="D1161" s="207" t="str">
        <x:v>Unlinked</x:v>
      </x:c>
      <x:c r="E1161" s="207" t="str">
        <x:v>1 строк; 4500.00 руб.; 23-041</x:v>
      </x:c>
      <x:c r="F1161" s="207" t="str">
        <x:v>Подтвердить карточку, UOM, состав, цвет, поставщика и правила объединения</x:v>
      </x:c>
      <x:c r="G1161" s="207" t="str">
        <x:v>Закупки + склад</x:v>
      </x:c>
      <x:c r="H1161" s="207" t="str">
        <x:v>Средний</x:v>
      </x:c>
      <x:c r="I1161" s="207" t="str">
        <x:v>Material aging; BOM; procurement; actual usage</x:v>
      </x:c>
      <x:c r="J1161" s="207" t="str">
        <x:v>Остатки ткани 31.05.2026</x:v>
      </x:c>
      <x:c r="K1161" s="207" t="str"/>
      <x:c r="L1161" s="207" t="str"/>
      <x:c r="M1161" s="207" t="str">
        <x:v>Не рассмотрено</x:v>
      </x:c>
      <x:c r="N1161" s="207" t="str"/>
      <x:c r="O1161" s="207" t="str">
        <x:v>17</x:v>
      </x:c>
      <x:c r="P1161" s="207" t="n">
        <x:v>2</x:v>
      </x:c>
      <x:c r="Q1161" s="208" t="str">
        <x:v>Wave 3 (61–90 дней)</x:v>
      </x:c>
    </x:row>
    <x:row r="1162">
      <x:c r="A1162" s="206" t="str">
        <x:v>DEC-01158</x:v>
      </x:c>
      <x:c r="B1162" s="207" t="str">
        <x:v>Material master</x:v>
      </x:c>
      <x:c r="C1162" s="207" t="str">
        <x:v>MAT-DRAFT-0391</x:v>
      </x:c>
      <x:c r="D1162" s="207" t="str">
        <x:v>Unlinked</x:v>
      </x:c>
      <x:c r="E1162" s="207" t="str">
        <x:v>1 строк; 1500.00 руб.; 23-073</x:v>
      </x:c>
      <x:c r="F1162" s="207" t="str">
        <x:v>Подтвердить карточку, UOM, состав, цвет, поставщика и правила объединения</x:v>
      </x:c>
      <x:c r="G1162" s="207" t="str">
        <x:v>Закупки + склад</x:v>
      </x:c>
      <x:c r="H1162" s="207" t="str">
        <x:v>Средний</x:v>
      </x:c>
      <x:c r="I1162" s="207" t="str">
        <x:v>Material aging; BOM; procurement; actual usage</x:v>
      </x:c>
      <x:c r="J1162" s="207" t="str">
        <x:v>Остатки ткани 31.05.2026</x:v>
      </x:c>
      <x:c r="K1162" s="207" t="str"/>
      <x:c r="L1162" s="207" t="str"/>
      <x:c r="M1162" s="207" t="str">
        <x:v>Не рассмотрено</x:v>
      </x:c>
      <x:c r="N1162" s="207" t="str"/>
      <x:c r="O1162" s="207" t="str">
        <x:v>17</x:v>
      </x:c>
      <x:c r="P1162" s="207" t="n">
        <x:v>2</x:v>
      </x:c>
      <x:c r="Q1162" s="208" t="str">
        <x:v>Wave 3 (61–90 дней)</x:v>
      </x:c>
    </x:row>
    <x:row r="1163">
      <x:c r="A1163" s="206" t="str">
        <x:v>DEC-01159</x:v>
      </x:c>
      <x:c r="B1163" s="207" t="str">
        <x:v>Material master</x:v>
      </x:c>
      <x:c r="C1163" s="207" t="str">
        <x:v>MAT-DRAFT-0392</x:v>
      </x:c>
      <x:c r="D1163" s="207" t="str">
        <x:v>Несколько кодов; Несколько исходных наименований</x:v>
      </x:c>
      <x:c r="E1163" s="207" t="str">
        <x:v>3 строк; 13360.00 руб.; 23-029; 23-034; 23-035</x:v>
      </x:c>
      <x:c r="F1163" s="207" t="str">
        <x:v>Подтвердить карточку, UOM, состав, цвет, поставщика и правила объединения</x:v>
      </x:c>
      <x:c r="G1163" s="207" t="str">
        <x:v>Закупки + склад</x:v>
      </x:c>
      <x:c r="H1163" s="207" t="str">
        <x:v>Высокий</x:v>
      </x:c>
      <x:c r="I1163" s="207" t="str">
        <x:v>Material aging; BOM; procurement; actual usage</x:v>
      </x:c>
      <x:c r="J1163" s="207" t="str">
        <x:v>Остатки ткани 31.05.2026</x:v>
      </x:c>
      <x:c r="K1163" s="207" t="str"/>
      <x:c r="L1163" s="207" t="str"/>
      <x:c r="M1163" s="207" t="str">
        <x:v>Не рассмотрено</x:v>
      </x:c>
      <x:c r="N1163" s="207" t="str"/>
      <x:c r="O1163" s="207" t="str">
        <x:v>17</x:v>
      </x:c>
      <x:c r="P1163" s="207" t="n">
        <x:v>3</x:v>
      </x:c>
      <x:c r="Q1163" s="208" t="str">
        <x:v>Wave 2 (31–60 дней)</x:v>
      </x:c>
    </x:row>
    <x:row r="1164">
      <x:c r="A1164" s="206" t="str">
        <x:v>DEC-01160</x:v>
      </x:c>
      <x:c r="B1164" s="207" t="str">
        <x:v>Material master</x:v>
      </x:c>
      <x:c r="C1164" s="207" t="str">
        <x:v>MAT-DRAFT-0393</x:v>
      </x:c>
      <x:c r="D1164" s="207" t="str">
        <x:v>Unlinked</x:v>
      </x:c>
      <x:c r="E1164" s="207" t="str">
        <x:v>1 строк; 5850.00 руб.; 23-046</x:v>
      </x:c>
      <x:c r="F1164" s="207" t="str">
        <x:v>Подтвердить карточку, UOM, состав, цвет, поставщика и правила объединения</x:v>
      </x:c>
      <x:c r="G1164" s="207" t="str">
        <x:v>Закупки + склад</x:v>
      </x:c>
      <x:c r="H1164" s="207" t="str">
        <x:v>Средний</x:v>
      </x:c>
      <x:c r="I1164" s="207" t="str">
        <x:v>Material aging; BOM; procurement; actual usage</x:v>
      </x:c>
      <x:c r="J1164" s="207" t="str">
        <x:v>Остатки ткани 31.05.2026</x:v>
      </x:c>
      <x:c r="K1164" s="207" t="str"/>
      <x:c r="L1164" s="207" t="str"/>
      <x:c r="M1164" s="207" t="str">
        <x:v>Не рассмотрено</x:v>
      </x:c>
      <x:c r="N1164" s="207" t="str"/>
      <x:c r="O1164" s="207" t="str">
        <x:v>17</x:v>
      </x:c>
      <x:c r="P1164" s="207" t="n">
        <x:v>2</x:v>
      </x:c>
      <x:c r="Q1164" s="208" t="str">
        <x:v>Wave 3 (61–90 дней)</x:v>
      </x:c>
    </x:row>
    <x:row r="1165">
      <x:c r="A1165" s="206" t="str">
        <x:v>DEC-01161</x:v>
      </x:c>
      <x:c r="B1165" s="207" t="str">
        <x:v>Material master</x:v>
      </x:c>
      <x:c r="C1165" s="207" t="str">
        <x:v>MAT-DRAFT-0394</x:v>
      </x:c>
      <x:c r="D1165" s="207" t="str">
        <x:v>Несколько кодов; Несколько исходных наименований</x:v>
      </x:c>
      <x:c r="E1165" s="207" t="str">
        <x:v>2 строк; 31650.00 руб.; 23-027; 23-059</x:v>
      </x:c>
      <x:c r="F1165" s="207" t="str">
        <x:v>Подтвердить карточку, UOM, состав, цвет, поставщика и правила объединения</x:v>
      </x:c>
      <x:c r="G1165" s="207" t="str">
        <x:v>Закупки + склад</x:v>
      </x:c>
      <x:c r="H1165" s="207" t="str">
        <x:v>Высокий</x:v>
      </x:c>
      <x:c r="I1165" s="207" t="str">
        <x:v>Material aging; BOM; procurement; actual usage</x:v>
      </x:c>
      <x:c r="J1165" s="207" t="str">
        <x:v>Остатки ткани 31.05.2026</x:v>
      </x:c>
      <x:c r="K1165" s="207" t="str"/>
      <x:c r="L1165" s="207" t="str"/>
      <x:c r="M1165" s="207" t="str">
        <x:v>Не рассмотрено</x:v>
      </x:c>
      <x:c r="N1165" s="207" t="str"/>
      <x:c r="O1165" s="207" t="str">
        <x:v>17</x:v>
      </x:c>
      <x:c r="P1165" s="207" t="n">
        <x:v>3</x:v>
      </x:c>
      <x:c r="Q1165" s="208" t="str">
        <x:v>Wave 2 (31–60 дней)</x:v>
      </x:c>
    </x:row>
    <x:row r="1166">
      <x:c r="A1166" s="206" t="str">
        <x:v>DEC-01162</x:v>
      </x:c>
      <x:c r="B1166" s="207" t="str">
        <x:v>Material master</x:v>
      </x:c>
      <x:c r="C1166" s="207" t="str">
        <x:v>MAT-DRAFT-0395</x:v>
      </x:c>
      <x:c r="D1166" s="207" t="str">
        <x:v>Unlinked</x:v>
      </x:c>
      <x:c r="E1166" s="207" t="str">
        <x:v>1 строк; 15100.00 руб.; 23-047</x:v>
      </x:c>
      <x:c r="F1166" s="207" t="str">
        <x:v>Подтвердить карточку, UOM, состав, цвет, поставщика и правила объединения</x:v>
      </x:c>
      <x:c r="G1166" s="207" t="str">
        <x:v>Закупки + склад</x:v>
      </x:c>
      <x:c r="H1166" s="207" t="str">
        <x:v>Высокий</x:v>
      </x:c>
      <x:c r="I1166" s="207" t="str">
        <x:v>Material aging; BOM; procurement; actual usage</x:v>
      </x:c>
      <x:c r="J1166" s="207" t="str">
        <x:v>Остатки ткани 31.05.2026</x:v>
      </x:c>
      <x:c r="K1166" s="207" t="str"/>
      <x:c r="L1166" s="207" t="str"/>
      <x:c r="M1166" s="207" t="str">
        <x:v>Не рассмотрено</x:v>
      </x:c>
      <x:c r="N1166" s="207" t="str"/>
      <x:c r="O1166" s="207" t="str">
        <x:v>17</x:v>
      </x:c>
      <x:c r="P1166" s="207" t="n">
        <x:v>3</x:v>
      </x:c>
      <x:c r="Q1166" s="208" t="str">
        <x:v>Wave 2 (31–60 дней)</x:v>
      </x:c>
    </x:row>
    <x:row r="1167">
      <x:c r="A1167" s="206" t="str">
        <x:v>DEC-01163</x:v>
      </x:c>
      <x:c r="B1167" s="207" t="str">
        <x:v>Material master</x:v>
      </x:c>
      <x:c r="C1167" s="207" t="str">
        <x:v>MAT-DRAFT-0396</x:v>
      </x:c>
      <x:c r="D1167" s="207" t="str">
        <x:v>Unlinked</x:v>
      </x:c>
      <x:c r="E1167" s="207" t="str">
        <x:v>1 строк; 9900.00 руб.; 23-077</x:v>
      </x:c>
      <x:c r="F1167" s="207" t="str">
        <x:v>Подтвердить карточку, UOM, состав, цвет, поставщика и правила объединения</x:v>
      </x:c>
      <x:c r="G1167" s="207" t="str">
        <x:v>Закупки + склад</x:v>
      </x:c>
      <x:c r="H1167" s="207" t="str">
        <x:v>Средний</x:v>
      </x:c>
      <x:c r="I1167" s="207" t="str">
        <x:v>Material aging; BOM; procurement; actual usage</x:v>
      </x:c>
      <x:c r="J1167" s="207" t="str">
        <x:v>Остатки ткани 31.05.2026</x:v>
      </x:c>
      <x:c r="K1167" s="207" t="str"/>
      <x:c r="L1167" s="207" t="str"/>
      <x:c r="M1167" s="207" t="str">
        <x:v>Не рассмотрено</x:v>
      </x:c>
      <x:c r="N1167" s="207" t="str"/>
      <x:c r="O1167" s="207" t="str">
        <x:v>17</x:v>
      </x:c>
      <x:c r="P1167" s="207" t="n">
        <x:v>2</x:v>
      </x:c>
      <x:c r="Q1167" s="208" t="str">
        <x:v>Wave 3 (61–90 дней)</x:v>
      </x:c>
    </x:row>
    <x:row r="1168">
      <x:c r="A1168" s="206" t="str">
        <x:v>DEC-01164</x:v>
      </x:c>
      <x:c r="B1168" s="207" t="str">
        <x:v>Material master</x:v>
      </x:c>
      <x:c r="C1168" s="207" t="str">
        <x:v>MAT-DRAFT-0397</x:v>
      </x:c>
      <x:c r="D1168" s="207" t="str">
        <x:v>Unlinked</x:v>
      </x:c>
      <x:c r="E1168" s="207" t="str">
        <x:v>1 строк; 4140.00 руб.; 23-019</x:v>
      </x:c>
      <x:c r="F1168" s="207" t="str">
        <x:v>Подтвердить карточку, UOM, состав, цвет, поставщика и правила объединения</x:v>
      </x:c>
      <x:c r="G1168" s="207" t="str">
        <x:v>Закупки + склад</x:v>
      </x:c>
      <x:c r="H1168" s="207" t="str">
        <x:v>Средний</x:v>
      </x:c>
      <x:c r="I1168" s="207" t="str">
        <x:v>Material aging; BOM; procurement; actual usage</x:v>
      </x:c>
      <x:c r="J1168" s="207" t="str">
        <x:v>Остатки ткани 31.05.2026</x:v>
      </x:c>
      <x:c r="K1168" s="207" t="str"/>
      <x:c r="L1168" s="207" t="str"/>
      <x:c r="M1168" s="207" t="str">
        <x:v>Не рассмотрено</x:v>
      </x:c>
      <x:c r="N1168" s="207" t="str"/>
      <x:c r="O1168" s="207" t="str">
        <x:v>17</x:v>
      </x:c>
      <x:c r="P1168" s="207" t="n">
        <x:v>2</x:v>
      </x:c>
      <x:c r="Q1168" s="208" t="str">
        <x:v>Wave 3 (61–90 дней)</x:v>
      </x:c>
    </x:row>
    <x:row r="1169">
      <x:c r="A1169" s="206" t="str">
        <x:v>DEC-01165</x:v>
      </x:c>
      <x:c r="B1169" s="207" t="str">
        <x:v>Material master</x:v>
      </x:c>
      <x:c r="C1169" s="207" t="str">
        <x:v>MAT-DRAFT-0398</x:v>
      </x:c>
      <x:c r="D1169" s="207" t="str">
        <x:v>Unlinked</x:v>
      </x:c>
      <x:c r="E1169" s="207" t="str">
        <x:v>1 строк; 13380.00 руб.; 23-017</x:v>
      </x:c>
      <x:c r="F1169" s="207" t="str">
        <x:v>Подтвердить карточку, UOM, состав, цвет, поставщика и правила объединения</x:v>
      </x:c>
      <x:c r="G1169" s="207" t="str">
        <x:v>Закупки + склад</x:v>
      </x:c>
      <x:c r="H1169" s="207" t="str">
        <x:v>Высокий</x:v>
      </x:c>
      <x:c r="I1169" s="207" t="str">
        <x:v>Material aging; BOM; procurement; actual usage</x:v>
      </x:c>
      <x:c r="J1169" s="207" t="str">
        <x:v>Остатки ткани 31.05.2026</x:v>
      </x:c>
      <x:c r="K1169" s="207" t="str"/>
      <x:c r="L1169" s="207" t="str"/>
      <x:c r="M1169" s="207" t="str">
        <x:v>Не рассмотрено</x:v>
      </x:c>
      <x:c r="N1169" s="207" t="str"/>
      <x:c r="O1169" s="207" t="str">
        <x:v>17</x:v>
      </x:c>
      <x:c r="P1169" s="207" t="n">
        <x:v>3</x:v>
      </x:c>
      <x:c r="Q1169" s="208" t="str">
        <x:v>Wave 2 (31–60 дней)</x:v>
      </x:c>
    </x:row>
    <x:row r="1170">
      <x:c r="A1170" s="206" t="str">
        <x:v>DEC-01166</x:v>
      </x:c>
      <x:c r="B1170" s="207" t="str">
        <x:v>Material master</x:v>
      </x:c>
      <x:c r="C1170" s="207" t="str">
        <x:v>MAT-DRAFT-0399</x:v>
      </x:c>
      <x:c r="D1170" s="207" t="str">
        <x:v>Несколько кодов; Несколько исходных наименований</x:v>
      </x:c>
      <x:c r="E1170" s="207" t="str">
        <x:v>2 строк; 8050.00 руб.; 23-003; 23-051</x:v>
      </x:c>
      <x:c r="F1170" s="207" t="str">
        <x:v>Подтвердить карточку, UOM, состав, цвет, поставщика и правила объединения</x:v>
      </x:c>
      <x:c r="G1170" s="207" t="str">
        <x:v>Закупки + склад</x:v>
      </x:c>
      <x:c r="H1170" s="207" t="str">
        <x:v>Средний</x:v>
      </x:c>
      <x:c r="I1170" s="207" t="str">
        <x:v>Material aging; BOM; procurement; actual usage</x:v>
      </x:c>
      <x:c r="J1170" s="207" t="str">
        <x:v>Остатки ткани 31.05.2026</x:v>
      </x:c>
      <x:c r="K1170" s="207" t="str"/>
      <x:c r="L1170" s="207" t="str"/>
      <x:c r="M1170" s="207" t="str">
        <x:v>Не рассмотрено</x:v>
      </x:c>
      <x:c r="N1170" s="207" t="str"/>
      <x:c r="O1170" s="207" t="str">
        <x:v>17</x:v>
      </x:c>
      <x:c r="P1170" s="207" t="n">
        <x:v>2</x:v>
      </x:c>
      <x:c r="Q1170" s="208" t="str">
        <x:v>Wave 3 (61–90 дней)</x:v>
      </x:c>
    </x:row>
    <x:row r="1171">
      <x:c r="A1171" s="206" t="str">
        <x:v>DEC-01167</x:v>
      </x:c>
      <x:c r="B1171" s="207" t="str">
        <x:v>Material master</x:v>
      </x:c>
      <x:c r="C1171" s="207" t="str">
        <x:v>MAT-DRAFT-0400</x:v>
      </x:c>
      <x:c r="D1171" s="207" t="str">
        <x:v>Несколько кодов; Несколько исходных наименований</x:v>
      </x:c>
      <x:c r="E1171" s="207" t="str">
        <x:v>4 строк; 55925.00 руб.; 23-022; 23-032; 23-049</x:v>
      </x:c>
      <x:c r="F1171" s="207" t="str">
        <x:v>Подтвердить карточку, UOM, состав, цвет, поставщика и правила объединения</x:v>
      </x:c>
      <x:c r="G1171" s="207" t="str">
        <x:v>Закупки + склад</x:v>
      </x:c>
      <x:c r="H1171" s="207" t="str">
        <x:v>Высокий</x:v>
      </x:c>
      <x:c r="I1171" s="207" t="str">
        <x:v>Material aging; BOM; procurement; actual usage</x:v>
      </x:c>
      <x:c r="J1171" s="207" t="str">
        <x:v>Остатки ткани 31.05.2026</x:v>
      </x:c>
      <x:c r="K1171" s="207" t="str"/>
      <x:c r="L1171" s="207" t="str"/>
      <x:c r="M1171" s="207" t="str">
        <x:v>Не рассмотрено</x:v>
      </x:c>
      <x:c r="N1171" s="207" t="str"/>
      <x:c r="O1171" s="207" t="str">
        <x:v>17</x:v>
      </x:c>
      <x:c r="P1171" s="207" t="n">
        <x:v>3</x:v>
      </x:c>
      <x:c r="Q1171" s="208" t="str">
        <x:v>Wave 2 (31–60 дней)</x:v>
      </x:c>
    </x:row>
    <x:row r="1172">
      <x:c r="A1172" s="206" t="str">
        <x:v>DEC-01168</x:v>
      </x:c>
      <x:c r="B1172" s="207" t="str">
        <x:v>Material master</x:v>
      </x:c>
      <x:c r="C1172" s="207" t="str">
        <x:v>MAT-DRAFT-0401</x:v>
      </x:c>
      <x:c r="D1172" s="207" t="str">
        <x:v>Unlinked</x:v>
      </x:c>
      <x:c r="E1172" s="207" t="str">
        <x:v>2 строк; 51350.00 руб.; 23-062</x:v>
      </x:c>
      <x:c r="F1172" s="207" t="str">
        <x:v>Подтвердить карточку, UOM, состав, цвет, поставщика и правила объединения</x:v>
      </x:c>
      <x:c r="G1172" s="207" t="str">
        <x:v>Закупки + склад</x:v>
      </x:c>
      <x:c r="H1172" s="207" t="str">
        <x:v>Высокий</x:v>
      </x:c>
      <x:c r="I1172" s="207" t="str">
        <x:v>Material aging; BOM; procurement; actual usage</x:v>
      </x:c>
      <x:c r="J1172" s="207" t="str">
        <x:v>Остатки ткани 31.05.2026</x:v>
      </x:c>
      <x:c r="K1172" s="207" t="str"/>
      <x:c r="L1172" s="207" t="str"/>
      <x:c r="M1172" s="207" t="str">
        <x:v>Не рассмотрено</x:v>
      </x:c>
      <x:c r="N1172" s="207" t="str"/>
      <x:c r="O1172" s="207" t="str">
        <x:v>17</x:v>
      </x:c>
      <x:c r="P1172" s="207" t="n">
        <x:v>3</x:v>
      </x:c>
      <x:c r="Q1172" s="208" t="str">
        <x:v>Wave 2 (31–60 дней)</x:v>
      </x:c>
    </x:row>
    <x:row r="1173">
      <x:c r="A1173" s="206" t="str">
        <x:v>DEC-01169</x:v>
      </x:c>
      <x:c r="B1173" s="207" t="str">
        <x:v>Material master</x:v>
      </x:c>
      <x:c r="C1173" s="207" t="str">
        <x:v>MAT-DRAFT-0402</x:v>
      </x:c>
      <x:c r="D1173" s="207" t="str">
        <x:v>Unlinked</x:v>
      </x:c>
      <x:c r="E1173" s="207" t="str">
        <x:v>1 строк; 37800.00 руб.; 4P-027</x:v>
      </x:c>
      <x:c r="F1173" s="207" t="str">
        <x:v>Подтвердить карточку, UOM, состав, цвет, поставщика и правила объединения</x:v>
      </x:c>
      <x:c r="G1173" s="207" t="str">
        <x:v>Закупки + склад</x:v>
      </x:c>
      <x:c r="H1173" s="207" t="str">
        <x:v>Высокий</x:v>
      </x:c>
      <x:c r="I1173" s="207" t="str">
        <x:v>Material aging; BOM; procurement; actual usage</x:v>
      </x:c>
      <x:c r="J1173" s="207" t="str">
        <x:v>Остатки ткани 31.05.2026</x:v>
      </x:c>
      <x:c r="K1173" s="207" t="str"/>
      <x:c r="L1173" s="207" t="str"/>
      <x:c r="M1173" s="207" t="str">
        <x:v>Не рассмотрено</x:v>
      </x:c>
      <x:c r="N1173" s="207" t="str"/>
      <x:c r="O1173" s="207" t="str">
        <x:v>17</x:v>
      </x:c>
      <x:c r="P1173" s="207" t="n">
        <x:v>3</x:v>
      </x:c>
      <x:c r="Q1173" s="208" t="str">
        <x:v>Wave 2 (31–60 дней)</x:v>
      </x:c>
    </x:row>
    <x:row r="1174">
      <x:c r="A1174" s="206" t="str">
        <x:v>DEC-01170</x:v>
      </x:c>
      <x:c r="B1174" s="207" t="str">
        <x:v>Material master</x:v>
      </x:c>
      <x:c r="C1174" s="207" t="str">
        <x:v>MAT-DRAFT-0403</x:v>
      </x:c>
      <x:c r="D1174" s="207" t="str">
        <x:v>Unlinked</x:v>
      </x:c>
      <x:c r="E1174" s="207" t="str">
        <x:v>1 строк; 3150.00 руб.; 4P-002</x:v>
      </x:c>
      <x:c r="F1174" s="207" t="str">
        <x:v>Подтвердить карточку, UOM, состав, цвет, поставщика и правила объединения</x:v>
      </x:c>
      <x:c r="G1174" s="207" t="str">
        <x:v>Закупки + склад</x:v>
      </x:c>
      <x:c r="H1174" s="207" t="str">
        <x:v>Средний</x:v>
      </x:c>
      <x:c r="I1174" s="207" t="str">
        <x:v>Material aging; BOM; procurement; actual usage</x:v>
      </x:c>
      <x:c r="J1174" s="207" t="str">
        <x:v>Остатки ткани 31.05.2026</x:v>
      </x:c>
      <x:c r="K1174" s="207" t="str"/>
      <x:c r="L1174" s="207" t="str"/>
      <x:c r="M1174" s="207" t="str">
        <x:v>Не рассмотрено</x:v>
      </x:c>
      <x:c r="N1174" s="207" t="str"/>
      <x:c r="O1174" s="207" t="str">
        <x:v>17</x:v>
      </x:c>
      <x:c r="P1174" s="207" t="n">
        <x:v>2</x:v>
      </x:c>
      <x:c r="Q1174" s="208" t="str">
        <x:v>Wave 3 (61–90 дней)</x:v>
      </x:c>
    </x:row>
    <x:row r="1175">
      <x:c r="A1175" s="206" t="str">
        <x:v>DEC-01171</x:v>
      </x:c>
      <x:c r="B1175" s="207" t="str">
        <x:v>Material master</x:v>
      </x:c>
      <x:c r="C1175" s="207" t="str">
        <x:v>MAT-DRAFT-0404</x:v>
      </x:c>
      <x:c r="D1175" s="207" t="str">
        <x:v>Unlinked</x:v>
      </x:c>
      <x:c r="E1175" s="207" t="str">
        <x:v>1 строк; 8820.00 руб.; 4P-024</x:v>
      </x:c>
      <x:c r="F1175" s="207" t="str">
        <x:v>Подтвердить карточку, UOM, состав, цвет, поставщика и правила объединения</x:v>
      </x:c>
      <x:c r="G1175" s="207" t="str">
        <x:v>Закупки + склад</x:v>
      </x:c>
      <x:c r="H1175" s="207" t="str">
        <x:v>Средний</x:v>
      </x:c>
      <x:c r="I1175" s="207" t="str">
        <x:v>Material aging; BOM; procurement; actual usage</x:v>
      </x:c>
      <x:c r="J1175" s="207" t="str">
        <x:v>Остатки ткани 31.05.2026</x:v>
      </x:c>
      <x:c r="K1175" s="207" t="str"/>
      <x:c r="L1175" s="207" t="str"/>
      <x:c r="M1175" s="207" t="str">
        <x:v>Не рассмотрено</x:v>
      </x:c>
      <x:c r="N1175" s="207" t="str"/>
      <x:c r="O1175" s="207" t="str">
        <x:v>17</x:v>
      </x:c>
      <x:c r="P1175" s="207" t="n">
        <x:v>2</x:v>
      </x:c>
      <x:c r="Q1175" s="208" t="str">
        <x:v>Wave 3 (61–90 дней)</x:v>
      </x:c>
    </x:row>
    <x:row r="1176">
      <x:c r="A1176" s="206" t="str">
        <x:v>DEC-01172</x:v>
      </x:c>
      <x:c r="B1176" s="207" t="str">
        <x:v>Material master</x:v>
      </x:c>
      <x:c r="C1176" s="207" t="str">
        <x:v>MAT-DRAFT-0405</x:v>
      </x:c>
      <x:c r="D1176" s="207" t="str">
        <x:v>Unlinked</x:v>
      </x:c>
      <x:c r="E1176" s="207" t="str">
        <x:v>3 строк; 69700.00 руб.; 4A-032</x:v>
      </x:c>
      <x:c r="F1176" s="207" t="str">
        <x:v>Подтвердить карточку, UOM, состав, цвет, поставщика и правила объединения</x:v>
      </x:c>
      <x:c r="G1176" s="207" t="str">
        <x:v>Закупки + склад</x:v>
      </x:c>
      <x:c r="H1176" s="207" t="str">
        <x:v>Высокий</x:v>
      </x:c>
      <x:c r="I1176" s="207" t="str">
        <x:v>Material aging; BOM; procurement; actual usage</x:v>
      </x:c>
      <x:c r="J1176" s="207" t="str">
        <x:v>Остатки ткани 31.05.2026</x:v>
      </x:c>
      <x:c r="K1176" s="207" t="str"/>
      <x:c r="L1176" s="207" t="str"/>
      <x:c r="M1176" s="207" t="str">
        <x:v>Не рассмотрено</x:v>
      </x:c>
      <x:c r="N1176" s="207" t="str"/>
      <x:c r="O1176" s="207" t="str">
        <x:v>17</x:v>
      </x:c>
      <x:c r="P1176" s="207" t="n">
        <x:v>3</x:v>
      </x:c>
      <x:c r="Q1176" s="208" t="str">
        <x:v>Wave 2 (31–60 дней)</x:v>
      </x:c>
    </x:row>
    <x:row r="1177">
      <x:c r="A1177" s="206" t="str">
        <x:v>DEC-01173</x:v>
      </x:c>
      <x:c r="B1177" s="207" t="str">
        <x:v>Material master</x:v>
      </x:c>
      <x:c r="C1177" s="207" t="str">
        <x:v>MAT-DRAFT-0406</x:v>
      </x:c>
      <x:c r="D1177" s="207" t="str">
        <x:v>Unlinked</x:v>
      </x:c>
      <x:c r="E1177" s="207" t="str">
        <x:v>1 строк; 4800.00 руб.; 4A-031</x:v>
      </x:c>
      <x:c r="F1177" s="207" t="str">
        <x:v>Подтвердить карточку, UOM, состав, цвет, поставщика и правила объединения</x:v>
      </x:c>
      <x:c r="G1177" s="207" t="str">
        <x:v>Закупки + склад</x:v>
      </x:c>
      <x:c r="H1177" s="207" t="str">
        <x:v>Средний</x:v>
      </x:c>
      <x:c r="I1177" s="207" t="str">
        <x:v>Material aging; BOM; procurement; actual usage</x:v>
      </x:c>
      <x:c r="J1177" s="207" t="str">
        <x:v>Остатки ткани 31.05.2026</x:v>
      </x:c>
      <x:c r="K1177" s="207" t="str"/>
      <x:c r="L1177" s="207" t="str"/>
      <x:c r="M1177" s="207" t="str">
        <x:v>Не рассмотрено</x:v>
      </x:c>
      <x:c r="N1177" s="207" t="str"/>
      <x:c r="O1177" s="207" t="str">
        <x:v>17</x:v>
      </x:c>
      <x:c r="P1177" s="207" t="n">
        <x:v>2</x:v>
      </x:c>
      <x:c r="Q1177" s="208" t="str">
        <x:v>Wave 3 (61–90 дней)</x:v>
      </x:c>
    </x:row>
    <x:row r="1178">
      <x:c r="A1178" s="206" t="str">
        <x:v>DEC-01174</x:v>
      </x:c>
      <x:c r="B1178" s="207" t="str">
        <x:v>Material master</x:v>
      </x:c>
      <x:c r="C1178" s="207" t="str">
        <x:v>MAT-DRAFT-0407</x:v>
      </x:c>
      <x:c r="D1178" s="207" t="str">
        <x:v>Unlinked</x:v>
      </x:c>
      <x:c r="E1178" s="207" t="str">
        <x:v>2 строк; 49300.00 руб.; 4A-023</x:v>
      </x:c>
      <x:c r="F1178" s="207" t="str">
        <x:v>Подтвердить карточку, UOM, состав, цвет, поставщика и правила объединения</x:v>
      </x:c>
      <x:c r="G1178" s="207" t="str">
        <x:v>Закупки + склад</x:v>
      </x:c>
      <x:c r="H1178" s="207" t="str">
        <x:v>Высокий</x:v>
      </x:c>
      <x:c r="I1178" s="207" t="str">
        <x:v>Material aging; BOM; procurement; actual usage</x:v>
      </x:c>
      <x:c r="J1178" s="207" t="str">
        <x:v>Остатки ткани 31.05.2026</x:v>
      </x:c>
      <x:c r="K1178" s="207" t="str"/>
      <x:c r="L1178" s="207" t="str"/>
      <x:c r="M1178" s="207" t="str">
        <x:v>Не рассмотрено</x:v>
      </x:c>
      <x:c r="N1178" s="207" t="str"/>
      <x:c r="O1178" s="207" t="str">
        <x:v>17</x:v>
      </x:c>
      <x:c r="P1178" s="207" t="n">
        <x:v>3</x:v>
      </x:c>
      <x:c r="Q1178" s="208" t="str">
        <x:v>Wave 2 (31–60 дней)</x:v>
      </x:c>
    </x:row>
    <x:row r="1179">
      <x:c r="A1179" s="206" t="str">
        <x:v>DEC-01175</x:v>
      </x:c>
      <x:c r="B1179" s="207" t="str">
        <x:v>Material master</x:v>
      </x:c>
      <x:c r="C1179" s="207" t="str">
        <x:v>MAT-DRAFT-0408</x:v>
      </x:c>
      <x:c r="D1179" s="207" t="str">
        <x:v>Unlinked</x:v>
      </x:c>
      <x:c r="E1179" s="207" t="str">
        <x:v>1 строк; 34500.00 руб.; 4A-053</x:v>
      </x:c>
      <x:c r="F1179" s="207" t="str">
        <x:v>Подтвердить карточку, UOM, состав, цвет, поставщика и правила объединения</x:v>
      </x:c>
      <x:c r="G1179" s="207" t="str">
        <x:v>Закупки + склад</x:v>
      </x:c>
      <x:c r="H1179" s="207" t="str">
        <x:v>Высокий</x:v>
      </x:c>
      <x:c r="I1179" s="207" t="str">
        <x:v>Material aging; BOM; procurement; actual usage</x:v>
      </x:c>
      <x:c r="J1179" s="207" t="str">
        <x:v>Остатки ткани 31.05.2026</x:v>
      </x:c>
      <x:c r="K1179" s="207" t="str"/>
      <x:c r="L1179" s="207" t="str"/>
      <x:c r="M1179" s="207" t="str">
        <x:v>Не рассмотрено</x:v>
      </x:c>
      <x:c r="N1179" s="207" t="str"/>
      <x:c r="O1179" s="207" t="str">
        <x:v>17</x:v>
      </x:c>
      <x:c r="P1179" s="207" t="n">
        <x:v>3</x:v>
      </x:c>
      <x:c r="Q1179" s="208" t="str">
        <x:v>Wave 2 (31–60 дней)</x:v>
      </x:c>
    </x:row>
    <x:row r="1180">
      <x:c r="A1180" s="206" t="str">
        <x:v>DEC-01176</x:v>
      </x:c>
      <x:c r="B1180" s="207" t="str">
        <x:v>Material master</x:v>
      </x:c>
      <x:c r="C1180" s="207" t="str">
        <x:v>MAT-DRAFT-0409</x:v>
      </x:c>
      <x:c r="D1180" s="207" t="str">
        <x:v>Unlinked</x:v>
      </x:c>
      <x:c r="E1180" s="207" t="str">
        <x:v>1 строк; 14900.00 руб.; 4A-034</x:v>
      </x:c>
      <x:c r="F1180" s="207" t="str">
        <x:v>Подтвердить карточку, UOM, состав, цвет, поставщика и правила объединения</x:v>
      </x:c>
      <x:c r="G1180" s="207" t="str">
        <x:v>Закупки + склад</x:v>
      </x:c>
      <x:c r="H1180" s="207" t="str">
        <x:v>Высокий</x:v>
      </x:c>
      <x:c r="I1180" s="207" t="str">
        <x:v>Material aging; BOM; procurement; actual usage</x:v>
      </x:c>
      <x:c r="J1180" s="207" t="str">
        <x:v>Остатки ткани 31.05.2026</x:v>
      </x:c>
      <x:c r="K1180" s="207" t="str"/>
      <x:c r="L1180" s="207" t="str"/>
      <x:c r="M1180" s="207" t="str">
        <x:v>Не рассмотрено</x:v>
      </x:c>
      <x:c r="N1180" s="207" t="str"/>
      <x:c r="O1180" s="207" t="str">
        <x:v>17</x:v>
      </x:c>
      <x:c r="P1180" s="207" t="n">
        <x:v>3</x:v>
      </x:c>
      <x:c r="Q1180" s="208" t="str">
        <x:v>Wave 2 (31–60 дней)</x:v>
      </x:c>
    </x:row>
    <x:row r="1181">
      <x:c r="A1181" s="206" t="str">
        <x:v>DEC-01177</x:v>
      </x:c>
      <x:c r="B1181" s="207" t="str">
        <x:v>Material master</x:v>
      </x:c>
      <x:c r="C1181" s="207" t="str">
        <x:v>MAT-DRAFT-0410</x:v>
      </x:c>
      <x:c r="D1181" s="207" t="str">
        <x:v>Unlinked</x:v>
      </x:c>
      <x:c r="E1181" s="207" t="str">
        <x:v>1 строк; 22200.00 руб.; 4A-033</x:v>
      </x:c>
      <x:c r="F1181" s="207" t="str">
        <x:v>Подтвердить карточку, UOM, состав, цвет, поставщика и правила объединения</x:v>
      </x:c>
      <x:c r="G1181" s="207" t="str">
        <x:v>Закупки + склад</x:v>
      </x:c>
      <x:c r="H1181" s="207" t="str">
        <x:v>Высокий</x:v>
      </x:c>
      <x:c r="I1181" s="207" t="str">
        <x:v>Material aging; BOM; procurement; actual usage</x:v>
      </x:c>
      <x:c r="J1181" s="207" t="str">
        <x:v>Остатки ткани 31.05.2026</x:v>
      </x:c>
      <x:c r="K1181" s="207" t="str"/>
      <x:c r="L1181" s="207" t="str"/>
      <x:c r="M1181" s="207" t="str">
        <x:v>Не рассмотрено</x:v>
      </x:c>
      <x:c r="N1181" s="207" t="str"/>
      <x:c r="O1181" s="207" t="str">
        <x:v>17</x:v>
      </x:c>
      <x:c r="P1181" s="207" t="n">
        <x:v>3</x:v>
      </x:c>
      <x:c r="Q1181" s="208" t="str">
        <x:v>Wave 2 (31–60 дней)</x:v>
      </x:c>
    </x:row>
    <x:row r="1182">
      <x:c r="A1182" s="206" t="str">
        <x:v>DEC-01178</x:v>
      </x:c>
      <x:c r="B1182" s="207" t="str">
        <x:v>Material master</x:v>
      </x:c>
      <x:c r="C1182" s="207" t="str">
        <x:v>MAT-DRAFT-0411</x:v>
      </x:c>
      <x:c r="D1182" s="207" t="str">
        <x:v>Unlinked</x:v>
      </x:c>
      <x:c r="E1182" s="207" t="str">
        <x:v>2 строк; 22600.00 руб.; 4A-037</x:v>
      </x:c>
      <x:c r="F1182" s="207" t="str">
        <x:v>Подтвердить карточку, UOM, состав, цвет, поставщика и правила объединения</x:v>
      </x:c>
      <x:c r="G1182" s="207" t="str">
        <x:v>Закупки + склад</x:v>
      </x:c>
      <x:c r="H1182" s="207" t="str">
        <x:v>Высокий</x:v>
      </x:c>
      <x:c r="I1182" s="207" t="str">
        <x:v>Material aging; BOM; procurement; actual usage</x:v>
      </x:c>
      <x:c r="J1182" s="207" t="str">
        <x:v>Остатки ткани 31.05.2026</x:v>
      </x:c>
      <x:c r="K1182" s="207" t="str"/>
      <x:c r="L1182" s="207" t="str"/>
      <x:c r="M1182" s="207" t="str">
        <x:v>Не рассмотрено</x:v>
      </x:c>
      <x:c r="N1182" s="207" t="str"/>
      <x:c r="O1182" s="207" t="str">
        <x:v>17</x:v>
      </x:c>
      <x:c r="P1182" s="207" t="n">
        <x:v>3</x:v>
      </x:c>
      <x:c r="Q1182" s="208" t="str">
        <x:v>Wave 2 (31–60 дней)</x:v>
      </x:c>
    </x:row>
    <x:row r="1183">
      <x:c r="A1183" s="206" t="str">
        <x:v>DEC-01179</x:v>
      </x:c>
      <x:c r="B1183" s="207" t="str">
        <x:v>Material master</x:v>
      </x:c>
      <x:c r="C1183" s="207" t="str">
        <x:v>MAT-DRAFT-0412</x:v>
      </x:c>
      <x:c r="D1183" s="207" t="str">
        <x:v>Unlinked</x:v>
      </x:c>
      <x:c r="E1183" s="207" t="str">
        <x:v>2 строк; 10000.00 руб.; 4A-036</x:v>
      </x:c>
      <x:c r="F1183" s="207" t="str">
        <x:v>Подтвердить карточку, UOM, состав, цвет, поставщика и правила объединения</x:v>
      </x:c>
      <x:c r="G1183" s="207" t="str">
        <x:v>Закупки + склад</x:v>
      </x:c>
      <x:c r="H1183" s="207" t="str">
        <x:v>Высокий</x:v>
      </x:c>
      <x:c r="I1183" s="207" t="str">
        <x:v>Material aging; BOM; procurement; actual usage</x:v>
      </x:c>
      <x:c r="J1183" s="207" t="str">
        <x:v>Остатки ткани 31.05.2026</x:v>
      </x:c>
      <x:c r="K1183" s="207" t="str"/>
      <x:c r="L1183" s="207" t="str"/>
      <x:c r="M1183" s="207" t="str">
        <x:v>Не рассмотрено</x:v>
      </x:c>
      <x:c r="N1183" s="207" t="str"/>
      <x:c r="O1183" s="207" t="str">
        <x:v>17</x:v>
      </x:c>
      <x:c r="P1183" s="207" t="n">
        <x:v>3</x:v>
      </x:c>
      <x:c r="Q1183" s="208" t="str">
        <x:v>Wave 2 (31–60 дней)</x:v>
      </x:c>
    </x:row>
    <x:row r="1184">
      <x:c r="A1184" s="206" t="str">
        <x:v>DEC-01180</x:v>
      </x:c>
      <x:c r="B1184" s="207" t="str">
        <x:v>Material master</x:v>
      </x:c>
      <x:c r="C1184" s="207" t="str">
        <x:v>MAT-DRAFT-0413</x:v>
      </x:c>
      <x:c r="D1184" s="207" t="str">
        <x:v>Unlinked</x:v>
      </x:c>
      <x:c r="E1184" s="207" t="str">
        <x:v>2 строк; 37000.00 руб.; 4A-035</x:v>
      </x:c>
      <x:c r="F1184" s="207" t="str">
        <x:v>Подтвердить карточку, UOM, состав, цвет, поставщика и правила объединения</x:v>
      </x:c>
      <x:c r="G1184" s="207" t="str">
        <x:v>Закупки + склад</x:v>
      </x:c>
      <x:c r="H1184" s="207" t="str">
        <x:v>Высокий</x:v>
      </x:c>
      <x:c r="I1184" s="207" t="str">
        <x:v>Material aging; BOM; procurement; actual usage</x:v>
      </x:c>
      <x:c r="J1184" s="207" t="str">
        <x:v>Остатки ткани 31.05.2026</x:v>
      </x:c>
      <x:c r="K1184" s="207" t="str"/>
      <x:c r="L1184" s="207" t="str"/>
      <x:c r="M1184" s="207" t="str">
        <x:v>Не рассмотрено</x:v>
      </x:c>
      <x:c r="N1184" s="207" t="str"/>
      <x:c r="O1184" s="207" t="str">
        <x:v>17</x:v>
      </x:c>
      <x:c r="P1184" s="207" t="n">
        <x:v>3</x:v>
      </x:c>
      <x:c r="Q1184" s="208" t="str">
        <x:v>Wave 2 (31–60 дней)</x:v>
      </x:c>
    </x:row>
    <x:row r="1185">
      <x:c r="A1185" s="206" t="str">
        <x:v>DEC-01181</x:v>
      </x:c>
      <x:c r="B1185" s="207" t="str">
        <x:v>Material master</x:v>
      </x:c>
      <x:c r="C1185" s="207" t="str">
        <x:v>MAT-DRAFT-0414</x:v>
      </x:c>
      <x:c r="D1185" s="207" t="str">
        <x:v>Unlinked</x:v>
      </x:c>
      <x:c r="E1185" s="207" t="str">
        <x:v>1 строк; 67000.00 руб.; 4A-029</x:v>
      </x:c>
      <x:c r="F1185" s="207" t="str">
        <x:v>Подтвердить карточку, UOM, состав, цвет, поставщика и правила объединения</x:v>
      </x:c>
      <x:c r="G1185" s="207" t="str">
        <x:v>Закупки + склад</x:v>
      </x:c>
      <x:c r="H1185" s="207" t="str">
        <x:v>Высокий</x:v>
      </x:c>
      <x:c r="I1185" s="207" t="str">
        <x:v>Material aging; BOM; procurement; actual usage</x:v>
      </x:c>
      <x:c r="J1185" s="207" t="str">
        <x:v>Остатки ткани 31.05.2026</x:v>
      </x:c>
      <x:c r="K1185" s="207" t="str"/>
      <x:c r="L1185" s="207" t="str"/>
      <x:c r="M1185" s="207" t="str">
        <x:v>Не рассмотрено</x:v>
      </x:c>
      <x:c r="N1185" s="207" t="str"/>
      <x:c r="O1185" s="207" t="str">
        <x:v>17</x:v>
      </x:c>
      <x:c r="P1185" s="207" t="n">
        <x:v>3</x:v>
      </x:c>
      <x:c r="Q1185" s="208" t="str">
        <x:v>Wave 2 (31–60 дней)</x:v>
      </x:c>
    </x:row>
    <x:row r="1186">
      <x:c r="A1186" s="206" t="str">
        <x:v>DEC-01182</x:v>
      </x:c>
      <x:c r="B1186" s="207" t="str">
        <x:v>Material master</x:v>
      </x:c>
      <x:c r="C1186" s="207" t="str">
        <x:v>MAT-DRAFT-0415</x:v>
      </x:c>
      <x:c r="D1186" s="207" t="str">
        <x:v>Unlinked</x:v>
      </x:c>
      <x:c r="E1186" s="207" t="str">
        <x:v>1 строк; 6400.00 руб.; 4A-045</x:v>
      </x:c>
      <x:c r="F1186" s="207" t="str">
        <x:v>Подтвердить карточку, UOM, состав, цвет, поставщика и правила объединения</x:v>
      </x:c>
      <x:c r="G1186" s="207" t="str">
        <x:v>Закупки + склад</x:v>
      </x:c>
      <x:c r="H1186" s="207" t="str">
        <x:v>Средний</x:v>
      </x:c>
      <x:c r="I1186" s="207" t="str">
        <x:v>Material aging; BOM; procurement; actual usage</x:v>
      </x:c>
      <x:c r="J1186" s="207" t="str">
        <x:v>Остатки ткани 31.05.2026</x:v>
      </x:c>
      <x:c r="K1186" s="207" t="str"/>
      <x:c r="L1186" s="207" t="str"/>
      <x:c r="M1186" s="207" t="str">
        <x:v>Не рассмотрено</x:v>
      </x:c>
      <x:c r="N1186" s="207" t="str"/>
      <x:c r="O1186" s="207" t="str">
        <x:v>17</x:v>
      </x:c>
      <x:c r="P1186" s="207" t="n">
        <x:v>2</x:v>
      </x:c>
      <x:c r="Q1186" s="208" t="str">
        <x:v>Wave 3 (61–90 дней)</x:v>
      </x:c>
    </x:row>
    <x:row r="1187">
      <x:c r="A1187" s="206" t="str">
        <x:v>DEC-01183</x:v>
      </x:c>
      <x:c r="B1187" s="207" t="str">
        <x:v>Material master</x:v>
      </x:c>
      <x:c r="C1187" s="207" t="str">
        <x:v>MAT-DRAFT-0416</x:v>
      </x:c>
      <x:c r="D1187" s="207" t="str">
        <x:v>Unlinked</x:v>
      </x:c>
      <x:c r="E1187" s="207" t="str">
        <x:v>2 строк; 34000.00 руб.; 4A-003</x:v>
      </x:c>
      <x:c r="F1187" s="207" t="str">
        <x:v>Подтвердить карточку, UOM, состав, цвет, поставщика и правила объединения</x:v>
      </x:c>
      <x:c r="G1187" s="207" t="str">
        <x:v>Закупки + склад</x:v>
      </x:c>
      <x:c r="H1187" s="207" t="str">
        <x:v>Высокий</x:v>
      </x:c>
      <x:c r="I1187" s="207" t="str">
        <x:v>Material aging; BOM; procurement; actual usage</x:v>
      </x:c>
      <x:c r="J1187" s="207" t="str">
        <x:v>Остатки ткани 31.05.2026</x:v>
      </x:c>
      <x:c r="K1187" s="207" t="str"/>
      <x:c r="L1187" s="207" t="str"/>
      <x:c r="M1187" s="207" t="str">
        <x:v>Не рассмотрено</x:v>
      </x:c>
      <x:c r="N1187" s="207" t="str"/>
      <x:c r="O1187" s="207" t="str">
        <x:v>17</x:v>
      </x:c>
      <x:c r="P1187" s="207" t="n">
        <x:v>3</x:v>
      </x:c>
      <x:c r="Q1187" s="208" t="str">
        <x:v>Wave 2 (31–60 дней)</x:v>
      </x:c>
    </x:row>
    <x:row r="1188">
      <x:c r="A1188" s="206" t="str">
        <x:v>DEC-01184</x:v>
      </x:c>
      <x:c r="B1188" s="207" t="str">
        <x:v>Material master</x:v>
      </x:c>
      <x:c r="C1188" s="207" t="str">
        <x:v>MAT-DRAFT-0417</x:v>
      </x:c>
      <x:c r="D1188" s="207" t="str">
        <x:v>Unlinked</x:v>
      </x:c>
      <x:c r="E1188" s="207" t="str">
        <x:v>1 строк; 6750.00 руб.; 4A-013</x:v>
      </x:c>
      <x:c r="F1188" s="207" t="str">
        <x:v>Подтвердить карточку, UOM, состав, цвет, поставщика и правила объединения</x:v>
      </x:c>
      <x:c r="G1188" s="207" t="str">
        <x:v>Закупки + склад</x:v>
      </x:c>
      <x:c r="H1188" s="207" t="str">
        <x:v>Средний</x:v>
      </x:c>
      <x:c r="I1188" s="207" t="str">
        <x:v>Material aging; BOM; procurement; actual usage</x:v>
      </x:c>
      <x:c r="J1188" s="207" t="str">
        <x:v>Остатки ткани 31.05.2026</x:v>
      </x:c>
      <x:c r="K1188" s="207" t="str"/>
      <x:c r="L1188" s="207" t="str"/>
      <x:c r="M1188" s="207" t="str">
        <x:v>Не рассмотрено</x:v>
      </x:c>
      <x:c r="N1188" s="207" t="str"/>
      <x:c r="O1188" s="207" t="str">
        <x:v>17</x:v>
      </x:c>
      <x:c r="P1188" s="207" t="n">
        <x:v>2</x:v>
      </x:c>
      <x:c r="Q1188" s="208" t="str">
        <x:v>Wave 3 (61–90 дней)</x:v>
      </x:c>
    </x:row>
    <x:row r="1189">
      <x:c r="A1189" s="206" t="str">
        <x:v>DEC-01185</x:v>
      </x:c>
      <x:c r="B1189" s="207" t="str">
        <x:v>Material master</x:v>
      </x:c>
      <x:c r="C1189" s="207" t="str">
        <x:v>MAT-DRAFT-0418</x:v>
      </x:c>
      <x:c r="D1189" s="207" t="str">
        <x:v>Unlinked</x:v>
      </x:c>
      <x:c r="E1189" s="207" t="str">
        <x:v>1 строк; 13000.00 руб.; 4A-002</x:v>
      </x:c>
      <x:c r="F1189" s="207" t="str">
        <x:v>Подтвердить карточку, UOM, состав, цвет, поставщика и правила объединения</x:v>
      </x:c>
      <x:c r="G1189" s="207" t="str">
        <x:v>Закупки + склад</x:v>
      </x:c>
      <x:c r="H1189" s="207" t="str">
        <x:v>Высокий</x:v>
      </x:c>
      <x:c r="I1189" s="207" t="str">
        <x:v>Material aging; BOM; procurement; actual usage</x:v>
      </x:c>
      <x:c r="J1189" s="207" t="str">
        <x:v>Остатки ткани 31.05.2026</x:v>
      </x:c>
      <x:c r="K1189" s="207" t="str"/>
      <x:c r="L1189" s="207" t="str"/>
      <x:c r="M1189" s="207" t="str">
        <x:v>Не рассмотрено</x:v>
      </x:c>
      <x:c r="N1189" s="207" t="str"/>
      <x:c r="O1189" s="207" t="str">
        <x:v>17</x:v>
      </x:c>
      <x:c r="P1189" s="207" t="n">
        <x:v>3</x:v>
      </x:c>
      <x:c r="Q1189" s="208" t="str">
        <x:v>Wave 2 (31–60 дней)</x:v>
      </x:c>
    </x:row>
    <x:row r="1190">
      <x:c r="A1190" s="206" t="str">
        <x:v>DEC-01186</x:v>
      </x:c>
      <x:c r="B1190" s="207" t="str">
        <x:v>Material master</x:v>
      </x:c>
      <x:c r="C1190" s="207" t="str">
        <x:v>MAT-DRAFT-0419</x:v>
      </x:c>
      <x:c r="D1190" s="207" t="str">
        <x:v>Unlinked</x:v>
      </x:c>
      <x:c r="E1190" s="207" t="str">
        <x:v>1 строк; 5100.00 руб.; 4A-039</x:v>
      </x:c>
      <x:c r="F1190" s="207" t="str">
        <x:v>Подтвердить карточку, UOM, состав, цвет, поставщика и правила объединения</x:v>
      </x:c>
      <x:c r="G1190" s="207" t="str">
        <x:v>Закупки + склад</x:v>
      </x:c>
      <x:c r="H1190" s="207" t="str">
        <x:v>Средний</x:v>
      </x:c>
      <x:c r="I1190" s="207" t="str">
        <x:v>Material aging; BOM; procurement; actual usage</x:v>
      </x:c>
      <x:c r="J1190" s="207" t="str">
        <x:v>Остатки ткани 31.05.2026</x:v>
      </x:c>
      <x:c r="K1190" s="207" t="str"/>
      <x:c r="L1190" s="207" t="str"/>
      <x:c r="M1190" s="207" t="str">
        <x:v>Не рассмотрено</x:v>
      </x:c>
      <x:c r="N1190" s="207" t="str"/>
      <x:c r="O1190" s="207" t="str">
        <x:v>17</x:v>
      </x:c>
      <x:c r="P1190" s="207" t="n">
        <x:v>2</x:v>
      </x:c>
      <x:c r="Q1190" s="208" t="str">
        <x:v>Wave 3 (61–90 дней)</x:v>
      </x:c>
    </x:row>
    <x:row r="1191">
      <x:c r="A1191" s="206" t="str">
        <x:v>DEC-01187</x:v>
      </x:c>
      <x:c r="B1191" s="207" t="str">
        <x:v>Material master</x:v>
      </x:c>
      <x:c r="C1191" s="207" t="str">
        <x:v>MAT-DRAFT-0421</x:v>
      </x:c>
      <x:c r="D1191" s="207" t="str">
        <x:v>Unlinked</x:v>
      </x:c>
      <x:c r="E1191" s="207" t="str">
        <x:v>2 строк; 8000.00 руб.; 4A-040</x:v>
      </x:c>
      <x:c r="F1191" s="207" t="str">
        <x:v>Подтвердить карточку, UOM, состав, цвет, поставщика и правила объединения</x:v>
      </x:c>
      <x:c r="G1191" s="207" t="str">
        <x:v>Закупки + склад</x:v>
      </x:c>
      <x:c r="H1191" s="207" t="str">
        <x:v>Средний</x:v>
      </x:c>
      <x:c r="I1191" s="207" t="str">
        <x:v>Material aging; BOM; procurement; actual usage</x:v>
      </x:c>
      <x:c r="J1191" s="207" t="str">
        <x:v>Остатки ткани 31.05.2026</x:v>
      </x:c>
      <x:c r="K1191" s="207" t="str"/>
      <x:c r="L1191" s="207" t="str"/>
      <x:c r="M1191" s="207" t="str">
        <x:v>Не рассмотрено</x:v>
      </x:c>
      <x:c r="N1191" s="207" t="str"/>
      <x:c r="O1191" s="207" t="str">
        <x:v>17</x:v>
      </x:c>
      <x:c r="P1191" s="207" t="n">
        <x:v>2</x:v>
      </x:c>
      <x:c r="Q1191" s="208" t="str">
        <x:v>Wave 3 (61–90 дней)</x:v>
      </x:c>
    </x:row>
    <x:row r="1192">
      <x:c r="A1192" s="206" t="str">
        <x:v>DEC-01188</x:v>
      </x:c>
      <x:c r="B1192" s="207" t="str">
        <x:v>Material master</x:v>
      </x:c>
      <x:c r="C1192" s="207" t="str">
        <x:v>MAT-DRAFT-0422</x:v>
      </x:c>
      <x:c r="D1192" s="207" t="str">
        <x:v>Unlinked</x:v>
      </x:c>
      <x:c r="E1192" s="207" t="str">
        <x:v>1 строк; 13550.00 руб.; 4A-085</x:v>
      </x:c>
      <x:c r="F1192" s="207" t="str">
        <x:v>Подтвердить карточку, UOM, состав, цвет, поставщика и правила объединения</x:v>
      </x:c>
      <x:c r="G1192" s="207" t="str">
        <x:v>Закупки + склад</x:v>
      </x:c>
      <x:c r="H1192" s="207" t="str">
        <x:v>Высокий</x:v>
      </x:c>
      <x:c r="I1192" s="207" t="str">
        <x:v>Material aging; BOM; procurement; actual usage</x:v>
      </x:c>
      <x:c r="J1192" s="207" t="str">
        <x:v>Остатки ткани 31.05.2026</x:v>
      </x:c>
      <x:c r="K1192" s="207" t="str"/>
      <x:c r="L1192" s="207" t="str"/>
      <x:c r="M1192" s="207" t="str">
        <x:v>Не рассмотрено</x:v>
      </x:c>
      <x:c r="N1192" s="207" t="str"/>
      <x:c r="O1192" s="207" t="str">
        <x:v>17</x:v>
      </x:c>
      <x:c r="P1192" s="207" t="n">
        <x:v>3</x:v>
      </x:c>
      <x:c r="Q1192" s="208" t="str">
        <x:v>Wave 2 (31–60 дней)</x:v>
      </x:c>
    </x:row>
    <x:row r="1193">
      <x:c r="A1193" s="206" t="str">
        <x:v>DEC-01189</x:v>
      </x:c>
      <x:c r="B1193" s="207" t="str">
        <x:v>Material master</x:v>
      </x:c>
      <x:c r="C1193" s="207" t="str">
        <x:v>MAT-DRAFT-0424</x:v>
      </x:c>
      <x:c r="D1193" s="207" t="str">
        <x:v>Unlinked</x:v>
      </x:c>
      <x:c r="E1193" s="207" t="str">
        <x:v>1 строк; 47000.00 руб.; 4A-030</x:v>
      </x:c>
      <x:c r="F1193" s="207" t="str">
        <x:v>Подтвердить карточку, UOM, состав, цвет, поставщика и правила объединения</x:v>
      </x:c>
      <x:c r="G1193" s="207" t="str">
        <x:v>Закупки + склад</x:v>
      </x:c>
      <x:c r="H1193" s="207" t="str">
        <x:v>Высокий</x:v>
      </x:c>
      <x:c r="I1193" s="207" t="str">
        <x:v>Material aging; BOM; procurement; actual usage</x:v>
      </x:c>
      <x:c r="J1193" s="207" t="str">
        <x:v>Остатки ткани 31.05.2026</x:v>
      </x:c>
      <x:c r="K1193" s="207" t="str"/>
      <x:c r="L1193" s="207" t="str"/>
      <x:c r="M1193" s="207" t="str">
        <x:v>Не рассмотрено</x:v>
      </x:c>
      <x:c r="N1193" s="207" t="str"/>
      <x:c r="O1193" s="207" t="str">
        <x:v>17</x:v>
      </x:c>
      <x:c r="P1193" s="207" t="n">
        <x:v>3</x:v>
      </x:c>
      <x:c r="Q1193" s="208" t="str">
        <x:v>Wave 2 (31–60 дней)</x:v>
      </x:c>
    </x:row>
    <x:row r="1194">
      <x:c r="A1194" s="206" t="str">
        <x:v>DEC-01190</x:v>
      </x:c>
      <x:c r="B1194" s="207" t="str">
        <x:v>Material master</x:v>
      </x:c>
      <x:c r="C1194" s="207" t="str">
        <x:v>MAT-DRAFT-0425</x:v>
      </x:c>
      <x:c r="D1194" s="207" t="str">
        <x:v>Unlinked</x:v>
      </x:c>
      <x:c r="E1194" s="207" t="str">
        <x:v>1 строк; 1500.00 руб.; 4A-024</x:v>
      </x:c>
      <x:c r="F1194" s="207" t="str">
        <x:v>Подтвердить карточку, UOM, состав, цвет, поставщика и правила объединения</x:v>
      </x:c>
      <x:c r="G1194" s="207" t="str">
        <x:v>Закупки + склад</x:v>
      </x:c>
      <x:c r="H1194" s="207" t="str">
        <x:v>Средний</x:v>
      </x:c>
      <x:c r="I1194" s="207" t="str">
        <x:v>Material aging; BOM; procurement; actual usage</x:v>
      </x:c>
      <x:c r="J1194" s="207" t="str">
        <x:v>Остатки ткани 31.05.2026</x:v>
      </x:c>
      <x:c r="K1194" s="207" t="str"/>
      <x:c r="L1194" s="207" t="str"/>
      <x:c r="M1194" s="207" t="str">
        <x:v>Не рассмотрено</x:v>
      </x:c>
      <x:c r="N1194" s="207" t="str"/>
      <x:c r="O1194" s="207" t="str">
        <x:v>17</x:v>
      </x:c>
      <x:c r="P1194" s="207" t="n">
        <x:v>2</x:v>
      </x:c>
      <x:c r="Q1194" s="208" t="str">
        <x:v>Wave 3 (61–90 дней)</x:v>
      </x:c>
    </x:row>
    <x:row r="1195">
      <x:c r="A1195" s="206" t="str">
        <x:v>DEC-01191</x:v>
      </x:c>
      <x:c r="B1195" s="207" t="str">
        <x:v>Material master</x:v>
      </x:c>
      <x:c r="C1195" s="207" t="str">
        <x:v>MAT-DRAFT-0426</x:v>
      </x:c>
      <x:c r="D1195" s="207" t="str">
        <x:v>Unlinked</x:v>
      </x:c>
      <x:c r="E1195" s="207" t="str">
        <x:v>1 строк; 4800.00 руб.; 4A-028</x:v>
      </x:c>
      <x:c r="F1195" s="207" t="str">
        <x:v>Подтвердить карточку, UOM, состав, цвет, поставщика и правила объединения</x:v>
      </x:c>
      <x:c r="G1195" s="207" t="str">
        <x:v>Закупки + склад</x:v>
      </x:c>
      <x:c r="H1195" s="207" t="str">
        <x:v>Средний</x:v>
      </x:c>
      <x:c r="I1195" s="207" t="str">
        <x:v>Material aging; BOM; procurement; actual usage</x:v>
      </x:c>
      <x:c r="J1195" s="207" t="str">
        <x:v>Остатки ткани 31.05.2026</x:v>
      </x:c>
      <x:c r="K1195" s="207" t="str"/>
      <x:c r="L1195" s="207" t="str"/>
      <x:c r="M1195" s="207" t="str">
        <x:v>Не рассмотрено</x:v>
      </x:c>
      <x:c r="N1195" s="207" t="str"/>
      <x:c r="O1195" s="207" t="str">
        <x:v>17</x:v>
      </x:c>
      <x:c r="P1195" s="207" t="n">
        <x:v>2</x:v>
      </x:c>
      <x:c r="Q1195" s="208" t="str">
        <x:v>Wave 3 (61–90 дней)</x:v>
      </x:c>
    </x:row>
    <x:row r="1196">
      <x:c r="A1196" s="206" t="str">
        <x:v>DEC-01192</x:v>
      </x:c>
      <x:c r="B1196" s="207" t="str">
        <x:v>Material master</x:v>
      </x:c>
      <x:c r="C1196" s="207" t="str">
        <x:v>MAT-DRAFT-0427</x:v>
      </x:c>
      <x:c r="D1196" s="207" t="str">
        <x:v>Unlinked</x:v>
      </x:c>
      <x:c r="E1196" s="207" t="str">
        <x:v>1 строк; 18000.00 руб.; 4A-027</x:v>
      </x:c>
      <x:c r="F1196" s="207" t="str">
        <x:v>Подтвердить карточку, UOM, состав, цвет, поставщика и правила объединения</x:v>
      </x:c>
      <x:c r="G1196" s="207" t="str">
        <x:v>Закупки + склад</x:v>
      </x:c>
      <x:c r="H1196" s="207" t="str">
        <x:v>Высокий</x:v>
      </x:c>
      <x:c r="I1196" s="207" t="str">
        <x:v>Material aging; BOM; procurement; actual usage</x:v>
      </x:c>
      <x:c r="J1196" s="207" t="str">
        <x:v>Остатки ткани 31.05.2026</x:v>
      </x:c>
      <x:c r="K1196" s="207" t="str"/>
      <x:c r="L1196" s="207" t="str"/>
      <x:c r="M1196" s="207" t="str">
        <x:v>Не рассмотрено</x:v>
      </x:c>
      <x:c r="N1196" s="207" t="str"/>
      <x:c r="O1196" s="207" t="str">
        <x:v>17</x:v>
      </x:c>
      <x:c r="P1196" s="207" t="n">
        <x:v>3</x:v>
      </x:c>
      <x:c r="Q1196" s="208" t="str">
        <x:v>Wave 2 (31–60 дней)</x:v>
      </x:c>
    </x:row>
    <x:row r="1197">
      <x:c r="A1197" s="206" t="str">
        <x:v>DEC-01193</x:v>
      </x:c>
      <x:c r="B1197" s="207" t="str">
        <x:v>Material master</x:v>
      </x:c>
      <x:c r="C1197" s="207" t="str">
        <x:v>MAT-DRAFT-0428</x:v>
      </x:c>
      <x:c r="D1197" s="207" t="str">
        <x:v>Unlinked</x:v>
      </x:c>
      <x:c r="E1197" s="207" t="str">
        <x:v>1 строк; 6600.00 руб.; 4A-004</x:v>
      </x:c>
      <x:c r="F1197" s="207" t="str">
        <x:v>Подтвердить карточку, UOM, состав, цвет, поставщика и правила объединения</x:v>
      </x:c>
      <x:c r="G1197" s="207" t="str">
        <x:v>Закупки + склад</x:v>
      </x:c>
      <x:c r="H1197" s="207" t="str">
        <x:v>Средний</x:v>
      </x:c>
      <x:c r="I1197" s="207" t="str">
        <x:v>Material aging; BOM; procurement; actual usage</x:v>
      </x:c>
      <x:c r="J1197" s="207" t="str">
        <x:v>Остатки ткани 31.05.2026</x:v>
      </x:c>
      <x:c r="K1197" s="207" t="str"/>
      <x:c r="L1197" s="207" t="str"/>
      <x:c r="M1197" s="207" t="str">
        <x:v>Не рассмотрено</x:v>
      </x:c>
      <x:c r="N1197" s="207" t="str"/>
      <x:c r="O1197" s="207" t="str">
        <x:v>17</x:v>
      </x:c>
      <x:c r="P1197" s="207" t="n">
        <x:v>2</x:v>
      </x:c>
      <x:c r="Q1197" s="208" t="str">
        <x:v>Wave 3 (61–90 дней)</x:v>
      </x:c>
    </x:row>
    <x:row r="1198">
      <x:c r="A1198" s="206" t="str">
        <x:v>DEC-01194</x:v>
      </x:c>
      <x:c r="B1198" s="207" t="str">
        <x:v>Material master</x:v>
      </x:c>
      <x:c r="C1198" s="207" t="str">
        <x:v>MAT-DRAFT-0429</x:v>
      </x:c>
      <x:c r="D1198" s="207" t="str">
        <x:v>Unlinked</x:v>
      </x:c>
      <x:c r="E1198" s="207" t="str">
        <x:v>1 строк; 26000.00 руб.; 4A-025</x:v>
      </x:c>
      <x:c r="F1198" s="207" t="str">
        <x:v>Подтвердить карточку, UOM, состав, цвет, поставщика и правила объединения</x:v>
      </x:c>
      <x:c r="G1198" s="207" t="str">
        <x:v>Закупки + склад</x:v>
      </x:c>
      <x:c r="H1198" s="207" t="str">
        <x:v>Высокий</x:v>
      </x:c>
      <x:c r="I1198" s="207" t="str">
        <x:v>Material aging; BOM; procurement; actual usage</x:v>
      </x:c>
      <x:c r="J1198" s="207" t="str">
        <x:v>Остатки ткани 31.05.2026</x:v>
      </x:c>
      <x:c r="K1198" s="207" t="str"/>
      <x:c r="L1198" s="207" t="str"/>
      <x:c r="M1198" s="207" t="str">
        <x:v>Не рассмотрено</x:v>
      </x:c>
      <x:c r="N1198" s="207" t="str"/>
      <x:c r="O1198" s="207" t="str">
        <x:v>17</x:v>
      </x:c>
      <x:c r="P1198" s="207" t="n">
        <x:v>3</x:v>
      </x:c>
      <x:c r="Q1198" s="208" t="str">
        <x:v>Wave 2 (31–60 дней)</x:v>
      </x:c>
    </x:row>
    <x:row r="1199">
      <x:c r="A1199" s="206" t="str">
        <x:v>DEC-01195</x:v>
      </x:c>
      <x:c r="B1199" s="207" t="str">
        <x:v>Material master</x:v>
      </x:c>
      <x:c r="C1199" s="207" t="str">
        <x:v>MAT-DRAFT-0430</x:v>
      </x:c>
      <x:c r="D1199" s="207" t="str">
        <x:v>Unlinked</x:v>
      </x:c>
      <x:c r="E1199" s="207" t="str">
        <x:v>1 строк; 57000.00 руб.; 4A-014</x:v>
      </x:c>
      <x:c r="F1199" s="207" t="str">
        <x:v>Подтвердить карточку, UOM, состав, цвет, поставщика и правила объединения</x:v>
      </x:c>
      <x:c r="G1199" s="207" t="str">
        <x:v>Закупки + склад</x:v>
      </x:c>
      <x:c r="H1199" s="207" t="str">
        <x:v>Высокий</x:v>
      </x:c>
      <x:c r="I1199" s="207" t="str">
        <x:v>Material aging; BOM; procurement; actual usage</x:v>
      </x:c>
      <x:c r="J1199" s="207" t="str">
        <x:v>Остатки ткани 31.05.2026</x:v>
      </x:c>
      <x:c r="K1199" s="207" t="str"/>
      <x:c r="L1199" s="207" t="str"/>
      <x:c r="M1199" s="207" t="str">
        <x:v>Не рассмотрено</x:v>
      </x:c>
      <x:c r="N1199" s="207" t="str"/>
      <x:c r="O1199" s="207" t="str">
        <x:v>17</x:v>
      </x:c>
      <x:c r="P1199" s="207" t="n">
        <x:v>3</x:v>
      </x:c>
      <x:c r="Q1199" s="208" t="str">
        <x:v>Wave 2 (31–60 дней)</x:v>
      </x:c>
    </x:row>
    <x:row r="1200">
      <x:c r="A1200" s="206" t="str">
        <x:v>DEC-01196</x:v>
      </x:c>
      <x:c r="B1200" s="207" t="str">
        <x:v>Material master</x:v>
      </x:c>
      <x:c r="C1200" s="207" t="str">
        <x:v>MAT-DRAFT-0431</x:v>
      </x:c>
      <x:c r="D1200" s="207" t="str">
        <x:v>Unlinked</x:v>
      </x:c>
      <x:c r="E1200" s="207" t="str">
        <x:v>1 строк; 15200.00 руб.; 4A-086</x:v>
      </x:c>
      <x:c r="F1200" s="207" t="str">
        <x:v>Подтвердить карточку, UOM, состав, цвет, поставщика и правила объединения</x:v>
      </x:c>
      <x:c r="G1200" s="207" t="str">
        <x:v>Закупки + склад</x:v>
      </x:c>
      <x:c r="H1200" s="207" t="str">
        <x:v>Высокий</x:v>
      </x:c>
      <x:c r="I1200" s="207" t="str">
        <x:v>Material aging; BOM; procurement; actual usage</x:v>
      </x:c>
      <x:c r="J1200" s="207" t="str">
        <x:v>Остатки ткани 31.05.2026</x:v>
      </x:c>
      <x:c r="K1200" s="207" t="str"/>
      <x:c r="L1200" s="207" t="str"/>
      <x:c r="M1200" s="207" t="str">
        <x:v>Не рассмотрено</x:v>
      </x:c>
      <x:c r="N1200" s="207" t="str"/>
      <x:c r="O1200" s="207" t="str">
        <x:v>17</x:v>
      </x:c>
      <x:c r="P1200" s="207" t="n">
        <x:v>3</x:v>
      </x:c>
      <x:c r="Q1200" s="208" t="str">
        <x:v>Wave 2 (31–60 дней)</x:v>
      </x:c>
    </x:row>
    <x:row r="1201">
      <x:c r="A1201" s="206" t="str">
        <x:v>DEC-01197</x:v>
      </x:c>
      <x:c r="B1201" s="207" t="str">
        <x:v>Material master</x:v>
      </x:c>
      <x:c r="C1201" s="207" t="str">
        <x:v>MAT-DRAFT-0432</x:v>
      </x:c>
      <x:c r="D1201" s="207" t="str">
        <x:v>Unlinked</x:v>
      </x:c>
      <x:c r="E1201" s="207" t="str">
        <x:v>1 строк; 17500.00 руб.; 4A-043</x:v>
      </x:c>
      <x:c r="F1201" s="207" t="str">
        <x:v>Подтвердить карточку, UOM, состав, цвет, поставщика и правила объединения</x:v>
      </x:c>
      <x:c r="G1201" s="207" t="str">
        <x:v>Закупки + склад</x:v>
      </x:c>
      <x:c r="H1201" s="207" t="str">
        <x:v>Высокий</x:v>
      </x:c>
      <x:c r="I1201" s="207" t="str">
        <x:v>Material aging; BOM; procurement; actual usage</x:v>
      </x:c>
      <x:c r="J1201" s="207" t="str">
        <x:v>Остатки ткани 31.05.2026</x:v>
      </x:c>
      <x:c r="K1201" s="207" t="str"/>
      <x:c r="L1201" s="207" t="str"/>
      <x:c r="M1201" s="207" t="str">
        <x:v>Не рассмотрено</x:v>
      </x:c>
      <x:c r="N1201" s="207" t="str"/>
      <x:c r="O1201" s="207" t="str">
        <x:v>17</x:v>
      </x:c>
      <x:c r="P1201" s="207" t="n">
        <x:v>3</x:v>
      </x:c>
      <x:c r="Q1201" s="208" t="str">
        <x:v>Wave 2 (31–60 дней)</x:v>
      </x:c>
    </x:row>
    <x:row r="1202">
      <x:c r="A1202" s="206" t="str">
        <x:v>DEC-01198</x:v>
      </x:c>
      <x:c r="B1202" s="207" t="str">
        <x:v>Material master</x:v>
      </x:c>
      <x:c r="C1202" s="207" t="str">
        <x:v>MAT-DRAFT-0434</x:v>
      </x:c>
      <x:c r="D1202" s="207" t="str">
        <x:v>Unlinked</x:v>
      </x:c>
      <x:c r="E1202" s="207" t="str">
        <x:v>1 строк; 10920.00 руб.; 4-001</x:v>
      </x:c>
      <x:c r="F1202" s="207" t="str">
        <x:v>Подтвердить карточку, UOM, состав, цвет, поставщика и правила объединения</x:v>
      </x:c>
      <x:c r="G1202" s="207" t="str">
        <x:v>Закупки + склад</x:v>
      </x:c>
      <x:c r="H1202" s="207" t="str">
        <x:v>Высокий</x:v>
      </x:c>
      <x:c r="I1202" s="207" t="str">
        <x:v>Material aging; BOM; procurement; actual usage</x:v>
      </x:c>
      <x:c r="J1202" s="207" t="str">
        <x:v>Остатки ткани 31.05.2026</x:v>
      </x:c>
      <x:c r="K1202" s="207" t="str"/>
      <x:c r="L1202" s="207" t="str"/>
      <x:c r="M1202" s="207" t="str">
        <x:v>Не рассмотрено</x:v>
      </x:c>
      <x:c r="N1202" s="207" t="str"/>
      <x:c r="O1202" s="207" t="str">
        <x:v>17</x:v>
      </x:c>
      <x:c r="P1202" s="207" t="n">
        <x:v>3</x:v>
      </x:c>
      <x:c r="Q1202" s="208" t="str">
        <x:v>Wave 2 (31–60 дней)</x:v>
      </x:c>
    </x:row>
    <x:row r="1203">
      <x:c r="A1203" s="206" t="str">
        <x:v>DEC-01199</x:v>
      </x:c>
      <x:c r="B1203" s="207" t="str">
        <x:v>Material master</x:v>
      </x:c>
      <x:c r="C1203" s="207" t="str">
        <x:v>MAT-DRAFT-0435</x:v>
      </x:c>
      <x:c r="D1203" s="207" t="str">
        <x:v>Unlinked</x:v>
      </x:c>
      <x:c r="E1203" s="207" t="str">
        <x:v>1 строк; 2380.00 руб.; 4-002</x:v>
      </x:c>
      <x:c r="F1203" s="207" t="str">
        <x:v>Подтвердить карточку, UOM, состав, цвет, поставщика и правила объединения</x:v>
      </x:c>
      <x:c r="G1203" s="207" t="str">
        <x:v>Закупки + склад</x:v>
      </x:c>
      <x:c r="H1203" s="207" t="str">
        <x:v>Средний</x:v>
      </x:c>
      <x:c r="I1203" s="207" t="str">
        <x:v>Material aging; BOM; procurement; actual usage</x:v>
      </x:c>
      <x:c r="J1203" s="207" t="str">
        <x:v>Остатки ткани 31.05.2026</x:v>
      </x:c>
      <x:c r="K1203" s="207" t="str"/>
      <x:c r="L1203" s="207" t="str"/>
      <x:c r="M1203" s="207" t="str">
        <x:v>Не рассмотрено</x:v>
      </x:c>
      <x:c r="N1203" s="207" t="str"/>
      <x:c r="O1203" s="207" t="str">
        <x:v>17</x:v>
      </x:c>
      <x:c r="P1203" s="207" t="n">
        <x:v>2</x:v>
      </x:c>
      <x:c r="Q1203" s="208" t="str">
        <x:v>Wave 3 (61–90 дней)</x:v>
      </x:c>
    </x:row>
    <x:row r="1204">
      <x:c r="A1204" s="206" t="str">
        <x:v>DEC-01200</x:v>
      </x:c>
      <x:c r="B1204" s="207" t="str">
        <x:v>Material master</x:v>
      </x:c>
      <x:c r="C1204" s="207" t="str">
        <x:v>MAT-DRAFT-0436</x:v>
      </x:c>
      <x:c r="D1204" s="207" t="str">
        <x:v>Unlinked</x:v>
      </x:c>
      <x:c r="E1204" s="207" t="str">
        <x:v>1 строк; 6360.00 руб.; 4-004</x:v>
      </x:c>
      <x:c r="F1204" s="207" t="str">
        <x:v>Подтвердить карточку, UOM, состав, цвет, поставщика и правила объединения</x:v>
      </x:c>
      <x:c r="G1204" s="207" t="str">
        <x:v>Закупки + склад</x:v>
      </x:c>
      <x:c r="H1204" s="207" t="str">
        <x:v>Средний</x:v>
      </x:c>
      <x:c r="I1204" s="207" t="str">
        <x:v>Material aging; BOM; procurement; actual usage</x:v>
      </x:c>
      <x:c r="J1204" s="207" t="str">
        <x:v>Остатки ткани 31.05.2026</x:v>
      </x:c>
      <x:c r="K1204" s="207" t="str"/>
      <x:c r="L1204" s="207" t="str"/>
      <x:c r="M1204" s="207" t="str">
        <x:v>Не рассмотрено</x:v>
      </x:c>
      <x:c r="N1204" s="207" t="str"/>
      <x:c r="O1204" s="207" t="str">
        <x:v>17</x:v>
      </x:c>
      <x:c r="P1204" s="207" t="n">
        <x:v>2</x:v>
      </x:c>
      <x:c r="Q1204" s="208" t="str">
        <x:v>Wave 3 (61–90 дней)</x:v>
      </x:c>
    </x:row>
    <x:row r="1205">
      <x:c r="A1205" s="206" t="str">
        <x:v>DEC-01201</x:v>
      </x:c>
      <x:c r="B1205" s="207" t="str">
        <x:v>Material master</x:v>
      </x:c>
      <x:c r="C1205" s="207" t="str">
        <x:v>MAT-DRAFT-0437</x:v>
      </x:c>
      <x:c r="D1205" s="207" t="str">
        <x:v>Unlinked</x:v>
      </x:c>
      <x:c r="E1205" s="207" t="str">
        <x:v>1 строк; 6440.00 руб.; 4-009</x:v>
      </x:c>
      <x:c r="F1205" s="207" t="str">
        <x:v>Подтвердить карточку, UOM, состав, цвет, поставщика и правила объединения</x:v>
      </x:c>
      <x:c r="G1205" s="207" t="str">
        <x:v>Закупки + склад</x:v>
      </x:c>
      <x:c r="H1205" s="207" t="str">
        <x:v>Средний</x:v>
      </x:c>
      <x:c r="I1205" s="207" t="str">
        <x:v>Material aging; BOM; procurement; actual usage</x:v>
      </x:c>
      <x:c r="J1205" s="207" t="str">
        <x:v>Остатки ткани 31.05.2026</x:v>
      </x:c>
      <x:c r="K1205" s="207" t="str"/>
      <x:c r="L1205" s="207" t="str"/>
      <x:c r="M1205" s="207" t="str">
        <x:v>Не рассмотрено</x:v>
      </x:c>
      <x:c r="N1205" s="207" t="str"/>
      <x:c r="O1205" s="207" t="str">
        <x:v>17</x:v>
      </x:c>
      <x:c r="P1205" s="207" t="n">
        <x:v>2</x:v>
      </x:c>
      <x:c r="Q1205" s="208" t="str">
        <x:v>Wave 3 (61–90 дней)</x:v>
      </x:c>
    </x:row>
    <x:row r="1206">
      <x:c r="A1206" s="206" t="str">
        <x:v>DEC-01202</x:v>
      </x:c>
      <x:c r="B1206" s="207" t="str">
        <x:v>Material master</x:v>
      </x:c>
      <x:c r="C1206" s="207" t="str">
        <x:v>MAT-DRAFT-0438</x:v>
      </x:c>
      <x:c r="D1206" s="207" t="str">
        <x:v>Unlinked</x:v>
      </x:c>
      <x:c r="E1206" s="207" t="str">
        <x:v>1 строк; 4000.00 руб.; 4-017</x:v>
      </x:c>
      <x:c r="F1206" s="207" t="str">
        <x:v>Подтвердить карточку, UOM, состав, цвет, поставщика и правила объединения</x:v>
      </x:c>
      <x:c r="G1206" s="207" t="str">
        <x:v>Закупки + склад</x:v>
      </x:c>
      <x:c r="H1206" s="207" t="str">
        <x:v>Средний</x:v>
      </x:c>
      <x:c r="I1206" s="207" t="str">
        <x:v>Material aging; BOM; procurement; actual usage</x:v>
      </x:c>
      <x:c r="J1206" s="207" t="str">
        <x:v>Остатки ткани 31.05.2026</x:v>
      </x:c>
      <x:c r="K1206" s="207" t="str"/>
      <x:c r="L1206" s="207" t="str"/>
      <x:c r="M1206" s="207" t="str">
        <x:v>Не рассмотрено</x:v>
      </x:c>
      <x:c r="N1206" s="207" t="str"/>
      <x:c r="O1206" s="207" t="str">
        <x:v>17</x:v>
      </x:c>
      <x:c r="P1206" s="207" t="n">
        <x:v>2</x:v>
      </x:c>
      <x:c r="Q1206" s="208" t="str">
        <x:v>Wave 3 (61–90 дней)</x:v>
      </x:c>
    </x:row>
    <x:row r="1207">
      <x:c r="A1207" s="206" t="str">
        <x:v>DEC-01203</x:v>
      </x:c>
      <x:c r="B1207" s="207" t="str">
        <x:v>Material master</x:v>
      </x:c>
      <x:c r="C1207" s="207" t="str">
        <x:v>MAT-DRAFT-0439</x:v>
      </x:c>
      <x:c r="D1207" s="207" t="str">
        <x:v>Unlinked</x:v>
      </x:c>
      <x:c r="E1207" s="207" t="str">
        <x:v>1 строк; 5880.00 руб.; 4-005</x:v>
      </x:c>
      <x:c r="F1207" s="207" t="str">
        <x:v>Подтвердить карточку, UOM, состав, цвет, поставщика и правила объединения</x:v>
      </x:c>
      <x:c r="G1207" s="207" t="str">
        <x:v>Закупки + склад</x:v>
      </x:c>
      <x:c r="H1207" s="207" t="str">
        <x:v>Средний</x:v>
      </x:c>
      <x:c r="I1207" s="207" t="str">
        <x:v>Material aging; BOM; procurement; actual usage</x:v>
      </x:c>
      <x:c r="J1207" s="207" t="str">
        <x:v>Остатки ткани 31.05.2026</x:v>
      </x:c>
      <x:c r="K1207" s="207" t="str"/>
      <x:c r="L1207" s="207" t="str"/>
      <x:c r="M1207" s="207" t="str">
        <x:v>Не рассмотрено</x:v>
      </x:c>
      <x:c r="N1207" s="207" t="str"/>
      <x:c r="O1207" s="207" t="str">
        <x:v>17</x:v>
      </x:c>
      <x:c r="P1207" s="207" t="n">
        <x:v>2</x:v>
      </x:c>
      <x:c r="Q1207" s="208" t="str">
        <x:v>Wave 3 (61–90 дней)</x:v>
      </x:c>
    </x:row>
    <x:row r="1208">
      <x:c r="A1208" s="206" t="str">
        <x:v>DEC-01204</x:v>
      </x:c>
      <x:c r="B1208" s="207" t="str">
        <x:v>Material master</x:v>
      </x:c>
      <x:c r="C1208" s="207" t="str">
        <x:v>MAT-DRAFT-0440</x:v>
      </x:c>
      <x:c r="D1208" s="207" t="str">
        <x:v>Unlinked</x:v>
      </x:c>
      <x:c r="E1208" s="207" t="str">
        <x:v>1 строк; 1400.00 руб.; 4-012</x:v>
      </x:c>
      <x:c r="F1208" s="207" t="str">
        <x:v>Подтвердить карточку, UOM, состав, цвет, поставщика и правила объединения</x:v>
      </x:c>
      <x:c r="G1208" s="207" t="str">
        <x:v>Закупки + склад</x:v>
      </x:c>
      <x:c r="H1208" s="207" t="str">
        <x:v>Средний</x:v>
      </x:c>
      <x:c r="I1208" s="207" t="str">
        <x:v>Material aging; BOM; procurement; actual usage</x:v>
      </x:c>
      <x:c r="J1208" s="207" t="str">
        <x:v>Остатки ткани 31.05.2026</x:v>
      </x:c>
      <x:c r="K1208" s="207" t="str"/>
      <x:c r="L1208" s="207" t="str"/>
      <x:c r="M1208" s="207" t="str">
        <x:v>Не рассмотрено</x:v>
      </x:c>
      <x:c r="N1208" s="207" t="str"/>
      <x:c r="O1208" s="207" t="str">
        <x:v>17</x:v>
      </x:c>
      <x:c r="P1208" s="207" t="n">
        <x:v>2</x:v>
      </x:c>
      <x:c r="Q1208" s="208" t="str">
        <x:v>Wave 3 (61–90 дней)</x:v>
      </x:c>
    </x:row>
    <x:row r="1209">
      <x:c r="A1209" s="206" t="str">
        <x:v>DEC-01205</x:v>
      </x:c>
      <x:c r="B1209" s="207" t="str">
        <x:v>Material master</x:v>
      </x:c>
      <x:c r="C1209" s="207" t="str">
        <x:v>MAT-DRAFT-0441</x:v>
      </x:c>
      <x:c r="D1209" s="207" t="str">
        <x:v>Unlinked</x:v>
      </x:c>
      <x:c r="E1209" s="207" t="str">
        <x:v>1 строк; 2310.00 руб.; 4-013</x:v>
      </x:c>
      <x:c r="F1209" s="207" t="str">
        <x:v>Подтвердить карточку, UOM, состав, цвет, поставщика и правила объединения</x:v>
      </x:c>
      <x:c r="G1209" s="207" t="str">
        <x:v>Закупки + склад</x:v>
      </x:c>
      <x:c r="H1209" s="207" t="str">
        <x:v>Средний</x:v>
      </x:c>
      <x:c r="I1209" s="207" t="str">
        <x:v>Material aging; BOM; procurement; actual usage</x:v>
      </x:c>
      <x:c r="J1209" s="207" t="str">
        <x:v>Остатки ткани 31.05.2026</x:v>
      </x:c>
      <x:c r="K1209" s="207" t="str"/>
      <x:c r="L1209" s="207" t="str"/>
      <x:c r="M1209" s="207" t="str">
        <x:v>Не рассмотрено</x:v>
      </x:c>
      <x:c r="N1209" s="207" t="str"/>
      <x:c r="O1209" s="207" t="str">
        <x:v>17</x:v>
      </x:c>
      <x:c r="P1209" s="207" t="n">
        <x:v>2</x:v>
      </x:c>
      <x:c r="Q1209" s="208" t="str">
        <x:v>Wave 3 (61–90 дней)</x:v>
      </x:c>
    </x:row>
    <x:row r="1210">
      <x:c r="A1210" s="206" t="str">
        <x:v>DEC-01206</x:v>
      </x:c>
      <x:c r="B1210" s="207" t="str">
        <x:v>Material master</x:v>
      </x:c>
      <x:c r="C1210" s="207" t="str">
        <x:v>MAT-DRAFT-0442</x:v>
      </x:c>
      <x:c r="D1210" s="207" t="str">
        <x:v>Unlinked</x:v>
      </x:c>
      <x:c r="E1210" s="207" t="str">
        <x:v>1 строк; 32100.00 руб.; 4A-109</x:v>
      </x:c>
      <x:c r="F1210" s="207" t="str">
        <x:v>Подтвердить карточку, UOM, состав, цвет, поставщика и правила объединения</x:v>
      </x:c>
      <x:c r="G1210" s="207" t="str">
        <x:v>Закупки + склад</x:v>
      </x:c>
      <x:c r="H1210" s="207" t="str">
        <x:v>Высокий</x:v>
      </x:c>
      <x:c r="I1210" s="207" t="str">
        <x:v>Material aging; BOM; procurement; actual usage</x:v>
      </x:c>
      <x:c r="J1210" s="207" t="str">
        <x:v>Остатки ткани 31.05.2026</x:v>
      </x:c>
      <x:c r="K1210" s="207" t="str"/>
      <x:c r="L1210" s="207" t="str"/>
      <x:c r="M1210" s="207" t="str">
        <x:v>Не рассмотрено</x:v>
      </x:c>
      <x:c r="N1210" s="207" t="str"/>
      <x:c r="O1210" s="207" t="str">
        <x:v>17</x:v>
      </x:c>
      <x:c r="P1210" s="207" t="n">
        <x:v>3</x:v>
      </x:c>
      <x:c r="Q1210" s="208" t="str">
        <x:v>Wave 2 (31–60 дней)</x:v>
      </x:c>
    </x:row>
    <x:row r="1211">
      <x:c r="A1211" s="206" t="str">
        <x:v>DEC-01207</x:v>
      </x:c>
      <x:c r="B1211" s="207" t="str">
        <x:v>Material master</x:v>
      </x:c>
      <x:c r="C1211" s="207" t="str">
        <x:v>MAT-DRAFT-0443</x:v>
      </x:c>
      <x:c r="D1211" s="207" t="str">
        <x:v>Unlinked</x:v>
      </x:c>
      <x:c r="E1211" s="207" t="str">
        <x:v>1 строк; 6090.00 руб.; 4-014</x:v>
      </x:c>
      <x:c r="F1211" s="207" t="str">
        <x:v>Подтвердить карточку, UOM, состав, цвет, поставщика и правила объединения</x:v>
      </x:c>
      <x:c r="G1211" s="207" t="str">
        <x:v>Закупки + склад</x:v>
      </x:c>
      <x:c r="H1211" s="207" t="str">
        <x:v>Средний</x:v>
      </x:c>
      <x:c r="I1211" s="207" t="str">
        <x:v>Material aging; BOM; procurement; actual usage</x:v>
      </x:c>
      <x:c r="J1211" s="207" t="str">
        <x:v>Остатки ткани 31.05.2026</x:v>
      </x:c>
      <x:c r="K1211" s="207" t="str"/>
      <x:c r="L1211" s="207" t="str"/>
      <x:c r="M1211" s="207" t="str">
        <x:v>Не рассмотрено</x:v>
      </x:c>
      <x:c r="N1211" s="207" t="str"/>
      <x:c r="O1211" s="207" t="str">
        <x:v>17</x:v>
      </x:c>
      <x:c r="P1211" s="207" t="n">
        <x:v>2</x:v>
      </x:c>
      <x:c r="Q1211" s="208" t="str">
        <x:v>Wave 3 (61–90 дней)</x:v>
      </x:c>
    </x:row>
    <x:row r="1212">
      <x:c r="A1212" s="206" t="str">
        <x:v>DEC-01208</x:v>
      </x:c>
      <x:c r="B1212" s="207" t="str">
        <x:v>Material master</x:v>
      </x:c>
      <x:c r="C1212" s="207" t="str">
        <x:v>MAT-DRAFT-0445</x:v>
      </x:c>
      <x:c r="D1212" s="207" t="str">
        <x:v>Unlinked</x:v>
      </x:c>
      <x:c r="E1212" s="207" t="str">
        <x:v>1 строк; 5400.00 руб.; 4P-009</x:v>
      </x:c>
      <x:c r="F1212" s="207" t="str">
        <x:v>Подтвердить карточку, UOM, состав, цвет, поставщика и правила объединения</x:v>
      </x:c>
      <x:c r="G1212" s="207" t="str">
        <x:v>Закупки + склад</x:v>
      </x:c>
      <x:c r="H1212" s="207" t="str">
        <x:v>Средний</x:v>
      </x:c>
      <x:c r="I1212" s="207" t="str">
        <x:v>Material aging; BOM; procurement; actual usage</x:v>
      </x:c>
      <x:c r="J1212" s="207" t="str">
        <x:v>Остатки ткани 31.05.2026</x:v>
      </x:c>
      <x:c r="K1212" s="207" t="str"/>
      <x:c r="L1212" s="207" t="str"/>
      <x:c r="M1212" s="207" t="str">
        <x:v>Не рассмотрено</x:v>
      </x:c>
      <x:c r="N1212" s="207" t="str"/>
      <x:c r="O1212" s="207" t="str">
        <x:v>17</x:v>
      </x:c>
      <x:c r="P1212" s="207" t="n">
        <x:v>2</x:v>
      </x:c>
      <x:c r="Q1212" s="208" t="str">
        <x:v>Wave 3 (61–90 дней)</x:v>
      </x:c>
    </x:row>
    <x:row r="1213">
      <x:c r="A1213" s="206" t="str">
        <x:v>DEC-01209</x:v>
      </x:c>
      <x:c r="B1213" s="207" t="str">
        <x:v>Material master</x:v>
      </x:c>
      <x:c r="C1213" s="207" t="str">
        <x:v>MAT-DRAFT-0446</x:v>
      </x:c>
      <x:c r="D1213" s="207" t="str">
        <x:v>Unlinked</x:v>
      </x:c>
      <x:c r="E1213" s="207" t="str">
        <x:v>1 строк; 3690.00 руб.; 4P-010</x:v>
      </x:c>
      <x:c r="F1213" s="207" t="str">
        <x:v>Подтвердить карточку, UOM, состав, цвет, поставщика и правила объединения</x:v>
      </x:c>
      <x:c r="G1213" s="207" t="str">
        <x:v>Закупки + склад</x:v>
      </x:c>
      <x:c r="H1213" s="207" t="str">
        <x:v>Средний</x:v>
      </x:c>
      <x:c r="I1213" s="207" t="str">
        <x:v>Material aging; BOM; procurement; actual usage</x:v>
      </x:c>
      <x:c r="J1213" s="207" t="str">
        <x:v>Остатки ткани 31.05.2026</x:v>
      </x:c>
      <x:c r="K1213" s="207" t="str"/>
      <x:c r="L1213" s="207" t="str"/>
      <x:c r="M1213" s="207" t="str">
        <x:v>Не рассмотрено</x:v>
      </x:c>
      <x:c r="N1213" s="207" t="str"/>
      <x:c r="O1213" s="207" t="str">
        <x:v>17</x:v>
      </x:c>
      <x:c r="P1213" s="207" t="n">
        <x:v>2</x:v>
      </x:c>
      <x:c r="Q1213" s="208" t="str">
        <x:v>Wave 3 (61–90 дней)</x:v>
      </x:c>
    </x:row>
    <x:row r="1214">
      <x:c r="A1214" s="206" t="str">
        <x:v>DEC-01210</x:v>
      </x:c>
      <x:c r="B1214" s="207" t="str">
        <x:v>Material master</x:v>
      </x:c>
      <x:c r="C1214" s="207" t="str">
        <x:v>MAT-DRAFT-0447</x:v>
      </x:c>
      <x:c r="D1214" s="207" t="str">
        <x:v>Unlinked</x:v>
      </x:c>
      <x:c r="E1214" s="207" t="str">
        <x:v>1 строк; 5400.00 руб.; 4P-011</x:v>
      </x:c>
      <x:c r="F1214" s="207" t="str">
        <x:v>Подтвердить карточку, UOM, состав, цвет, поставщика и правила объединения</x:v>
      </x:c>
      <x:c r="G1214" s="207" t="str">
        <x:v>Закупки + склад</x:v>
      </x:c>
      <x:c r="H1214" s="207" t="str">
        <x:v>Средний</x:v>
      </x:c>
      <x:c r="I1214" s="207" t="str">
        <x:v>Material aging; BOM; procurement; actual usage</x:v>
      </x:c>
      <x:c r="J1214" s="207" t="str">
        <x:v>Остатки ткани 31.05.2026</x:v>
      </x:c>
      <x:c r="K1214" s="207" t="str"/>
      <x:c r="L1214" s="207" t="str"/>
      <x:c r="M1214" s="207" t="str">
        <x:v>Не рассмотрено</x:v>
      </x:c>
      <x:c r="N1214" s="207" t="str"/>
      <x:c r="O1214" s="207" t="str">
        <x:v>17</x:v>
      </x:c>
      <x:c r="P1214" s="207" t="n">
        <x:v>2</x:v>
      </x:c>
      <x:c r="Q1214" s="208" t="str">
        <x:v>Wave 3 (61–90 дней)</x:v>
      </x:c>
    </x:row>
    <x:row r="1215">
      <x:c r="A1215" s="206" t="str">
        <x:v>DEC-01211</x:v>
      </x:c>
      <x:c r="B1215" s="207" t="str">
        <x:v>Material master</x:v>
      </x:c>
      <x:c r="C1215" s="207" t="str">
        <x:v>MAT-DRAFT-0448</x:v>
      </x:c>
      <x:c r="D1215" s="207" t="str">
        <x:v>Unlinked</x:v>
      </x:c>
      <x:c r="E1215" s="207" t="str">
        <x:v>2 строк; 8960.00 руб.; 4-011</x:v>
      </x:c>
      <x:c r="F1215" s="207" t="str">
        <x:v>Подтвердить карточку, UOM, состав, цвет, поставщика и правила объединения</x:v>
      </x:c>
      <x:c r="G1215" s="207" t="str">
        <x:v>Закупки + склад</x:v>
      </x:c>
      <x:c r="H1215" s="207" t="str">
        <x:v>Средний</x:v>
      </x:c>
      <x:c r="I1215" s="207" t="str">
        <x:v>Material aging; BOM; procurement; actual usage</x:v>
      </x:c>
      <x:c r="J1215" s="207" t="str">
        <x:v>Остатки ткани 31.05.2026</x:v>
      </x:c>
      <x:c r="K1215" s="207" t="str"/>
      <x:c r="L1215" s="207" t="str"/>
      <x:c r="M1215" s="207" t="str">
        <x:v>Не рассмотрено</x:v>
      </x:c>
      <x:c r="N1215" s="207" t="str"/>
      <x:c r="O1215" s="207" t="str">
        <x:v>17</x:v>
      </x:c>
      <x:c r="P1215" s="207" t="n">
        <x:v>2</x:v>
      </x:c>
      <x:c r="Q1215" s="208" t="str">
        <x:v>Wave 3 (61–90 дней)</x:v>
      </x:c>
    </x:row>
    <x:row r="1216">
      <x:c r="A1216" s="206" t="str">
        <x:v>DEC-01212</x:v>
      </x:c>
      <x:c r="B1216" s="207" t="str">
        <x:v>Material master</x:v>
      </x:c>
      <x:c r="C1216" s="207" t="str">
        <x:v>MAT-DRAFT-0449</x:v>
      </x:c>
      <x:c r="D1216" s="207" t="str">
        <x:v>Unlinked</x:v>
      </x:c>
      <x:c r="E1216" s="207" t="str">
        <x:v>1 строк; 7200.00 руб.; 4-010</x:v>
      </x:c>
      <x:c r="F1216" s="207" t="str">
        <x:v>Подтвердить карточку, UOM, состав, цвет, поставщика и правила объединения</x:v>
      </x:c>
      <x:c r="G1216" s="207" t="str">
        <x:v>Закупки + склад</x:v>
      </x:c>
      <x:c r="H1216" s="207" t="str">
        <x:v>Средний</x:v>
      </x:c>
      <x:c r="I1216" s="207" t="str">
        <x:v>Material aging; BOM; procurement; actual usage</x:v>
      </x:c>
      <x:c r="J1216" s="207" t="str">
        <x:v>Остатки ткани 31.05.2026</x:v>
      </x:c>
      <x:c r="K1216" s="207" t="str"/>
      <x:c r="L1216" s="207" t="str"/>
      <x:c r="M1216" s="207" t="str">
        <x:v>Не рассмотрено</x:v>
      </x:c>
      <x:c r="N1216" s="207" t="str"/>
      <x:c r="O1216" s="207" t="str">
        <x:v>17</x:v>
      </x:c>
      <x:c r="P1216" s="207" t="n">
        <x:v>2</x:v>
      </x:c>
      <x:c r="Q1216" s="208" t="str">
        <x:v>Wave 3 (61–90 дней)</x:v>
      </x:c>
    </x:row>
    <x:row r="1217">
      <x:c r="A1217" s="206" t="str">
        <x:v>DEC-01213</x:v>
      </x:c>
      <x:c r="B1217" s="207" t="str">
        <x:v>Material master</x:v>
      </x:c>
      <x:c r="C1217" s="207" t="str">
        <x:v>MAT-DRAFT-0451</x:v>
      </x:c>
      <x:c r="D1217" s="207" t="str">
        <x:v>Unlinked</x:v>
      </x:c>
      <x:c r="E1217" s="207" t="str">
        <x:v>3 строк; 30250.00 руб.; 4A-090</x:v>
      </x:c>
      <x:c r="F1217" s="207" t="str">
        <x:v>Подтвердить карточку, UOM, состав, цвет, поставщика и правила объединения</x:v>
      </x:c>
      <x:c r="G1217" s="207" t="str">
        <x:v>Закупки + склад</x:v>
      </x:c>
      <x:c r="H1217" s="207" t="str">
        <x:v>Высокий</x:v>
      </x:c>
      <x:c r="I1217" s="207" t="str">
        <x:v>Material aging; BOM; procurement; actual usage</x:v>
      </x:c>
      <x:c r="J1217" s="207" t="str">
        <x:v>Остатки ткани 31.05.2026</x:v>
      </x:c>
      <x:c r="K1217" s="207" t="str"/>
      <x:c r="L1217" s="207" t="str"/>
      <x:c r="M1217" s="207" t="str">
        <x:v>Не рассмотрено</x:v>
      </x:c>
      <x:c r="N1217" s="207" t="str"/>
      <x:c r="O1217" s="207" t="str">
        <x:v>17</x:v>
      </x:c>
      <x:c r="P1217" s="207" t="n">
        <x:v>3</x:v>
      </x:c>
      <x:c r="Q1217" s="208" t="str">
        <x:v>Wave 2 (31–60 дней)</x:v>
      </x:c>
    </x:row>
    <x:row r="1218">
      <x:c r="A1218" s="206" t="str">
        <x:v>DEC-01214</x:v>
      </x:c>
      <x:c r="B1218" s="207" t="str">
        <x:v>Material master</x:v>
      </x:c>
      <x:c r="C1218" s="207" t="str">
        <x:v>MAT-DRAFT-0454</x:v>
      </x:c>
      <x:c r="D1218" s="207" t="str">
        <x:v>Unlinked</x:v>
      </x:c>
      <x:c r="E1218" s="207" t="str">
        <x:v>3 строк; 30250.00 руб.; 4A-087</x:v>
      </x:c>
      <x:c r="F1218" s="207" t="str">
        <x:v>Подтвердить карточку, UOM, состав, цвет, поставщика и правила объединения</x:v>
      </x:c>
      <x:c r="G1218" s="207" t="str">
        <x:v>Закупки + склад</x:v>
      </x:c>
      <x:c r="H1218" s="207" t="str">
        <x:v>Высокий</x:v>
      </x:c>
      <x:c r="I1218" s="207" t="str">
        <x:v>Material aging; BOM; procurement; actual usage</x:v>
      </x:c>
      <x:c r="J1218" s="207" t="str">
        <x:v>Остатки ткани 31.05.2026</x:v>
      </x:c>
      <x:c r="K1218" s="207" t="str"/>
      <x:c r="L1218" s="207" t="str"/>
      <x:c r="M1218" s="207" t="str">
        <x:v>Не рассмотрено</x:v>
      </x:c>
      <x:c r="N1218" s="207" t="str"/>
      <x:c r="O1218" s="207" t="str">
        <x:v>17</x:v>
      </x:c>
      <x:c r="P1218" s="207" t="n">
        <x:v>3</x:v>
      </x:c>
      <x:c r="Q1218" s="208" t="str">
        <x:v>Wave 2 (31–60 дней)</x:v>
      </x:c>
    </x:row>
    <x:row r="1219">
      <x:c r="A1219" s="206" t="str">
        <x:v>DEC-01215</x:v>
      </x:c>
      <x:c r="B1219" s="207" t="str">
        <x:v>Material master</x:v>
      </x:c>
      <x:c r="C1219" s="207" t="str">
        <x:v>MAT-DRAFT-0455</x:v>
      </x:c>
      <x:c r="D1219" s="207" t="str">
        <x:v>Unlinked</x:v>
      </x:c>
      <x:c r="E1219" s="207" t="str">
        <x:v>1 строк; 4680.00 руб.; 4P-021</x:v>
      </x:c>
      <x:c r="F1219" s="207" t="str">
        <x:v>Подтвердить карточку, UOM, состав, цвет, поставщика и правила объединения</x:v>
      </x:c>
      <x:c r="G1219" s="207" t="str">
        <x:v>Закупки + склад</x:v>
      </x:c>
      <x:c r="H1219" s="207" t="str">
        <x:v>Средний</x:v>
      </x:c>
      <x:c r="I1219" s="207" t="str">
        <x:v>Material aging; BOM; procurement; actual usage</x:v>
      </x:c>
      <x:c r="J1219" s="207" t="str">
        <x:v>Остатки ткани 31.05.2026</x:v>
      </x:c>
      <x:c r="K1219" s="207" t="str"/>
      <x:c r="L1219" s="207" t="str"/>
      <x:c r="M1219" s="207" t="str">
        <x:v>Не рассмотрено</x:v>
      </x:c>
      <x:c r="N1219" s="207" t="str"/>
      <x:c r="O1219" s="207" t="str">
        <x:v>17</x:v>
      </x:c>
      <x:c r="P1219" s="207" t="n">
        <x:v>2</x:v>
      </x:c>
      <x:c r="Q1219" s="208" t="str">
        <x:v>Wave 3 (61–90 дней)</x:v>
      </x:c>
    </x:row>
    <x:row r="1220">
      <x:c r="A1220" s="206" t="str">
        <x:v>DEC-01216</x:v>
      </x:c>
      <x:c r="B1220" s="207" t="str">
        <x:v>Material master</x:v>
      </x:c>
      <x:c r="C1220" s="207" t="str">
        <x:v>MAT-DRAFT-0456</x:v>
      </x:c>
      <x:c r="D1220" s="207" t="str">
        <x:v>Unlinked</x:v>
      </x:c>
      <x:c r="E1220" s="207" t="str">
        <x:v>1 строк; 7000.00 руб.; 4-008</x:v>
      </x:c>
      <x:c r="F1220" s="207" t="str">
        <x:v>Подтвердить карточку, UOM, состав, цвет, поставщика и правила объединения</x:v>
      </x:c>
      <x:c r="G1220" s="207" t="str">
        <x:v>Закупки + склад</x:v>
      </x:c>
      <x:c r="H1220" s="207" t="str">
        <x:v>Средний</x:v>
      </x:c>
      <x:c r="I1220" s="207" t="str">
        <x:v>Material aging; BOM; procurement; actual usage</x:v>
      </x:c>
      <x:c r="J1220" s="207" t="str">
        <x:v>Остатки ткани 31.05.2026</x:v>
      </x:c>
      <x:c r="K1220" s="207" t="str"/>
      <x:c r="L1220" s="207" t="str"/>
      <x:c r="M1220" s="207" t="str">
        <x:v>Не рассмотрено</x:v>
      </x:c>
      <x:c r="N1220" s="207" t="str"/>
      <x:c r="O1220" s="207" t="str">
        <x:v>17</x:v>
      </x:c>
      <x:c r="P1220" s="207" t="n">
        <x:v>2</x:v>
      </x:c>
      <x:c r="Q1220" s="208" t="str">
        <x:v>Wave 3 (61–90 дней)</x:v>
      </x:c>
    </x:row>
    <x:row r="1221">
      <x:c r="A1221" s="206" t="str">
        <x:v>DEC-01217</x:v>
      </x:c>
      <x:c r="B1221" s="207" t="str">
        <x:v>Material master</x:v>
      </x:c>
      <x:c r="C1221" s="207" t="str">
        <x:v>MAT-DRAFT-0457</x:v>
      </x:c>
      <x:c r="D1221" s="207" t="str">
        <x:v>Несколько кодов; Несколько исходных наименований</x:v>
      </x:c>
      <x:c r="E1221" s="207" t="str">
        <x:v>2 строк; 7260.00 руб.; 4-035; 4-040</x:v>
      </x:c>
      <x:c r="F1221" s="207" t="str">
        <x:v>Подтвердить карточку, UOM, состав, цвет, поставщика и правила объединения</x:v>
      </x:c>
      <x:c r="G1221" s="207" t="str">
        <x:v>Закупки + склад</x:v>
      </x:c>
      <x:c r="H1221" s="207" t="str">
        <x:v>Средний</x:v>
      </x:c>
      <x:c r="I1221" s="207" t="str">
        <x:v>Material aging; BOM; procurement; actual usage</x:v>
      </x:c>
      <x:c r="J1221" s="207" t="str">
        <x:v>Остатки ткани 31.05.2026</x:v>
      </x:c>
      <x:c r="K1221" s="207" t="str"/>
      <x:c r="L1221" s="207" t="str"/>
      <x:c r="M1221" s="207" t="str">
        <x:v>Не рассмотрено</x:v>
      </x:c>
      <x:c r="N1221" s="207" t="str"/>
      <x:c r="O1221" s="207" t="str">
        <x:v>17</x:v>
      </x:c>
      <x:c r="P1221" s="207" t="n">
        <x:v>2</x:v>
      </x:c>
      <x:c r="Q1221" s="208" t="str">
        <x:v>Wave 3 (61–90 дней)</x:v>
      </x:c>
    </x:row>
    <x:row r="1222">
      <x:c r="A1222" s="206" t="str">
        <x:v>DEC-01218</x:v>
      </x:c>
      <x:c r="B1222" s="207" t="str">
        <x:v>Material master</x:v>
      </x:c>
      <x:c r="C1222" s="207" t="str">
        <x:v>MAT-DRAFT-0458</x:v>
      </x:c>
      <x:c r="D1222" s="207" t="str">
        <x:v>Unlinked</x:v>
      </x:c>
      <x:c r="E1222" s="207" t="str">
        <x:v>1 строк; 15540.00 руб.; 4P-006</x:v>
      </x:c>
      <x:c r="F1222" s="207" t="str">
        <x:v>Подтвердить карточку, UOM, состав, цвет, поставщика и правила объединения</x:v>
      </x:c>
      <x:c r="G1222" s="207" t="str">
        <x:v>Закупки + склад</x:v>
      </x:c>
      <x:c r="H1222" s="207" t="str">
        <x:v>Высокий</x:v>
      </x:c>
      <x:c r="I1222" s="207" t="str">
        <x:v>Material aging; BOM; procurement; actual usage</x:v>
      </x:c>
      <x:c r="J1222" s="207" t="str">
        <x:v>Остатки ткани 31.05.2026</x:v>
      </x:c>
      <x:c r="K1222" s="207" t="str"/>
      <x:c r="L1222" s="207" t="str"/>
      <x:c r="M1222" s="207" t="str">
        <x:v>Не рассмотрено</x:v>
      </x:c>
      <x:c r="N1222" s="207" t="str"/>
      <x:c r="O1222" s="207" t="str">
        <x:v>17</x:v>
      </x:c>
      <x:c r="P1222" s="207" t="n">
        <x:v>3</x:v>
      </x:c>
      <x:c r="Q1222" s="208" t="str">
        <x:v>Wave 2 (31–60 дней)</x:v>
      </x:c>
    </x:row>
    <x:row r="1223">
      <x:c r="A1223" s="206" t="str">
        <x:v>DEC-01219</x:v>
      </x:c>
      <x:c r="B1223" s="207" t="str">
        <x:v>Material master</x:v>
      </x:c>
      <x:c r="C1223" s="207" t="str">
        <x:v>MAT-DRAFT-0459</x:v>
      </x:c>
      <x:c r="D1223" s="207" t="str">
        <x:v>Unlinked</x:v>
      </x:c>
      <x:c r="E1223" s="207" t="str">
        <x:v>1 строк; 5025.00 руб.; 4A-107</x:v>
      </x:c>
      <x:c r="F1223" s="207" t="str">
        <x:v>Подтвердить карточку, UOM, состав, цвет, поставщика и правила объединения</x:v>
      </x:c>
      <x:c r="G1223" s="207" t="str">
        <x:v>Закупки + склад</x:v>
      </x:c>
      <x:c r="H1223" s="207" t="str">
        <x:v>Средний</x:v>
      </x:c>
      <x:c r="I1223" s="207" t="str">
        <x:v>Material aging; BOM; procurement; actual usage</x:v>
      </x:c>
      <x:c r="J1223" s="207" t="str">
        <x:v>Остатки ткани 31.05.2026</x:v>
      </x:c>
      <x:c r="K1223" s="207" t="str"/>
      <x:c r="L1223" s="207" t="str"/>
      <x:c r="M1223" s="207" t="str">
        <x:v>Не рассмотрено</x:v>
      </x:c>
      <x:c r="N1223" s="207" t="str"/>
      <x:c r="O1223" s="207" t="str">
        <x:v>17</x:v>
      </x:c>
      <x:c r="P1223" s="207" t="n">
        <x:v>2</x:v>
      </x:c>
      <x:c r="Q1223" s="208" t="str">
        <x:v>Wave 3 (61–90 дней)</x:v>
      </x:c>
    </x:row>
    <x:row r="1224">
      <x:c r="A1224" s="206" t="str">
        <x:v>DEC-01220</x:v>
      </x:c>
      <x:c r="B1224" s="207" t="str">
        <x:v>Material master</x:v>
      </x:c>
      <x:c r="C1224" s="207" t="str">
        <x:v>MAT-DRAFT-0460</x:v>
      </x:c>
      <x:c r="D1224" s="207" t="str">
        <x:v>Unlinked</x:v>
      </x:c>
      <x:c r="E1224" s="207" t="str">
        <x:v>1 строк; 8250.00 руб.; 4A-106</x:v>
      </x:c>
      <x:c r="F1224" s="207" t="str">
        <x:v>Подтвердить карточку, UOM, состав, цвет, поставщика и правила объединения</x:v>
      </x:c>
      <x:c r="G1224" s="207" t="str">
        <x:v>Закупки + склад</x:v>
      </x:c>
      <x:c r="H1224" s="207" t="str">
        <x:v>Средний</x:v>
      </x:c>
      <x:c r="I1224" s="207" t="str">
        <x:v>Material aging; BOM; procurement; actual usage</x:v>
      </x:c>
      <x:c r="J1224" s="207" t="str">
        <x:v>Остатки ткани 31.05.2026</x:v>
      </x:c>
      <x:c r="K1224" s="207" t="str"/>
      <x:c r="L1224" s="207" t="str"/>
      <x:c r="M1224" s="207" t="str">
        <x:v>Не рассмотрено</x:v>
      </x:c>
      <x:c r="N1224" s="207" t="str"/>
      <x:c r="O1224" s="207" t="str">
        <x:v>17</x:v>
      </x:c>
      <x:c r="P1224" s="207" t="n">
        <x:v>2</x:v>
      </x:c>
      <x:c r="Q1224" s="208" t="str">
        <x:v>Wave 3 (61–90 дней)</x:v>
      </x:c>
    </x:row>
    <x:row r="1225">
      <x:c r="A1225" s="206" t="str">
        <x:v>DEC-01221</x:v>
      </x:c>
      <x:c r="B1225" s="207" t="str">
        <x:v>Material master</x:v>
      </x:c>
      <x:c r="C1225" s="207" t="str">
        <x:v>MAT-DRAFT-0461</x:v>
      </x:c>
      <x:c r="D1225" s="207" t="str">
        <x:v>Unlinked</x:v>
      </x:c>
      <x:c r="E1225" s="207" t="str">
        <x:v>2 строк; 4033.20 руб.; 4A-103</x:v>
      </x:c>
      <x:c r="F1225" s="207" t="str">
        <x:v>Подтвердить карточку, UOM, состав, цвет, поставщика и правила объединения</x:v>
      </x:c>
      <x:c r="G1225" s="207" t="str">
        <x:v>Закупки + склад</x:v>
      </x:c>
      <x:c r="H1225" s="207" t="str">
        <x:v>Средний</x:v>
      </x:c>
      <x:c r="I1225" s="207" t="str">
        <x:v>Material aging; BOM; procurement; actual usage</x:v>
      </x:c>
      <x:c r="J1225" s="207" t="str">
        <x:v>Остатки ткани 31.05.2026</x:v>
      </x:c>
      <x:c r="K1225" s="207" t="str"/>
      <x:c r="L1225" s="207" t="str"/>
      <x:c r="M1225" s="207" t="str">
        <x:v>Не рассмотрено</x:v>
      </x:c>
      <x:c r="N1225" s="207" t="str"/>
      <x:c r="O1225" s="207" t="str">
        <x:v>17</x:v>
      </x:c>
      <x:c r="P1225" s="207" t="n">
        <x:v>2</x:v>
      </x:c>
      <x:c r="Q1225" s="208" t="str">
        <x:v>Wave 3 (61–90 дней)</x:v>
      </x:c>
    </x:row>
    <x:row r="1226">
      <x:c r="A1226" s="206" t="str">
        <x:v>DEC-01222</x:v>
      </x:c>
      <x:c r="B1226" s="207" t="str">
        <x:v>Material master</x:v>
      </x:c>
      <x:c r="C1226" s="207" t="str">
        <x:v>MAT-DRAFT-0462</x:v>
      </x:c>
      <x:c r="D1226" s="207" t="str">
        <x:v>Unlinked</x:v>
      </x:c>
      <x:c r="E1226" s="207" t="str">
        <x:v>3 строк; 5041.50 руб.; 4A-102</x:v>
      </x:c>
      <x:c r="F1226" s="207" t="str">
        <x:v>Подтвердить карточку, UOM, состав, цвет, поставщика и правила объединения</x:v>
      </x:c>
      <x:c r="G1226" s="207" t="str">
        <x:v>Закупки + склад</x:v>
      </x:c>
      <x:c r="H1226" s="207" t="str">
        <x:v>Средний</x:v>
      </x:c>
      <x:c r="I1226" s="207" t="str">
        <x:v>Material aging; BOM; procurement; actual usage</x:v>
      </x:c>
      <x:c r="J1226" s="207" t="str">
        <x:v>Остатки ткани 31.05.2026</x:v>
      </x:c>
      <x:c r="K1226" s="207" t="str"/>
      <x:c r="L1226" s="207" t="str"/>
      <x:c r="M1226" s="207" t="str">
        <x:v>Не рассмотрено</x:v>
      </x:c>
      <x:c r="N1226" s="207" t="str"/>
      <x:c r="O1226" s="207" t="str">
        <x:v>17</x:v>
      </x:c>
      <x:c r="P1226" s="207" t="n">
        <x:v>2</x:v>
      </x:c>
      <x:c r="Q1226" s="208" t="str">
        <x:v>Wave 3 (61–90 дней)</x:v>
      </x:c>
    </x:row>
    <x:row r="1227">
      <x:c r="A1227" s="206" t="str">
        <x:v>DEC-01223</x:v>
      </x:c>
      <x:c r="B1227" s="207" t="str">
        <x:v>Material master</x:v>
      </x:c>
      <x:c r="C1227" s="207" t="str">
        <x:v>MAT-DRAFT-0463</x:v>
      </x:c>
      <x:c r="D1227" s="207" t="str">
        <x:v>Unlinked</x:v>
      </x:c>
      <x:c r="E1227" s="207" t="str">
        <x:v>3 строк; 4033.20 руб.; 4A-104</x:v>
      </x:c>
      <x:c r="F1227" s="207" t="str">
        <x:v>Подтвердить карточку, UOM, состав, цвет, поставщика и правила объединения</x:v>
      </x:c>
      <x:c r="G1227" s="207" t="str">
        <x:v>Закупки + склад</x:v>
      </x:c>
      <x:c r="H1227" s="207" t="str">
        <x:v>Средний</x:v>
      </x:c>
      <x:c r="I1227" s="207" t="str">
        <x:v>Material aging; BOM; procurement; actual usage</x:v>
      </x:c>
      <x:c r="J1227" s="207" t="str">
        <x:v>Остатки ткани 31.05.2026</x:v>
      </x:c>
      <x:c r="K1227" s="207" t="str"/>
      <x:c r="L1227" s="207" t="str"/>
      <x:c r="M1227" s="207" t="str">
        <x:v>Не рассмотрено</x:v>
      </x:c>
      <x:c r="N1227" s="207" t="str"/>
      <x:c r="O1227" s="207" t="str">
        <x:v>17</x:v>
      </x:c>
      <x:c r="P1227" s="207" t="n">
        <x:v>2</x:v>
      </x:c>
      <x:c r="Q1227" s="208" t="str">
        <x:v>Wave 3 (61–90 дней)</x:v>
      </x:c>
    </x:row>
    <x:row r="1228">
      <x:c r="A1228" s="206" t="str">
        <x:v>DEC-01224</x:v>
      </x:c>
      <x:c r="B1228" s="207" t="str">
        <x:v>Material master</x:v>
      </x:c>
      <x:c r="C1228" s="207" t="str">
        <x:v>MAT-DRAFT-0464</x:v>
      </x:c>
      <x:c r="D1228" s="207" t="str">
        <x:v>Unlinked</x:v>
      </x:c>
      <x:c r="E1228" s="207" t="str">
        <x:v>2 строк; 5041.50 руб.; 4A-101</x:v>
      </x:c>
      <x:c r="F1228" s="207" t="str">
        <x:v>Подтвердить карточку, UOM, состав, цвет, поставщика и правила объединения</x:v>
      </x:c>
      <x:c r="G1228" s="207" t="str">
        <x:v>Закупки + склад</x:v>
      </x:c>
      <x:c r="H1228" s="207" t="str">
        <x:v>Средний</x:v>
      </x:c>
      <x:c r="I1228" s="207" t="str">
        <x:v>Material aging; BOM; procurement; actual usage</x:v>
      </x:c>
      <x:c r="J1228" s="207" t="str">
        <x:v>Остатки ткани 31.05.2026</x:v>
      </x:c>
      <x:c r="K1228" s="207" t="str"/>
      <x:c r="L1228" s="207" t="str"/>
      <x:c r="M1228" s="207" t="str">
        <x:v>Не рассмотрено</x:v>
      </x:c>
      <x:c r="N1228" s="207" t="str"/>
      <x:c r="O1228" s="207" t="str">
        <x:v>17</x:v>
      </x:c>
      <x:c r="P1228" s="207" t="n">
        <x:v>2</x:v>
      </x:c>
      <x:c r="Q1228" s="208" t="str">
        <x:v>Wave 3 (61–90 дней)</x:v>
      </x:c>
    </x:row>
    <x:row r="1229">
      <x:c r="A1229" s="206" t="str">
        <x:v>DEC-01225</x:v>
      </x:c>
      <x:c r="B1229" s="207" t="str">
        <x:v>Material master</x:v>
      </x:c>
      <x:c r="C1229" s="207" t="str">
        <x:v>MAT-DRAFT-0465</x:v>
      </x:c>
      <x:c r="D1229" s="207" t="str">
        <x:v>Unlinked</x:v>
      </x:c>
      <x:c r="E1229" s="207" t="str">
        <x:v>1 строк; 11600.00 руб.; 4A-113</x:v>
      </x:c>
      <x:c r="F1229" s="207" t="str">
        <x:v>Подтвердить карточку, UOM, состав, цвет, поставщика и правила объединения</x:v>
      </x:c>
      <x:c r="G1229" s="207" t="str">
        <x:v>Закупки + склад</x:v>
      </x:c>
      <x:c r="H1229" s="207" t="str">
        <x:v>Высокий</x:v>
      </x:c>
      <x:c r="I1229" s="207" t="str">
        <x:v>Material aging; BOM; procurement; actual usage</x:v>
      </x:c>
      <x:c r="J1229" s="207" t="str">
        <x:v>Остатки ткани 31.05.2026</x:v>
      </x:c>
      <x:c r="K1229" s="207" t="str"/>
      <x:c r="L1229" s="207" t="str"/>
      <x:c r="M1229" s="207" t="str">
        <x:v>Не рассмотрено</x:v>
      </x:c>
      <x:c r="N1229" s="207" t="str"/>
      <x:c r="O1229" s="207" t="str">
        <x:v>17</x:v>
      </x:c>
      <x:c r="P1229" s="207" t="n">
        <x:v>3</x:v>
      </x:c>
      <x:c r="Q1229" s="208" t="str">
        <x:v>Wave 2 (31–60 дней)</x:v>
      </x:c>
    </x:row>
    <x:row r="1230">
      <x:c r="A1230" s="206" t="str">
        <x:v>DEC-01226</x:v>
      </x:c>
      <x:c r="B1230" s="207" t="str">
        <x:v>Material master</x:v>
      </x:c>
      <x:c r="C1230" s="207" t="str">
        <x:v>MAT-DRAFT-0466</x:v>
      </x:c>
      <x:c r="D1230" s="207" t="str">
        <x:v>Unlinked</x:v>
      </x:c>
      <x:c r="E1230" s="207" t="str">
        <x:v>1 строк; 8250.00 руб.; 4A-108</x:v>
      </x:c>
      <x:c r="F1230" s="207" t="str">
        <x:v>Подтвердить карточку, UOM, состав, цвет, поставщика и правила объединения</x:v>
      </x:c>
      <x:c r="G1230" s="207" t="str">
        <x:v>Закупки + склад</x:v>
      </x:c>
      <x:c r="H1230" s="207" t="str">
        <x:v>Средний</x:v>
      </x:c>
      <x:c r="I1230" s="207" t="str">
        <x:v>Material aging; BOM; procurement; actual usage</x:v>
      </x:c>
      <x:c r="J1230" s="207" t="str">
        <x:v>Остатки ткани 31.05.2026</x:v>
      </x:c>
      <x:c r="K1230" s="207" t="str"/>
      <x:c r="L1230" s="207" t="str"/>
      <x:c r="M1230" s="207" t="str">
        <x:v>Не рассмотрено</x:v>
      </x:c>
      <x:c r="N1230" s="207" t="str"/>
      <x:c r="O1230" s="207" t="str">
        <x:v>17</x:v>
      </x:c>
      <x:c r="P1230" s="207" t="n">
        <x:v>2</x:v>
      </x:c>
      <x:c r="Q1230" s="208" t="str">
        <x:v>Wave 3 (61–90 дней)</x:v>
      </x:c>
    </x:row>
    <x:row r="1231">
      <x:c r="A1231" s="206" t="str">
        <x:v>DEC-01227</x:v>
      </x:c>
      <x:c r="B1231" s="207" t="str">
        <x:v>Material master</x:v>
      </x:c>
      <x:c r="C1231" s="207" t="str">
        <x:v>MAT-DRAFT-0467</x:v>
      </x:c>
      <x:c r="D1231" s="207" t="str">
        <x:v>Unlinked</x:v>
      </x:c>
      <x:c r="E1231" s="207" t="str">
        <x:v>1 строк; 6520.00 руб.; 4P-014</x:v>
      </x:c>
      <x:c r="F1231" s="207" t="str">
        <x:v>Подтвердить карточку, UOM, состав, цвет, поставщика и правила объединения</x:v>
      </x:c>
      <x:c r="G1231" s="207" t="str">
        <x:v>Закупки + склад</x:v>
      </x:c>
      <x:c r="H1231" s="207" t="str">
        <x:v>Средний</x:v>
      </x:c>
      <x:c r="I1231" s="207" t="str">
        <x:v>Material aging; BOM; procurement; actual usage</x:v>
      </x:c>
      <x:c r="J1231" s="207" t="str">
        <x:v>Остатки ткани 31.05.2026</x:v>
      </x:c>
      <x:c r="K1231" s="207" t="str"/>
      <x:c r="L1231" s="207" t="str"/>
      <x:c r="M1231" s="207" t="str">
        <x:v>Не рассмотрено</x:v>
      </x:c>
      <x:c r="N1231" s="207" t="str"/>
      <x:c r="O1231" s="207" t="str">
        <x:v>17</x:v>
      </x:c>
      <x:c r="P1231" s="207" t="n">
        <x:v>2</x:v>
      </x:c>
      <x:c r="Q1231" s="208" t="str">
        <x:v>Wave 3 (61–90 дней)</x:v>
      </x:c>
    </x:row>
    <x:row r="1232">
      <x:c r="A1232" s="206" t="str">
        <x:v>DEC-01228</x:v>
      </x:c>
      <x:c r="B1232" s="207" t="str">
        <x:v>Material master</x:v>
      </x:c>
      <x:c r="C1232" s="207" t="str">
        <x:v>MAT-DRAFT-0468</x:v>
      </x:c>
      <x:c r="D1232" s="207" t="str">
        <x:v>Unlinked</x:v>
      </x:c>
      <x:c r="E1232" s="207" t="str">
        <x:v>1 строк; 2840.00 руб.; 4-034</x:v>
      </x:c>
      <x:c r="F1232" s="207" t="str">
        <x:v>Подтвердить карточку, UOM, состав, цвет, поставщика и правила объединения</x:v>
      </x:c>
      <x:c r="G1232" s="207" t="str">
        <x:v>Закупки + склад</x:v>
      </x:c>
      <x:c r="H1232" s="207" t="str">
        <x:v>Средний</x:v>
      </x:c>
      <x:c r="I1232" s="207" t="str">
        <x:v>Material aging; BOM; procurement; actual usage</x:v>
      </x:c>
      <x:c r="J1232" s="207" t="str">
        <x:v>Остатки ткани 31.05.2026</x:v>
      </x:c>
      <x:c r="K1232" s="207" t="str"/>
      <x:c r="L1232" s="207" t="str"/>
      <x:c r="M1232" s="207" t="str">
        <x:v>Не рассмотрено</x:v>
      </x:c>
      <x:c r="N1232" s="207" t="str"/>
      <x:c r="O1232" s="207" t="str">
        <x:v>17</x:v>
      </x:c>
      <x:c r="P1232" s="207" t="n">
        <x:v>2</x:v>
      </x:c>
      <x:c r="Q1232" s="208" t="str">
        <x:v>Wave 3 (61–90 дней)</x:v>
      </x:c>
    </x:row>
    <x:row r="1233">
      <x:c r="A1233" s="206" t="str">
        <x:v>DEC-01229</x:v>
      </x:c>
      <x:c r="B1233" s="207" t="str">
        <x:v>Material master</x:v>
      </x:c>
      <x:c r="C1233" s="207" t="str">
        <x:v>MAT-DRAFT-0469</x:v>
      </x:c>
      <x:c r="D1233" s="207" t="str">
        <x:v>Unlinked</x:v>
      </x:c>
      <x:c r="E1233" s="207" t="str">
        <x:v>1 строк; 8100.00 руб.; 4P-005</x:v>
      </x:c>
      <x:c r="F1233" s="207" t="str">
        <x:v>Подтвердить карточку, UOM, состав, цвет, поставщика и правила объединения</x:v>
      </x:c>
      <x:c r="G1233" s="207" t="str">
        <x:v>Закупки + склад</x:v>
      </x:c>
      <x:c r="H1233" s="207" t="str">
        <x:v>Средний</x:v>
      </x:c>
      <x:c r="I1233" s="207" t="str">
        <x:v>Material aging; BOM; procurement; actual usage</x:v>
      </x:c>
      <x:c r="J1233" s="207" t="str">
        <x:v>Остатки ткани 31.05.2026</x:v>
      </x:c>
      <x:c r="K1233" s="207" t="str"/>
      <x:c r="L1233" s="207" t="str"/>
      <x:c r="M1233" s="207" t="str">
        <x:v>Не рассмотрено</x:v>
      </x:c>
      <x:c r="N1233" s="207" t="str"/>
      <x:c r="O1233" s="207" t="str">
        <x:v>17</x:v>
      </x:c>
      <x:c r="P1233" s="207" t="n">
        <x:v>2</x:v>
      </x:c>
      <x:c r="Q1233" s="208" t="str">
        <x:v>Wave 3 (61–90 дней)</x:v>
      </x:c>
    </x:row>
    <x:row r="1234">
      <x:c r="A1234" s="206" t="str">
        <x:v>DEC-01230</x:v>
      </x:c>
      <x:c r="B1234" s="207" t="str">
        <x:v>Material master</x:v>
      </x:c>
      <x:c r="C1234" s="207" t="str">
        <x:v>MAT-DRAFT-0470</x:v>
      </x:c>
      <x:c r="D1234" s="207" t="str">
        <x:v>Unlinked</x:v>
      </x:c>
      <x:c r="E1234" s="207" t="str">
        <x:v>2 строк; 30250.00 руб.; 4A-094</x:v>
      </x:c>
      <x:c r="F1234" s="207" t="str">
        <x:v>Подтвердить карточку, UOM, состав, цвет, поставщика и правила объединения</x:v>
      </x:c>
      <x:c r="G1234" s="207" t="str">
        <x:v>Закупки + склад</x:v>
      </x:c>
      <x:c r="H1234" s="207" t="str">
        <x:v>Высокий</x:v>
      </x:c>
      <x:c r="I1234" s="207" t="str">
        <x:v>Material aging; BOM; procurement; actual usage</x:v>
      </x:c>
      <x:c r="J1234" s="207" t="str">
        <x:v>Остатки ткани 31.05.2026</x:v>
      </x:c>
      <x:c r="K1234" s="207" t="str"/>
      <x:c r="L1234" s="207" t="str"/>
      <x:c r="M1234" s="207" t="str">
        <x:v>Не рассмотрено</x:v>
      </x:c>
      <x:c r="N1234" s="207" t="str"/>
      <x:c r="O1234" s="207" t="str">
        <x:v>17</x:v>
      </x:c>
      <x:c r="P1234" s="207" t="n">
        <x:v>3</x:v>
      </x:c>
      <x:c r="Q1234" s="208" t="str">
        <x:v>Wave 2 (31–60 дней)</x:v>
      </x:c>
    </x:row>
    <x:row r="1235">
      <x:c r="A1235" s="206" t="str">
        <x:v>DEC-01231</x:v>
      </x:c>
      <x:c r="B1235" s="207" t="str">
        <x:v>Material master</x:v>
      </x:c>
      <x:c r="C1235" s="207" t="str">
        <x:v>MAT-DRAFT-0471</x:v>
      </x:c>
      <x:c r="D1235" s="207" t="str">
        <x:v>Unlinked</x:v>
      </x:c>
      <x:c r="E1235" s="207" t="str">
        <x:v>1 строк; 6300.00 руб.; 4P-003</x:v>
      </x:c>
      <x:c r="F1235" s="207" t="str">
        <x:v>Подтвердить карточку, UOM, состав, цвет, поставщика и правила объединения</x:v>
      </x:c>
      <x:c r="G1235" s="207" t="str">
        <x:v>Закупки + склад</x:v>
      </x:c>
      <x:c r="H1235" s="207" t="str">
        <x:v>Средний</x:v>
      </x:c>
      <x:c r="I1235" s="207" t="str">
        <x:v>Material aging; BOM; procurement; actual usage</x:v>
      </x:c>
      <x:c r="J1235" s="207" t="str">
        <x:v>Остатки ткани 31.05.2026</x:v>
      </x:c>
      <x:c r="K1235" s="207" t="str"/>
      <x:c r="L1235" s="207" t="str"/>
      <x:c r="M1235" s="207" t="str">
        <x:v>Не рассмотрено</x:v>
      </x:c>
      <x:c r="N1235" s="207" t="str"/>
      <x:c r="O1235" s="207" t="str">
        <x:v>17</x:v>
      </x:c>
      <x:c r="P1235" s="207" t="n">
        <x:v>2</x:v>
      </x:c>
      <x:c r="Q1235" s="208" t="str">
        <x:v>Wave 3 (61–90 дней)</x:v>
      </x:c>
    </x:row>
    <x:row r="1236">
      <x:c r="A1236" s="206" t="str">
        <x:v>DEC-01232</x:v>
      </x:c>
      <x:c r="B1236" s="207" t="str">
        <x:v>Material master</x:v>
      </x:c>
      <x:c r="C1236" s="207" t="str">
        <x:v>MAT-DRAFT-0472</x:v>
      </x:c>
      <x:c r="D1236" s="207" t="str">
        <x:v>Unlinked</x:v>
      </x:c>
      <x:c r="E1236" s="207" t="str">
        <x:v>2 строк; 30250.00 руб.; 4A-096</x:v>
      </x:c>
      <x:c r="F1236" s="207" t="str">
        <x:v>Подтвердить карточку, UOM, состав, цвет, поставщика и правила объединения</x:v>
      </x:c>
      <x:c r="G1236" s="207" t="str">
        <x:v>Закупки + склад</x:v>
      </x:c>
      <x:c r="H1236" s="207" t="str">
        <x:v>Высокий</x:v>
      </x:c>
      <x:c r="I1236" s="207" t="str">
        <x:v>Material aging; BOM; procurement; actual usage</x:v>
      </x:c>
      <x:c r="J1236" s="207" t="str">
        <x:v>Остатки ткани 31.05.2026</x:v>
      </x:c>
      <x:c r="K1236" s="207" t="str"/>
      <x:c r="L1236" s="207" t="str"/>
      <x:c r="M1236" s="207" t="str">
        <x:v>Не рассмотрено</x:v>
      </x:c>
      <x:c r="N1236" s="207" t="str"/>
      <x:c r="O1236" s="207" t="str">
        <x:v>17</x:v>
      </x:c>
      <x:c r="P1236" s="207" t="n">
        <x:v>3</x:v>
      </x:c>
      <x:c r="Q1236" s="208" t="str">
        <x:v>Wave 2 (31–60 дней)</x:v>
      </x:c>
    </x:row>
    <x:row r="1237">
      <x:c r="A1237" s="206" t="str">
        <x:v>DEC-01233</x:v>
      </x:c>
      <x:c r="B1237" s="207" t="str">
        <x:v>Material master</x:v>
      </x:c>
      <x:c r="C1237" s="207" t="str">
        <x:v>MAT-DRAFT-0473</x:v>
      </x:c>
      <x:c r="D1237" s="207" t="str">
        <x:v>Unlinked</x:v>
      </x:c>
      <x:c r="E1237" s="207" t="str">
        <x:v>2 строк; 30250.00 руб.; 4A-097</x:v>
      </x:c>
      <x:c r="F1237" s="207" t="str">
        <x:v>Подтвердить карточку, UOM, состав, цвет, поставщика и правила объединения</x:v>
      </x:c>
      <x:c r="G1237" s="207" t="str">
        <x:v>Закупки + склад</x:v>
      </x:c>
      <x:c r="H1237" s="207" t="str">
        <x:v>Высокий</x:v>
      </x:c>
      <x:c r="I1237" s="207" t="str">
        <x:v>Material aging; BOM; procurement; actual usage</x:v>
      </x:c>
      <x:c r="J1237" s="207" t="str">
        <x:v>Остатки ткани 31.05.2026</x:v>
      </x:c>
      <x:c r="K1237" s="207" t="str"/>
      <x:c r="L1237" s="207" t="str"/>
      <x:c r="M1237" s="207" t="str">
        <x:v>Не рассмотрено</x:v>
      </x:c>
      <x:c r="N1237" s="207" t="str"/>
      <x:c r="O1237" s="207" t="str">
        <x:v>17</x:v>
      </x:c>
      <x:c r="P1237" s="207" t="n">
        <x:v>3</x:v>
      </x:c>
      <x:c r="Q1237" s="208" t="str">
        <x:v>Wave 2 (31–60 дней)</x:v>
      </x:c>
    </x:row>
    <x:row r="1238">
      <x:c r="A1238" s="206" t="str">
        <x:v>DEC-01234</x:v>
      </x:c>
      <x:c r="B1238" s="207" t="str">
        <x:v>Material master</x:v>
      </x:c>
      <x:c r="C1238" s="207" t="str">
        <x:v>MAT-DRAFT-0474</x:v>
      </x:c>
      <x:c r="D1238" s="207" t="str">
        <x:v>Unlinked</x:v>
      </x:c>
      <x:c r="E1238" s="207" t="str">
        <x:v>3 строк; 72950.00 руб.; 4A-095</x:v>
      </x:c>
      <x:c r="F1238" s="207" t="str">
        <x:v>Подтвердить карточку, UOM, состав, цвет, поставщика и правила объединения</x:v>
      </x:c>
      <x:c r="G1238" s="207" t="str">
        <x:v>Закупки + склад</x:v>
      </x:c>
      <x:c r="H1238" s="207" t="str">
        <x:v>Высокий</x:v>
      </x:c>
      <x:c r="I1238" s="207" t="str">
        <x:v>Material aging; BOM; procurement; actual usage</x:v>
      </x:c>
      <x:c r="J1238" s="207" t="str">
        <x:v>Остатки ткани 31.05.2026</x:v>
      </x:c>
      <x:c r="K1238" s="207" t="str"/>
      <x:c r="L1238" s="207" t="str"/>
      <x:c r="M1238" s="207" t="str">
        <x:v>Не рассмотрено</x:v>
      </x:c>
      <x:c r="N1238" s="207" t="str"/>
      <x:c r="O1238" s="207" t="str">
        <x:v>17</x:v>
      </x:c>
      <x:c r="P1238" s="207" t="n">
        <x:v>3</x:v>
      </x:c>
      <x:c r="Q1238" s="208" t="str">
        <x:v>Wave 2 (31–60 дней)</x:v>
      </x:c>
    </x:row>
    <x:row r="1239">
      <x:c r="A1239" s="206" t="str">
        <x:v>DEC-01235</x:v>
      </x:c>
      <x:c r="B1239" s="207" t="str">
        <x:v>Material master</x:v>
      </x:c>
      <x:c r="C1239" s="207" t="str">
        <x:v>MAT-DRAFT-0475</x:v>
      </x:c>
      <x:c r="D1239" s="207" t="str">
        <x:v>Unlinked</x:v>
      </x:c>
      <x:c r="E1239" s="207" t="str">
        <x:v>3 строк; 66850.00 руб.; 4A-091</x:v>
      </x:c>
      <x:c r="F1239" s="207" t="str">
        <x:v>Подтвердить карточку, UOM, состав, цвет, поставщика и правила объединения</x:v>
      </x:c>
      <x:c r="G1239" s="207" t="str">
        <x:v>Закупки + склад</x:v>
      </x:c>
      <x:c r="H1239" s="207" t="str">
        <x:v>Высокий</x:v>
      </x:c>
      <x:c r="I1239" s="207" t="str">
        <x:v>Material aging; BOM; procurement; actual usage</x:v>
      </x:c>
      <x:c r="J1239" s="207" t="str">
        <x:v>Остатки ткани 31.05.2026</x:v>
      </x:c>
      <x:c r="K1239" s="207" t="str"/>
      <x:c r="L1239" s="207" t="str"/>
      <x:c r="M1239" s="207" t="str">
        <x:v>Не рассмотрено</x:v>
      </x:c>
      <x:c r="N1239" s="207" t="str"/>
      <x:c r="O1239" s="207" t="str">
        <x:v>17</x:v>
      </x:c>
      <x:c r="P1239" s="207" t="n">
        <x:v>3</x:v>
      </x:c>
      <x:c r="Q1239" s="208" t="str">
        <x:v>Wave 2 (31–60 дней)</x:v>
      </x:c>
    </x:row>
    <x:row r="1240">
      <x:c r="A1240" s="206" t="str">
        <x:v>DEC-01236</x:v>
      </x:c>
      <x:c r="B1240" s="207" t="str">
        <x:v>Material master</x:v>
      </x:c>
      <x:c r="C1240" s="207" t="str">
        <x:v>MAT-DRAFT-0476</x:v>
      </x:c>
      <x:c r="D1240" s="207" t="str">
        <x:v>Unlinked</x:v>
      </x:c>
      <x:c r="E1240" s="207" t="str">
        <x:v>3 строк; 30250.00 руб.; 4A-092</x:v>
      </x:c>
      <x:c r="F1240" s="207" t="str">
        <x:v>Подтвердить карточку, UOM, состав, цвет, поставщика и правила объединения</x:v>
      </x:c>
      <x:c r="G1240" s="207" t="str">
        <x:v>Закупки + склад</x:v>
      </x:c>
      <x:c r="H1240" s="207" t="str">
        <x:v>Высокий</x:v>
      </x:c>
      <x:c r="I1240" s="207" t="str">
        <x:v>Material aging; BOM; procurement; actual usage</x:v>
      </x:c>
      <x:c r="J1240" s="207" t="str">
        <x:v>Остатки ткани 31.05.2026</x:v>
      </x:c>
      <x:c r="K1240" s="207" t="str"/>
      <x:c r="L1240" s="207" t="str"/>
      <x:c r="M1240" s="207" t="str">
        <x:v>Не рассмотрено</x:v>
      </x:c>
      <x:c r="N1240" s="207" t="str"/>
      <x:c r="O1240" s="207" t="str">
        <x:v>17</x:v>
      </x:c>
      <x:c r="P1240" s="207" t="n">
        <x:v>3</x:v>
      </x:c>
      <x:c r="Q1240" s="208" t="str">
        <x:v>Wave 2 (31–60 дней)</x:v>
      </x:c>
    </x:row>
    <x:row r="1241">
      <x:c r="A1241" s="206" t="str">
        <x:v>DEC-01237</x:v>
      </x:c>
      <x:c r="B1241" s="207" t="str">
        <x:v>Material master</x:v>
      </x:c>
      <x:c r="C1241" s="207" t="str">
        <x:v>MAT-DRAFT-0477</x:v>
      </x:c>
      <x:c r="D1241" s="207" t="str">
        <x:v>Unlinked</x:v>
      </x:c>
      <x:c r="E1241" s="207" t="str">
        <x:v>1 строк; 2640.00 руб.; 4P-018</x:v>
      </x:c>
      <x:c r="F1241" s="207" t="str">
        <x:v>Подтвердить карточку, UOM, состав, цвет, поставщика и правила объединения</x:v>
      </x:c>
      <x:c r="G1241" s="207" t="str">
        <x:v>Закупки + склад</x:v>
      </x:c>
      <x:c r="H1241" s="207" t="str">
        <x:v>Средний</x:v>
      </x:c>
      <x:c r="I1241" s="207" t="str">
        <x:v>Material aging; BOM; procurement; actual usage</x:v>
      </x:c>
      <x:c r="J1241" s="207" t="str">
        <x:v>Остатки ткани 31.05.2026</x:v>
      </x:c>
      <x:c r="K1241" s="207" t="str"/>
      <x:c r="L1241" s="207" t="str"/>
      <x:c r="M1241" s="207" t="str">
        <x:v>Не рассмотрено</x:v>
      </x:c>
      <x:c r="N1241" s="207" t="str"/>
      <x:c r="O1241" s="207" t="str">
        <x:v>17</x:v>
      </x:c>
      <x:c r="P1241" s="207" t="n">
        <x:v>2</x:v>
      </x:c>
      <x:c r="Q1241" s="208" t="str">
        <x:v>Wave 3 (61–90 дней)</x:v>
      </x:c>
    </x:row>
    <x:row r="1242">
      <x:c r="A1242" s="206" t="str">
        <x:v>DEC-01238</x:v>
      </x:c>
      <x:c r="B1242" s="207" t="str">
        <x:v>Material master</x:v>
      </x:c>
      <x:c r="C1242" s="207" t="str">
        <x:v>MAT-DRAFT-0479</x:v>
      </x:c>
      <x:c r="D1242" s="207" t="str">
        <x:v>Unlinked</x:v>
      </x:c>
      <x:c r="E1242" s="207" t="str">
        <x:v>1 строк; 12600.00 руб.; 4P-028</x:v>
      </x:c>
      <x:c r="F1242" s="207" t="str">
        <x:v>Подтвердить карточку, UOM, состав, цвет, поставщика и правила объединения</x:v>
      </x:c>
      <x:c r="G1242" s="207" t="str">
        <x:v>Закупки + склад</x:v>
      </x:c>
      <x:c r="H1242" s="207" t="str">
        <x:v>Высокий</x:v>
      </x:c>
      <x:c r="I1242" s="207" t="str">
        <x:v>Material aging; BOM; procurement; actual usage</x:v>
      </x:c>
      <x:c r="J1242" s="207" t="str">
        <x:v>Остатки ткани 31.05.2026</x:v>
      </x:c>
      <x:c r="K1242" s="207" t="str"/>
      <x:c r="L1242" s="207" t="str"/>
      <x:c r="M1242" s="207" t="str">
        <x:v>Не рассмотрено</x:v>
      </x:c>
      <x:c r="N1242" s="207" t="str"/>
      <x:c r="O1242" s="207" t="str">
        <x:v>17</x:v>
      </x:c>
      <x:c r="P1242" s="207" t="n">
        <x:v>3</x:v>
      </x:c>
      <x:c r="Q1242" s="208" t="str">
        <x:v>Wave 2 (31–60 дней)</x:v>
      </x:c>
    </x:row>
    <x:row r="1243">
      <x:c r="A1243" s="206" t="str">
        <x:v>DEC-01239</x:v>
      </x:c>
      <x:c r="B1243" s="207" t="str">
        <x:v>Material master</x:v>
      </x:c>
      <x:c r="C1243" s="207" t="str">
        <x:v>MAT-DRAFT-0480</x:v>
      </x:c>
      <x:c r="D1243" s="207" t="str">
        <x:v>Unlinked</x:v>
      </x:c>
      <x:c r="E1243" s="207" t="str">
        <x:v>1 строк; 6090.00 руб.; 4P-023</x:v>
      </x:c>
      <x:c r="F1243" s="207" t="str">
        <x:v>Подтвердить карточку, UOM, состав, цвет, поставщика и правила объединения</x:v>
      </x:c>
      <x:c r="G1243" s="207" t="str">
        <x:v>Закупки + склад</x:v>
      </x:c>
      <x:c r="H1243" s="207" t="str">
        <x:v>Средний</x:v>
      </x:c>
      <x:c r="I1243" s="207" t="str">
        <x:v>Material aging; BOM; procurement; actual usage</x:v>
      </x:c>
      <x:c r="J1243" s="207" t="str">
        <x:v>Остатки ткани 31.05.2026</x:v>
      </x:c>
      <x:c r="K1243" s="207" t="str"/>
      <x:c r="L1243" s="207" t="str"/>
      <x:c r="M1243" s="207" t="str">
        <x:v>Не рассмотрено</x:v>
      </x:c>
      <x:c r="N1243" s="207" t="str"/>
      <x:c r="O1243" s="207" t="str">
        <x:v>17</x:v>
      </x:c>
      <x:c r="P1243" s="207" t="n">
        <x:v>2</x:v>
      </x:c>
      <x:c r="Q1243" s="208" t="str">
        <x:v>Wave 3 (61–90 дней)</x:v>
      </x:c>
    </x:row>
    <x:row r="1244">
      <x:c r="A1244" s="206" t="str">
        <x:v>DEC-01240</x:v>
      </x:c>
      <x:c r="B1244" s="207" t="str">
        <x:v>Material master</x:v>
      </x:c>
      <x:c r="C1244" s="207" t="str">
        <x:v>MAT-DRAFT-0481</x:v>
      </x:c>
      <x:c r="D1244" s="207" t="str">
        <x:v>Unlinked</x:v>
      </x:c>
      <x:c r="E1244" s="207" t="str">
        <x:v>1 строк; 36300.00 руб.; 4A-099</x:v>
      </x:c>
      <x:c r="F1244" s="207" t="str">
        <x:v>Подтвердить карточку, UOM, состав, цвет, поставщика и правила объединения</x:v>
      </x:c>
      <x:c r="G1244" s="207" t="str">
        <x:v>Закупки + склад</x:v>
      </x:c>
      <x:c r="H1244" s="207" t="str">
        <x:v>Высокий</x:v>
      </x:c>
      <x:c r="I1244" s="207" t="str">
        <x:v>Material aging; BOM; procurement; actual usage</x:v>
      </x:c>
      <x:c r="J1244" s="207" t="str">
        <x:v>Остатки ткани 31.05.2026</x:v>
      </x:c>
      <x:c r="K1244" s="207" t="str"/>
      <x:c r="L1244" s="207" t="str"/>
      <x:c r="M1244" s="207" t="str">
        <x:v>Не рассмотрено</x:v>
      </x:c>
      <x:c r="N1244" s="207" t="str"/>
      <x:c r="O1244" s="207" t="str">
        <x:v>17</x:v>
      </x:c>
      <x:c r="P1244" s="207" t="n">
        <x:v>3</x:v>
      </x:c>
      <x:c r="Q1244" s="208" t="str">
        <x:v>Wave 2 (31–60 дней)</x:v>
      </x:c>
    </x:row>
    <x:row r="1245">
      <x:c r="A1245" s="206" t="str">
        <x:v>DEC-01241</x:v>
      </x:c>
      <x:c r="B1245" s="207" t="str">
        <x:v>Material master</x:v>
      </x:c>
      <x:c r="C1245" s="207" t="str">
        <x:v>MAT-DRAFT-0482</x:v>
      </x:c>
      <x:c r="D1245" s="207" t="str">
        <x:v>Unlinked</x:v>
      </x:c>
      <x:c r="E1245" s="207" t="str">
        <x:v>1 строк; 36300.00 руб.; 4A-098</x:v>
      </x:c>
      <x:c r="F1245" s="207" t="str">
        <x:v>Подтвердить карточку, UOM, состав, цвет, поставщика и правила объединения</x:v>
      </x:c>
      <x:c r="G1245" s="207" t="str">
        <x:v>Закупки + склад</x:v>
      </x:c>
      <x:c r="H1245" s="207" t="str">
        <x:v>Высокий</x:v>
      </x:c>
      <x:c r="I1245" s="207" t="str">
        <x:v>Material aging; BOM; procurement; actual usage</x:v>
      </x:c>
      <x:c r="J1245" s="207" t="str">
        <x:v>Остатки ткани 31.05.2026</x:v>
      </x:c>
      <x:c r="K1245" s="207" t="str"/>
      <x:c r="L1245" s="207" t="str"/>
      <x:c r="M1245" s="207" t="str">
        <x:v>Не рассмотрено</x:v>
      </x:c>
      <x:c r="N1245" s="207" t="str"/>
      <x:c r="O1245" s="207" t="str">
        <x:v>17</x:v>
      </x:c>
      <x:c r="P1245" s="207" t="n">
        <x:v>3</x:v>
      </x:c>
      <x:c r="Q1245" s="208" t="str">
        <x:v>Wave 2 (31–60 дней)</x:v>
      </x:c>
    </x:row>
    <x:row r="1246">
      <x:c r="A1246" s="206" t="str">
        <x:v>DEC-01242</x:v>
      </x:c>
      <x:c r="B1246" s="207" t="str">
        <x:v>Material master</x:v>
      </x:c>
      <x:c r="C1246" s="207" t="str">
        <x:v>MAT-DRAFT-0483</x:v>
      </x:c>
      <x:c r="D1246" s="207" t="str">
        <x:v>Unlinked</x:v>
      </x:c>
      <x:c r="E1246" s="207" t="str">
        <x:v>1 строк; 26460.00 руб.; 4A-110</x:v>
      </x:c>
      <x:c r="F1246" s="207" t="str">
        <x:v>Подтвердить карточку, UOM, состав, цвет, поставщика и правила объединения</x:v>
      </x:c>
      <x:c r="G1246" s="207" t="str">
        <x:v>Закупки + склад</x:v>
      </x:c>
      <x:c r="H1246" s="207" t="str">
        <x:v>Высокий</x:v>
      </x:c>
      <x:c r="I1246" s="207" t="str">
        <x:v>Material aging; BOM; procurement; actual usage</x:v>
      </x:c>
      <x:c r="J1246" s="207" t="str">
        <x:v>Остатки ткани 31.05.2026</x:v>
      </x:c>
      <x:c r="K1246" s="207" t="str"/>
      <x:c r="L1246" s="207" t="str"/>
      <x:c r="M1246" s="207" t="str">
        <x:v>Не рассмотрено</x:v>
      </x:c>
      <x:c r="N1246" s="207" t="str"/>
      <x:c r="O1246" s="207" t="str">
        <x:v>17</x:v>
      </x:c>
      <x:c r="P1246" s="207" t="n">
        <x:v>3</x:v>
      </x:c>
      <x:c r="Q1246" s="208" t="str">
        <x:v>Wave 2 (31–60 дней)</x:v>
      </x:c>
    </x:row>
    <x:row r="1247">
      <x:c r="A1247" s="206" t="str">
        <x:v>DEC-01243</x:v>
      </x:c>
      <x:c r="B1247" s="207" t="str">
        <x:v>Material master</x:v>
      </x:c>
      <x:c r="C1247" s="207" t="str">
        <x:v>MAT-DRAFT-0484</x:v>
      </x:c>
      <x:c r="D1247" s="207" t="str">
        <x:v>Unlinked</x:v>
      </x:c>
      <x:c r="E1247" s="207" t="str">
        <x:v>1 строк; 36300.00 руб.; 4A-100</x:v>
      </x:c>
      <x:c r="F1247" s="207" t="str">
        <x:v>Подтвердить карточку, UOM, состав, цвет, поставщика и правила объединения</x:v>
      </x:c>
      <x:c r="G1247" s="207" t="str">
        <x:v>Закупки + склад</x:v>
      </x:c>
      <x:c r="H1247" s="207" t="str">
        <x:v>Высокий</x:v>
      </x:c>
      <x:c r="I1247" s="207" t="str">
        <x:v>Material aging; BOM; procurement; actual usage</x:v>
      </x:c>
      <x:c r="J1247" s="207" t="str">
        <x:v>Остатки ткани 31.05.2026</x:v>
      </x:c>
      <x:c r="K1247" s="207" t="str"/>
      <x:c r="L1247" s="207" t="str"/>
      <x:c r="M1247" s="207" t="str">
        <x:v>Не рассмотрено</x:v>
      </x:c>
      <x:c r="N1247" s="207" t="str"/>
      <x:c r="O1247" s="207" t="str">
        <x:v>17</x:v>
      </x:c>
      <x:c r="P1247" s="207" t="n">
        <x:v>3</x:v>
      </x:c>
      <x:c r="Q1247" s="208" t="str">
        <x:v>Wave 2 (31–60 дней)</x:v>
      </x:c>
    </x:row>
    <x:row r="1248">
      <x:c r="A1248" s="206" t="str">
        <x:v>DEC-01244</x:v>
      </x:c>
      <x:c r="B1248" s="207" t="str">
        <x:v>Material master</x:v>
      </x:c>
      <x:c r="C1248" s="207" t="str">
        <x:v>MAT-DRAFT-0485</x:v>
      </x:c>
      <x:c r="D1248" s="207" t="str">
        <x:v>Unlinked</x:v>
      </x:c>
      <x:c r="E1248" s="207" t="str">
        <x:v>1 строк; 26460.00 руб.; 4A-111</x:v>
      </x:c>
      <x:c r="F1248" s="207" t="str">
        <x:v>Подтвердить карточку, UOM, состав, цвет, поставщика и правила объединения</x:v>
      </x:c>
      <x:c r="G1248" s="207" t="str">
        <x:v>Закупки + склад</x:v>
      </x:c>
      <x:c r="H1248" s="207" t="str">
        <x:v>Высокий</x:v>
      </x:c>
      <x:c r="I1248" s="207" t="str">
        <x:v>Material aging; BOM; procurement; actual usage</x:v>
      </x:c>
      <x:c r="J1248" s="207" t="str">
        <x:v>Остатки ткани 31.05.2026</x:v>
      </x:c>
      <x:c r="K1248" s="207" t="str"/>
      <x:c r="L1248" s="207" t="str"/>
      <x:c r="M1248" s="207" t="str">
        <x:v>Не рассмотрено</x:v>
      </x:c>
      <x:c r="N1248" s="207" t="str"/>
      <x:c r="O1248" s="207" t="str">
        <x:v>17</x:v>
      </x:c>
      <x:c r="P1248" s="207" t="n">
        <x:v>3</x:v>
      </x:c>
      <x:c r="Q1248" s="208" t="str">
        <x:v>Wave 2 (31–60 дней)</x:v>
      </x:c>
    </x:row>
    <x:row r="1249">
      <x:c r="A1249" s="206" t="str">
        <x:v>DEC-01245</x:v>
      </x:c>
      <x:c r="B1249" s="207" t="str">
        <x:v>Material master</x:v>
      </x:c>
      <x:c r="C1249" s="207" t="str">
        <x:v>MAT-DRAFT-0486</x:v>
      </x:c>
      <x:c r="D1249" s="207" t="str">
        <x:v>Unlinked</x:v>
      </x:c>
      <x:c r="E1249" s="207" t="str">
        <x:v>2 строк; 28500.00 руб.; 4A-022</x:v>
      </x:c>
      <x:c r="F1249" s="207" t="str">
        <x:v>Подтвердить карточку, UOM, состав, цвет, поставщика и правила объединения</x:v>
      </x:c>
      <x:c r="G1249" s="207" t="str">
        <x:v>Закупки + склад</x:v>
      </x:c>
      <x:c r="H1249" s="207" t="str">
        <x:v>Высокий</x:v>
      </x:c>
      <x:c r="I1249" s="207" t="str">
        <x:v>Material aging; BOM; procurement; actual usage</x:v>
      </x:c>
      <x:c r="J1249" s="207" t="str">
        <x:v>Остатки ткани 31.05.2026</x:v>
      </x:c>
      <x:c r="K1249" s="207" t="str"/>
      <x:c r="L1249" s="207" t="str"/>
      <x:c r="M1249" s="207" t="str">
        <x:v>Не рассмотрено</x:v>
      </x:c>
      <x:c r="N1249" s="207" t="str"/>
      <x:c r="O1249" s="207" t="str">
        <x:v>17</x:v>
      </x:c>
      <x:c r="P1249" s="207" t="n">
        <x:v>3</x:v>
      </x:c>
      <x:c r="Q1249" s="208" t="str">
        <x:v>Wave 2 (31–60 дней)</x:v>
      </x:c>
    </x:row>
    <x:row r="1250">
      <x:c r="A1250" s="206" t="str">
        <x:v>DEC-01246</x:v>
      </x:c>
      <x:c r="B1250" s="207" t="str">
        <x:v>Material master</x:v>
      </x:c>
      <x:c r="C1250" s="207" t="str">
        <x:v>MAT-DRAFT-0487</x:v>
      </x:c>
      <x:c r="D1250" s="207" t="str">
        <x:v>Unlinked</x:v>
      </x:c>
      <x:c r="E1250" s="207" t="str">
        <x:v>1 строк; 9900.00 руб.; 4A-006</x:v>
      </x:c>
      <x:c r="F1250" s="207" t="str">
        <x:v>Подтвердить карточку, UOM, состав, цвет, поставщика и правила объединения</x:v>
      </x:c>
      <x:c r="G1250" s="207" t="str">
        <x:v>Закупки + склад</x:v>
      </x:c>
      <x:c r="H1250" s="207" t="str">
        <x:v>Средний</x:v>
      </x:c>
      <x:c r="I1250" s="207" t="str">
        <x:v>Material aging; BOM; procurement; actual usage</x:v>
      </x:c>
      <x:c r="J1250" s="207" t="str">
        <x:v>Остатки ткани 31.05.2026</x:v>
      </x:c>
      <x:c r="K1250" s="207" t="str"/>
      <x:c r="L1250" s="207" t="str"/>
      <x:c r="M1250" s="207" t="str">
        <x:v>Не рассмотрено</x:v>
      </x:c>
      <x:c r="N1250" s="207" t="str"/>
      <x:c r="O1250" s="207" t="str">
        <x:v>17</x:v>
      </x:c>
      <x:c r="P1250" s="207" t="n">
        <x:v>2</x:v>
      </x:c>
      <x:c r="Q1250" s="208" t="str">
        <x:v>Wave 3 (61–90 дней)</x:v>
      </x:c>
    </x:row>
    <x:row r="1251">
      <x:c r="A1251" s="206" t="str">
        <x:v>DEC-01247</x:v>
      </x:c>
      <x:c r="B1251" s="207" t="str">
        <x:v>Material master</x:v>
      </x:c>
      <x:c r="C1251" s="207" t="str">
        <x:v>MAT-DRAFT-0488</x:v>
      </x:c>
      <x:c r="D1251" s="207" t="str">
        <x:v>Unlinked</x:v>
      </x:c>
      <x:c r="E1251" s="207" t="str">
        <x:v>1 строк; 7950.00 руб.; 4A-007</x:v>
      </x:c>
      <x:c r="F1251" s="207" t="str">
        <x:v>Подтвердить карточку, UOM, состав, цвет, поставщика и правила объединения</x:v>
      </x:c>
      <x:c r="G1251" s="207" t="str">
        <x:v>Закупки + склад</x:v>
      </x:c>
      <x:c r="H1251" s="207" t="str">
        <x:v>Средний</x:v>
      </x:c>
      <x:c r="I1251" s="207" t="str">
        <x:v>Material aging; BOM; procurement; actual usage</x:v>
      </x:c>
      <x:c r="J1251" s="207" t="str">
        <x:v>Остатки ткани 31.05.2026</x:v>
      </x:c>
      <x:c r="K1251" s="207" t="str"/>
      <x:c r="L1251" s="207" t="str"/>
      <x:c r="M1251" s="207" t="str">
        <x:v>Не рассмотрено</x:v>
      </x:c>
      <x:c r="N1251" s="207" t="str"/>
      <x:c r="O1251" s="207" t="str">
        <x:v>17</x:v>
      </x:c>
      <x:c r="P1251" s="207" t="n">
        <x:v>2</x:v>
      </x:c>
      <x:c r="Q1251" s="208" t="str">
        <x:v>Wave 3 (61–90 дней)</x:v>
      </x:c>
    </x:row>
    <x:row r="1252">
      <x:c r="A1252" s="206" t="str">
        <x:v>DEC-01248</x:v>
      </x:c>
      <x:c r="B1252" s="207" t="str">
        <x:v>Material master</x:v>
      </x:c>
      <x:c r="C1252" s="207" t="str">
        <x:v>MAT-DRAFT-0489</x:v>
      </x:c>
      <x:c r="D1252" s="207" t="str">
        <x:v>Unlinked</x:v>
      </x:c>
      <x:c r="E1252" s="207" t="str">
        <x:v>2 строк; 18750.00 руб.; 4A-021</x:v>
      </x:c>
      <x:c r="F1252" s="207" t="str">
        <x:v>Подтвердить карточку, UOM, состав, цвет, поставщика и правила объединения</x:v>
      </x:c>
      <x:c r="G1252" s="207" t="str">
        <x:v>Закупки + склад</x:v>
      </x:c>
      <x:c r="H1252" s="207" t="str">
        <x:v>Высокий</x:v>
      </x:c>
      <x:c r="I1252" s="207" t="str">
        <x:v>Material aging; BOM; procurement; actual usage</x:v>
      </x:c>
      <x:c r="J1252" s="207" t="str">
        <x:v>Остатки ткани 31.05.2026</x:v>
      </x:c>
      <x:c r="K1252" s="207" t="str"/>
      <x:c r="L1252" s="207" t="str"/>
      <x:c r="M1252" s="207" t="str">
        <x:v>Не рассмотрено</x:v>
      </x:c>
      <x:c r="N1252" s="207" t="str"/>
      <x:c r="O1252" s="207" t="str">
        <x:v>17</x:v>
      </x:c>
      <x:c r="P1252" s="207" t="n">
        <x:v>3</x:v>
      </x:c>
      <x:c r="Q1252" s="208" t="str">
        <x:v>Wave 2 (31–60 дней)</x:v>
      </x:c>
    </x:row>
    <x:row r="1253">
      <x:c r="A1253" s="206" t="str">
        <x:v>DEC-01249</x:v>
      </x:c>
      <x:c r="B1253" s="207" t="str">
        <x:v>Material master</x:v>
      </x:c>
      <x:c r="C1253" s="207" t="str">
        <x:v>MAT-DRAFT-0491</x:v>
      </x:c>
      <x:c r="D1253" s="207" t="str">
        <x:v>Unlinked</x:v>
      </x:c>
      <x:c r="E1253" s="207" t="str">
        <x:v>1 строк; 19080.00 руб.; 4-044</x:v>
      </x:c>
      <x:c r="F1253" s="207" t="str">
        <x:v>Подтвердить карточку, UOM, состав, цвет, поставщика и правила объединения</x:v>
      </x:c>
      <x:c r="G1253" s="207" t="str">
        <x:v>Закупки + склад</x:v>
      </x:c>
      <x:c r="H1253" s="207" t="str">
        <x:v>Высокий</x:v>
      </x:c>
      <x:c r="I1253" s="207" t="str">
        <x:v>Material aging; BOM; procurement; actual usage</x:v>
      </x:c>
      <x:c r="J1253" s="207" t="str">
        <x:v>Остатки ткани 31.05.2026</x:v>
      </x:c>
      <x:c r="K1253" s="207" t="str"/>
      <x:c r="L1253" s="207" t="str"/>
      <x:c r="M1253" s="207" t="str">
        <x:v>Не рассмотрено</x:v>
      </x:c>
      <x:c r="N1253" s="207" t="str"/>
      <x:c r="O1253" s="207" t="str">
        <x:v>17</x:v>
      </x:c>
      <x:c r="P1253" s="207" t="n">
        <x:v>3</x:v>
      </x:c>
      <x:c r="Q1253" s="208" t="str">
        <x:v>Wave 2 (31–60 дней)</x:v>
      </x:c>
    </x:row>
    <x:row r="1254">
      <x:c r="A1254" s="206" t="str">
        <x:v>DEC-01250</x:v>
      </x:c>
      <x:c r="B1254" s="207" t="str">
        <x:v>Material master</x:v>
      </x:c>
      <x:c r="C1254" s="207" t="str">
        <x:v>MAT-DRAFT-0492</x:v>
      </x:c>
      <x:c r="D1254" s="207" t="str">
        <x:v>Unlinked</x:v>
      </x:c>
      <x:c r="E1254" s="207" t="str">
        <x:v>1 строк; 8100.00 руб.; 4P-004</x:v>
      </x:c>
      <x:c r="F1254" s="207" t="str">
        <x:v>Подтвердить карточку, UOM, состав, цвет, поставщика и правила объединения</x:v>
      </x:c>
      <x:c r="G1254" s="207" t="str">
        <x:v>Закупки + склад</x:v>
      </x:c>
      <x:c r="H1254" s="207" t="str">
        <x:v>Средний</x:v>
      </x:c>
      <x:c r="I1254" s="207" t="str">
        <x:v>Material aging; BOM; procurement; actual usage</x:v>
      </x:c>
      <x:c r="J1254" s="207" t="str">
        <x:v>Остатки ткани 31.05.2026</x:v>
      </x:c>
      <x:c r="K1254" s="207" t="str"/>
      <x:c r="L1254" s="207" t="str"/>
      <x:c r="M1254" s="207" t="str">
        <x:v>Не рассмотрено</x:v>
      </x:c>
      <x:c r="N1254" s="207" t="str"/>
      <x:c r="O1254" s="207" t="str">
        <x:v>17</x:v>
      </x:c>
      <x:c r="P1254" s="207" t="n">
        <x:v>2</x:v>
      </x:c>
      <x:c r="Q1254" s="208" t="str">
        <x:v>Wave 3 (61–90 дней)</x:v>
      </x:c>
    </x:row>
    <x:row r="1255">
      <x:c r="A1255" s="206" t="str">
        <x:v>DEC-01251</x:v>
      </x:c>
      <x:c r="B1255" s="207" t="str">
        <x:v>Material master</x:v>
      </x:c>
      <x:c r="C1255" s="207" t="str">
        <x:v>MAT-DRAFT-0493</x:v>
      </x:c>
      <x:c r="D1255" s="207" t="str">
        <x:v>Unlinked</x:v>
      </x:c>
      <x:c r="E1255" s="207" t="str">
        <x:v>1 строк; 4650.00 руб.; 4P-012</x:v>
      </x:c>
      <x:c r="F1255" s="207" t="str">
        <x:v>Подтвердить карточку, UOM, состав, цвет, поставщика и правила объединения</x:v>
      </x:c>
      <x:c r="G1255" s="207" t="str">
        <x:v>Закупки + склад</x:v>
      </x:c>
      <x:c r="H1255" s="207" t="str">
        <x:v>Средний</x:v>
      </x:c>
      <x:c r="I1255" s="207" t="str">
        <x:v>Material aging; BOM; procurement; actual usage</x:v>
      </x:c>
      <x:c r="J1255" s="207" t="str">
        <x:v>Остатки ткани 31.05.2026</x:v>
      </x:c>
      <x:c r="K1255" s="207" t="str"/>
      <x:c r="L1255" s="207" t="str"/>
      <x:c r="M1255" s="207" t="str">
        <x:v>Не рассмотрено</x:v>
      </x:c>
      <x:c r="N1255" s="207" t="str"/>
      <x:c r="O1255" s="207" t="str">
        <x:v>17</x:v>
      </x:c>
      <x:c r="P1255" s="207" t="n">
        <x:v>2</x:v>
      </x:c>
      <x:c r="Q1255" s="208" t="str">
        <x:v>Wave 3 (61–90 дней)</x:v>
      </x:c>
    </x:row>
    <x:row r="1256">
      <x:c r="A1256" s="206" t="str">
        <x:v>DEC-01252</x:v>
      </x:c>
      <x:c r="B1256" s="207" t="str">
        <x:v>Material master</x:v>
      </x:c>
      <x:c r="C1256" s="207" t="str">
        <x:v>MAT-DRAFT-0494</x:v>
      </x:c>
      <x:c r="D1256" s="207" t="str">
        <x:v>Unlinked</x:v>
      </x:c>
      <x:c r="E1256" s="207" t="str">
        <x:v>1 строк; 46500.00 руб.; 4A-105</x:v>
      </x:c>
      <x:c r="F1256" s="207" t="str">
        <x:v>Подтвердить карточку, UOM, состав, цвет, поставщика и правила объединения</x:v>
      </x:c>
      <x:c r="G1256" s="207" t="str">
        <x:v>Закупки + склад</x:v>
      </x:c>
      <x:c r="H1256" s="207" t="str">
        <x:v>Высокий</x:v>
      </x:c>
      <x:c r="I1256" s="207" t="str">
        <x:v>Material aging; BOM; procurement; actual usage</x:v>
      </x:c>
      <x:c r="J1256" s="207" t="str">
        <x:v>Остатки ткани 31.05.2026</x:v>
      </x:c>
      <x:c r="K1256" s="207" t="str"/>
      <x:c r="L1256" s="207" t="str"/>
      <x:c r="M1256" s="207" t="str">
        <x:v>Не рассмотрено</x:v>
      </x:c>
      <x:c r="N1256" s="207" t="str"/>
      <x:c r="O1256" s="207" t="str">
        <x:v>17</x:v>
      </x:c>
      <x:c r="P1256" s="207" t="n">
        <x:v>3</x:v>
      </x:c>
      <x:c r="Q1256" s="208" t="str">
        <x:v>Wave 2 (31–60 дней)</x:v>
      </x:c>
    </x:row>
    <x:row r="1257">
      <x:c r="A1257" s="206" t="str">
        <x:v>DEC-01253</x:v>
      </x:c>
      <x:c r="B1257" s="207" t="str">
        <x:v>Material master</x:v>
      </x:c>
      <x:c r="C1257" s="207" t="str">
        <x:v>MAT-DRAFT-0496</x:v>
      </x:c>
      <x:c r="D1257" s="207" t="str">
        <x:v>Unlinked</x:v>
      </x:c>
      <x:c r="E1257" s="207" t="str">
        <x:v>1 строк; 15120.00 руб.; 4P-020</x:v>
      </x:c>
      <x:c r="F1257" s="207" t="str">
        <x:v>Подтвердить карточку, UOM, состав, цвет, поставщика и правила объединения</x:v>
      </x:c>
      <x:c r="G1257" s="207" t="str">
        <x:v>Закупки + склад</x:v>
      </x:c>
      <x:c r="H1257" s="207" t="str">
        <x:v>Высокий</x:v>
      </x:c>
      <x:c r="I1257" s="207" t="str">
        <x:v>Material aging; BOM; procurement; actual usage</x:v>
      </x:c>
      <x:c r="J1257" s="207" t="str">
        <x:v>Остатки ткани 31.05.2026</x:v>
      </x:c>
      <x:c r="K1257" s="207" t="str"/>
      <x:c r="L1257" s="207" t="str"/>
      <x:c r="M1257" s="207" t="str">
        <x:v>Не рассмотрено</x:v>
      </x:c>
      <x:c r="N1257" s="207" t="str"/>
      <x:c r="O1257" s="207" t="str">
        <x:v>17</x:v>
      </x:c>
      <x:c r="P1257" s="207" t="n">
        <x:v>3</x:v>
      </x:c>
      <x:c r="Q1257" s="208" t="str">
        <x:v>Wave 2 (31–60 дней)</x:v>
      </x:c>
    </x:row>
    <x:row r="1258">
      <x:c r="A1258" s="206" t="str">
        <x:v>DEC-01254</x:v>
      </x:c>
      <x:c r="B1258" s="207" t="str">
        <x:v>Material master</x:v>
      </x:c>
      <x:c r="C1258" s="207" t="str">
        <x:v>MAT-DRAFT-0497</x:v>
      </x:c>
      <x:c r="D1258" s="207" t="str">
        <x:v>Unlinked</x:v>
      </x:c>
      <x:c r="E1258" s="207" t="str">
        <x:v>1 строк; 9660.00 руб.; 4-030</x:v>
      </x:c>
      <x:c r="F1258" s="207" t="str">
        <x:v>Подтвердить карточку, UOM, состав, цвет, поставщика и правила объединения</x:v>
      </x:c>
      <x:c r="G1258" s="207" t="str">
        <x:v>Закупки + склад</x:v>
      </x:c>
      <x:c r="H1258" s="207" t="str">
        <x:v>Средний</x:v>
      </x:c>
      <x:c r="I1258" s="207" t="str">
        <x:v>Material aging; BOM; procurement; actual usage</x:v>
      </x:c>
      <x:c r="J1258" s="207" t="str">
        <x:v>Остатки ткани 31.05.2026</x:v>
      </x:c>
      <x:c r="K1258" s="207" t="str"/>
      <x:c r="L1258" s="207" t="str"/>
      <x:c r="M1258" s="207" t="str">
        <x:v>Не рассмотрено</x:v>
      </x:c>
      <x:c r="N1258" s="207" t="str"/>
      <x:c r="O1258" s="207" t="str">
        <x:v>17</x:v>
      </x:c>
      <x:c r="P1258" s="207" t="n">
        <x:v>2</x:v>
      </x:c>
      <x:c r="Q1258" s="208" t="str">
        <x:v>Wave 3 (61–90 дней)</x:v>
      </x:c>
    </x:row>
    <x:row r="1259">
      <x:c r="A1259" s="206" t="str">
        <x:v>DEC-01255</x:v>
      </x:c>
      <x:c r="B1259" s="207" t="str">
        <x:v>Material master</x:v>
      </x:c>
      <x:c r="C1259" s="207" t="str">
        <x:v>MAT-DRAFT-0499</x:v>
      </x:c>
      <x:c r="D1259" s="207" t="str">
        <x:v>Unlinked</x:v>
      </x:c>
      <x:c r="E1259" s="207" t="str">
        <x:v>1 строк; 1575.00 руб.; 4-016</x:v>
      </x:c>
      <x:c r="F1259" s="207" t="str">
        <x:v>Подтвердить карточку, UOM, состав, цвет, поставщика и правила объединения</x:v>
      </x:c>
      <x:c r="G1259" s="207" t="str">
        <x:v>Закупки + склад</x:v>
      </x:c>
      <x:c r="H1259" s="207" t="str">
        <x:v>Средний</x:v>
      </x:c>
      <x:c r="I1259" s="207" t="str">
        <x:v>Material aging; BOM; procurement; actual usage</x:v>
      </x:c>
      <x:c r="J1259" s="207" t="str">
        <x:v>Остатки ткани 31.05.2026</x:v>
      </x:c>
      <x:c r="K1259" s="207" t="str"/>
      <x:c r="L1259" s="207" t="str"/>
      <x:c r="M1259" s="207" t="str">
        <x:v>Не рассмотрено</x:v>
      </x:c>
      <x:c r="N1259" s="207" t="str"/>
      <x:c r="O1259" s="207" t="str">
        <x:v>17</x:v>
      </x:c>
      <x:c r="P1259" s="207" t="n">
        <x:v>2</x:v>
      </x:c>
      <x:c r="Q1259" s="208" t="str">
        <x:v>Wave 3 (61–90 дней)</x:v>
      </x:c>
    </x:row>
    <x:row r="1260">
      <x:c r="A1260" s="206" t="str">
        <x:v>DEC-01256</x:v>
      </x:c>
      <x:c r="B1260" s="207" t="str">
        <x:v>Material master</x:v>
      </x:c>
      <x:c r="C1260" s="207" t="str">
        <x:v>MAT-DRAFT-0501</x:v>
      </x:c>
      <x:c r="D1260" s="207" t="str">
        <x:v>Unlinked</x:v>
      </x:c>
      <x:c r="E1260" s="207" t="str">
        <x:v>1 строк; 3600.00 руб.; 4-041</x:v>
      </x:c>
      <x:c r="F1260" s="207" t="str">
        <x:v>Подтвердить карточку, UOM, состав, цвет, поставщика и правила объединения</x:v>
      </x:c>
      <x:c r="G1260" s="207" t="str">
        <x:v>Закупки + склад</x:v>
      </x:c>
      <x:c r="H1260" s="207" t="str">
        <x:v>Средний</x:v>
      </x:c>
      <x:c r="I1260" s="207" t="str">
        <x:v>Material aging; BOM; procurement; actual usage</x:v>
      </x:c>
      <x:c r="J1260" s="207" t="str">
        <x:v>Остатки ткани 31.05.2026</x:v>
      </x:c>
      <x:c r="K1260" s="207" t="str"/>
      <x:c r="L1260" s="207" t="str"/>
      <x:c r="M1260" s="207" t="str">
        <x:v>Не рассмотрено</x:v>
      </x:c>
      <x:c r="N1260" s="207" t="str"/>
      <x:c r="O1260" s="207" t="str">
        <x:v>17</x:v>
      </x:c>
      <x:c r="P1260" s="207" t="n">
        <x:v>2</x:v>
      </x:c>
      <x:c r="Q1260" s="208" t="str">
        <x:v>Wave 3 (61–90 дней)</x:v>
      </x:c>
    </x:row>
    <x:row r="1261">
      <x:c r="A1261" s="206" t="str">
        <x:v>DEC-01257</x:v>
      </x:c>
      <x:c r="B1261" s="207" t="str">
        <x:v>Material master</x:v>
      </x:c>
      <x:c r="C1261" s="207" t="str">
        <x:v>MAT-DRAFT-0502</x:v>
      </x:c>
      <x:c r="D1261" s="207" t="str">
        <x:v>Unlinked</x:v>
      </x:c>
      <x:c r="E1261" s="207" t="str">
        <x:v>1 строк; 2440.00 руб.; 4-031</x:v>
      </x:c>
      <x:c r="F1261" s="207" t="str">
        <x:v>Подтвердить карточку, UOM, состав, цвет, поставщика и правила объединения</x:v>
      </x:c>
      <x:c r="G1261" s="207" t="str">
        <x:v>Закупки + склад</x:v>
      </x:c>
      <x:c r="H1261" s="207" t="str">
        <x:v>Средний</x:v>
      </x:c>
      <x:c r="I1261" s="207" t="str">
        <x:v>Material aging; BOM; procurement; actual usage</x:v>
      </x:c>
      <x:c r="J1261" s="207" t="str">
        <x:v>Остатки ткани 31.05.2026</x:v>
      </x:c>
      <x:c r="K1261" s="207" t="str"/>
      <x:c r="L1261" s="207" t="str"/>
      <x:c r="M1261" s="207" t="str">
        <x:v>Не рассмотрено</x:v>
      </x:c>
      <x:c r="N1261" s="207" t="str"/>
      <x:c r="O1261" s="207" t="str">
        <x:v>17</x:v>
      </x:c>
      <x:c r="P1261" s="207" t="n">
        <x:v>2</x:v>
      </x:c>
      <x:c r="Q1261" s="208" t="str">
        <x:v>Wave 3 (61–90 дней)</x:v>
      </x:c>
    </x:row>
    <x:row r="1262">
      <x:c r="A1262" s="206" t="str">
        <x:v>DEC-01258</x:v>
      </x:c>
      <x:c r="B1262" s="207" t="str">
        <x:v>Material master</x:v>
      </x:c>
      <x:c r="C1262" s="207" t="str">
        <x:v>MAT-DRAFT-0503</x:v>
      </x:c>
      <x:c r="D1262" s="207" t="str">
        <x:v>Unlinked</x:v>
      </x:c>
      <x:c r="E1262" s="207" t="str">
        <x:v>1 строк; 3450.00 руб.; 4P-008</x:v>
      </x:c>
      <x:c r="F1262" s="207" t="str">
        <x:v>Подтвердить карточку, UOM, состав, цвет, поставщика и правила объединения</x:v>
      </x:c>
      <x:c r="G1262" s="207" t="str">
        <x:v>Закупки + склад</x:v>
      </x:c>
      <x:c r="H1262" s="207" t="str">
        <x:v>Средний</x:v>
      </x:c>
      <x:c r="I1262" s="207" t="str">
        <x:v>Material aging; BOM; procurement; actual usage</x:v>
      </x:c>
      <x:c r="J1262" s="207" t="str">
        <x:v>Остатки ткани 31.05.2026</x:v>
      </x:c>
      <x:c r="K1262" s="207" t="str"/>
      <x:c r="L1262" s="207" t="str"/>
      <x:c r="M1262" s="207" t="str">
        <x:v>Не рассмотрено</x:v>
      </x:c>
      <x:c r="N1262" s="207" t="str"/>
      <x:c r="O1262" s="207" t="str">
        <x:v>17</x:v>
      </x:c>
      <x:c r="P1262" s="207" t="n">
        <x:v>2</x:v>
      </x:c>
      <x:c r="Q1262" s="208" t="str">
        <x:v>Wave 3 (61–90 дней)</x:v>
      </x:c>
    </x:row>
    <x:row r="1263">
      <x:c r="A1263" s="206" t="str">
        <x:v>DEC-01259</x:v>
      </x:c>
      <x:c r="B1263" s="207" t="str">
        <x:v>Material master</x:v>
      </x:c>
      <x:c r="C1263" s="207" t="str">
        <x:v>MAT-DRAFT-0504</x:v>
      </x:c>
      <x:c r="D1263" s="207" t="str">
        <x:v>Unlinked</x:v>
      </x:c>
      <x:c r="E1263" s="207" t="str">
        <x:v>1 строк; 3600.00 руб.; 4P-007</x:v>
      </x:c>
      <x:c r="F1263" s="207" t="str">
        <x:v>Подтвердить карточку, UOM, состав, цвет, поставщика и правила объединения</x:v>
      </x:c>
      <x:c r="G1263" s="207" t="str">
        <x:v>Закупки + склад</x:v>
      </x:c>
      <x:c r="H1263" s="207" t="str">
        <x:v>Средний</x:v>
      </x:c>
      <x:c r="I1263" s="207" t="str">
        <x:v>Material aging; BOM; procurement; actual usage</x:v>
      </x:c>
      <x:c r="J1263" s="207" t="str">
        <x:v>Остатки ткани 31.05.2026</x:v>
      </x:c>
      <x:c r="K1263" s="207" t="str"/>
      <x:c r="L1263" s="207" t="str"/>
      <x:c r="M1263" s="207" t="str">
        <x:v>Не рассмотрено</x:v>
      </x:c>
      <x:c r="N1263" s="207" t="str"/>
      <x:c r="O1263" s="207" t="str">
        <x:v>17</x:v>
      </x:c>
      <x:c r="P1263" s="207" t="n">
        <x:v>2</x:v>
      </x:c>
      <x:c r="Q1263" s="208" t="str">
        <x:v>Wave 3 (61–90 дней)</x:v>
      </x:c>
    </x:row>
    <x:row r="1264">
      <x:c r="A1264" s="206" t="str">
        <x:v>DEC-01260</x:v>
      </x:c>
      <x:c r="B1264" s="207" t="str">
        <x:v>Material master</x:v>
      </x:c>
      <x:c r="C1264" s="207" t="str">
        <x:v>MAT-DRAFT-0505</x:v>
      </x:c>
      <x:c r="D1264" s="207" t="str">
        <x:v>Unlinked</x:v>
      </x:c>
      <x:c r="E1264" s="207" t="str">
        <x:v>1 строк; 100050.00 руб.; 4A-070</x:v>
      </x:c>
      <x:c r="F1264" s="207" t="str">
        <x:v>Подтвердить карточку, UOM, состав, цвет, поставщика и правила объединения</x:v>
      </x:c>
      <x:c r="G1264" s="207" t="str">
        <x:v>Закупки + склад</x:v>
      </x:c>
      <x:c r="H1264" s="207" t="str">
        <x:v>Критический</x:v>
      </x:c>
      <x:c r="I1264" s="207" t="str">
        <x:v>Material aging; BOM; procurement; actual usage</x:v>
      </x:c>
      <x:c r="J1264" s="207" t="str">
        <x:v>Остатки ткани 31.05.2026</x:v>
      </x:c>
      <x:c r="K1264" s="207" t="str"/>
      <x:c r="L1264" s="207" t="str"/>
      <x:c r="M1264" s="207" t="str">
        <x:v>Не рассмотрено</x:v>
      </x:c>
      <x:c r="N1264" s="207" t="str"/>
      <x:c r="O1264" s="207" t="str">
        <x:v>17</x:v>
      </x:c>
      <x:c r="P1264" s="207" t="n">
        <x:v>4</x:v>
      </x:c>
      <x:c r="Q1264" s="208" t="str">
        <x:v>Wave 1 (0–30 дней)</x:v>
      </x:c>
    </x:row>
    <x:row r="1265">
      <x:c r="A1265" s="206" t="str">
        <x:v>DEC-01261</x:v>
      </x:c>
      <x:c r="B1265" s="207" t="str">
        <x:v>Material master</x:v>
      </x:c>
      <x:c r="C1265" s="207" t="str">
        <x:v>MAT-DRAFT-0507</x:v>
      </x:c>
      <x:c r="D1265" s="207" t="str">
        <x:v>Unlinked</x:v>
      </x:c>
      <x:c r="E1265" s="207" t="str">
        <x:v>2 строк; 43355.00 руб.; 4A-061</x:v>
      </x:c>
      <x:c r="F1265" s="207" t="str">
        <x:v>Подтвердить карточку, UOM, состав, цвет, поставщика и правила объединения</x:v>
      </x:c>
      <x:c r="G1265" s="207" t="str">
        <x:v>Закупки + склад</x:v>
      </x:c>
      <x:c r="H1265" s="207" t="str">
        <x:v>Высокий</x:v>
      </x:c>
      <x:c r="I1265" s="207" t="str">
        <x:v>Material aging; BOM; procurement; actual usage</x:v>
      </x:c>
      <x:c r="J1265" s="207" t="str">
        <x:v>Остатки ткани 31.05.2026</x:v>
      </x:c>
      <x:c r="K1265" s="207" t="str"/>
      <x:c r="L1265" s="207" t="str"/>
      <x:c r="M1265" s="207" t="str">
        <x:v>Не рассмотрено</x:v>
      </x:c>
      <x:c r="N1265" s="207" t="str"/>
      <x:c r="O1265" s="207" t="str">
        <x:v>17</x:v>
      </x:c>
      <x:c r="P1265" s="207" t="n">
        <x:v>3</x:v>
      </x:c>
      <x:c r="Q1265" s="208" t="str">
        <x:v>Wave 2 (31–60 дней)</x:v>
      </x:c>
    </x:row>
    <x:row r="1266">
      <x:c r="A1266" s="206" t="str">
        <x:v>DEC-01262</x:v>
      </x:c>
      <x:c r="B1266" s="207" t="str">
        <x:v>Material master</x:v>
      </x:c>
      <x:c r="C1266" s="207" t="str">
        <x:v>MAT-DRAFT-0508</x:v>
      </x:c>
      <x:c r="D1266" s="207" t="str">
        <x:v>Unlinked</x:v>
      </x:c>
      <x:c r="E1266" s="207" t="str">
        <x:v>2 строк; 44225.00 руб.; 4A-060</x:v>
      </x:c>
      <x:c r="F1266" s="207" t="str">
        <x:v>Подтвердить карточку, UOM, состав, цвет, поставщика и правила объединения</x:v>
      </x:c>
      <x:c r="G1266" s="207" t="str">
        <x:v>Закупки + склад</x:v>
      </x:c>
      <x:c r="H1266" s="207" t="str">
        <x:v>Высокий</x:v>
      </x:c>
      <x:c r="I1266" s="207" t="str">
        <x:v>Material aging; BOM; procurement; actual usage</x:v>
      </x:c>
      <x:c r="J1266" s="207" t="str">
        <x:v>Остатки ткани 31.05.2026</x:v>
      </x:c>
      <x:c r="K1266" s="207" t="str"/>
      <x:c r="L1266" s="207" t="str"/>
      <x:c r="M1266" s="207" t="str">
        <x:v>Не рассмотрено</x:v>
      </x:c>
      <x:c r="N1266" s="207" t="str"/>
      <x:c r="O1266" s="207" t="str">
        <x:v>17</x:v>
      </x:c>
      <x:c r="P1266" s="207" t="n">
        <x:v>3</x:v>
      </x:c>
      <x:c r="Q1266" s="208" t="str">
        <x:v>Wave 2 (31–60 дней)</x:v>
      </x:c>
    </x:row>
    <x:row r="1267">
      <x:c r="A1267" s="206" t="str">
        <x:v>DEC-01263</x:v>
      </x:c>
      <x:c r="B1267" s="207" t="str">
        <x:v>Material master</x:v>
      </x:c>
      <x:c r="C1267" s="207" t="str">
        <x:v>MAT-DRAFT-0509</x:v>
      </x:c>
      <x:c r="D1267" s="207" t="str">
        <x:v>Unlinked</x:v>
      </x:c>
      <x:c r="E1267" s="207" t="str">
        <x:v>2 строк; 48140.00 руб.; 4A-055</x:v>
      </x:c>
      <x:c r="F1267" s="207" t="str">
        <x:v>Подтвердить карточку, UOM, состав, цвет, поставщика и правила объединения</x:v>
      </x:c>
      <x:c r="G1267" s="207" t="str">
        <x:v>Закупки + склад</x:v>
      </x:c>
      <x:c r="H1267" s="207" t="str">
        <x:v>Высокий</x:v>
      </x:c>
      <x:c r="I1267" s="207" t="str">
        <x:v>Material aging; BOM; procurement; actual usage</x:v>
      </x:c>
      <x:c r="J1267" s="207" t="str">
        <x:v>Остатки ткани 31.05.2026</x:v>
      </x:c>
      <x:c r="K1267" s="207" t="str"/>
      <x:c r="L1267" s="207" t="str"/>
      <x:c r="M1267" s="207" t="str">
        <x:v>Не рассмотрено</x:v>
      </x:c>
      <x:c r="N1267" s="207" t="str"/>
      <x:c r="O1267" s="207" t="str">
        <x:v>17</x:v>
      </x:c>
      <x:c r="P1267" s="207" t="n">
        <x:v>3</x:v>
      </x:c>
      <x:c r="Q1267" s="208" t="str">
        <x:v>Wave 2 (31–60 дней)</x:v>
      </x:c>
    </x:row>
    <x:row r="1268">
      <x:c r="A1268" s="206" t="str">
        <x:v>DEC-01264</x:v>
      </x:c>
      <x:c r="B1268" s="207" t="str">
        <x:v>Material master</x:v>
      </x:c>
      <x:c r="C1268" s="207" t="str">
        <x:v>MAT-DRAFT-0510</x:v>
      </x:c>
      <x:c r="D1268" s="207" t="str">
        <x:v>Unlinked</x:v>
      </x:c>
      <x:c r="E1268" s="207" t="str">
        <x:v>2 строк; 50170.00 руб.; 4A-058</x:v>
      </x:c>
      <x:c r="F1268" s="207" t="str">
        <x:v>Подтвердить карточку, UOM, состав, цвет, поставщика и правила объединения</x:v>
      </x:c>
      <x:c r="G1268" s="207" t="str">
        <x:v>Закупки + склад</x:v>
      </x:c>
      <x:c r="H1268" s="207" t="str">
        <x:v>Высокий</x:v>
      </x:c>
      <x:c r="I1268" s="207" t="str">
        <x:v>Material aging; BOM; procurement; actual usage</x:v>
      </x:c>
      <x:c r="J1268" s="207" t="str">
        <x:v>Остатки ткани 31.05.2026</x:v>
      </x:c>
      <x:c r="K1268" s="207" t="str"/>
      <x:c r="L1268" s="207" t="str"/>
      <x:c r="M1268" s="207" t="str">
        <x:v>Не рассмотрено</x:v>
      </x:c>
      <x:c r="N1268" s="207" t="str"/>
      <x:c r="O1268" s="207" t="str">
        <x:v>17</x:v>
      </x:c>
      <x:c r="P1268" s="207" t="n">
        <x:v>3</x:v>
      </x:c>
      <x:c r="Q1268" s="208" t="str">
        <x:v>Wave 2 (31–60 дней)</x:v>
      </x:c>
    </x:row>
    <x:row r="1269">
      <x:c r="A1269" s="206" t="str">
        <x:v>DEC-01265</x:v>
      </x:c>
      <x:c r="B1269" s="207" t="str">
        <x:v>Material master</x:v>
      </x:c>
      <x:c r="C1269" s="207" t="str">
        <x:v>MAT-DRAFT-0512</x:v>
      </x:c>
      <x:c r="D1269" s="207" t="str">
        <x:v>Unlinked</x:v>
      </x:c>
      <x:c r="E1269" s="207" t="str">
        <x:v>3 строк; 53360.00 руб.; 4A-056</x:v>
      </x:c>
      <x:c r="F1269" s="207" t="str">
        <x:v>Подтвердить карточку, UOM, состав, цвет, поставщика и правила объединения</x:v>
      </x:c>
      <x:c r="G1269" s="207" t="str">
        <x:v>Закупки + склад</x:v>
      </x:c>
      <x:c r="H1269" s="207" t="str">
        <x:v>Высокий</x:v>
      </x:c>
      <x:c r="I1269" s="207" t="str">
        <x:v>Material aging; BOM; procurement; actual usage</x:v>
      </x:c>
      <x:c r="J1269" s="207" t="str">
        <x:v>Остатки ткани 31.05.2026</x:v>
      </x:c>
      <x:c r="K1269" s="207" t="str"/>
      <x:c r="L1269" s="207" t="str"/>
      <x:c r="M1269" s="207" t="str">
        <x:v>Не рассмотрено</x:v>
      </x:c>
      <x:c r="N1269" s="207" t="str"/>
      <x:c r="O1269" s="207" t="str">
        <x:v>17</x:v>
      </x:c>
      <x:c r="P1269" s="207" t="n">
        <x:v>3</x:v>
      </x:c>
      <x:c r="Q1269" s="208" t="str">
        <x:v>Wave 2 (31–60 дней)</x:v>
      </x:c>
    </x:row>
    <x:row r="1270">
      <x:c r="A1270" s="206" t="str">
        <x:v>DEC-01266</x:v>
      </x:c>
      <x:c r="B1270" s="207" t="str">
        <x:v>Material master</x:v>
      </x:c>
      <x:c r="C1270" s="207" t="str">
        <x:v>MAT-DRAFT-0513</x:v>
      </x:c>
      <x:c r="D1270" s="207" t="str">
        <x:v>Unlinked</x:v>
      </x:c>
      <x:c r="E1270" s="207" t="str">
        <x:v>1 строк; 7500.00 руб.; 4A-075</x:v>
      </x:c>
      <x:c r="F1270" s="207" t="str">
        <x:v>Подтвердить карточку, UOM, состав, цвет, поставщика и правила объединения</x:v>
      </x:c>
      <x:c r="G1270" s="207" t="str">
        <x:v>Закупки + склад</x:v>
      </x:c>
      <x:c r="H1270" s="207" t="str">
        <x:v>Средний</x:v>
      </x:c>
      <x:c r="I1270" s="207" t="str">
        <x:v>Material aging; BOM; procurement; actual usage</x:v>
      </x:c>
      <x:c r="J1270" s="207" t="str">
        <x:v>Остатки ткани 31.05.2026</x:v>
      </x:c>
      <x:c r="K1270" s="207" t="str"/>
      <x:c r="L1270" s="207" t="str"/>
      <x:c r="M1270" s="207" t="str">
        <x:v>Не рассмотрено</x:v>
      </x:c>
      <x:c r="N1270" s="207" t="str"/>
      <x:c r="O1270" s="207" t="str">
        <x:v>17</x:v>
      </x:c>
      <x:c r="P1270" s="207" t="n">
        <x:v>2</x:v>
      </x:c>
      <x:c r="Q1270" s="208" t="str">
        <x:v>Wave 3 (61–90 дней)</x:v>
      </x:c>
    </x:row>
    <x:row r="1271">
      <x:c r="A1271" s="206" t="str">
        <x:v>DEC-01267</x:v>
      </x:c>
      <x:c r="B1271" s="207" t="str">
        <x:v>Material master</x:v>
      </x:c>
      <x:c r="C1271" s="207" t="str">
        <x:v>MAT-DRAFT-0514</x:v>
      </x:c>
      <x:c r="D1271" s="207" t="str">
        <x:v>Unlinked</x:v>
      </x:c>
      <x:c r="E1271" s="207" t="str">
        <x:v>1 строк; 13200.00 руб.; 4A-078</x:v>
      </x:c>
      <x:c r="F1271" s="207" t="str">
        <x:v>Подтвердить карточку, UOM, состав, цвет, поставщика и правила объединения</x:v>
      </x:c>
      <x:c r="G1271" s="207" t="str">
        <x:v>Закупки + склад</x:v>
      </x:c>
      <x:c r="H1271" s="207" t="str">
        <x:v>Высокий</x:v>
      </x:c>
      <x:c r="I1271" s="207" t="str">
        <x:v>Material aging; BOM; procurement; actual usage</x:v>
      </x:c>
      <x:c r="J1271" s="207" t="str">
        <x:v>Остатки ткани 31.05.2026</x:v>
      </x:c>
      <x:c r="K1271" s="207" t="str"/>
      <x:c r="L1271" s="207" t="str"/>
      <x:c r="M1271" s="207" t="str">
        <x:v>Не рассмотрено</x:v>
      </x:c>
      <x:c r="N1271" s="207" t="str"/>
      <x:c r="O1271" s="207" t="str">
        <x:v>17</x:v>
      </x:c>
      <x:c r="P1271" s="207" t="n">
        <x:v>3</x:v>
      </x:c>
      <x:c r="Q1271" s="208" t="str">
        <x:v>Wave 2 (31–60 дней)</x:v>
      </x:c>
    </x:row>
    <x:row r="1272">
      <x:c r="A1272" s="206" t="str">
        <x:v>DEC-01268</x:v>
      </x:c>
      <x:c r="B1272" s="207" t="str">
        <x:v>Material master</x:v>
      </x:c>
      <x:c r="C1272" s="207" t="str">
        <x:v>MAT-DRAFT-0515</x:v>
      </x:c>
      <x:c r="D1272" s="207" t="str">
        <x:v>Unlinked</x:v>
      </x:c>
      <x:c r="E1272" s="207" t="str">
        <x:v>1 строк; 7500.00 руб.; 4A-077</x:v>
      </x:c>
      <x:c r="F1272" s="207" t="str">
        <x:v>Подтвердить карточку, UOM, состав, цвет, поставщика и правила объединения</x:v>
      </x:c>
      <x:c r="G1272" s="207" t="str">
        <x:v>Закупки + склад</x:v>
      </x:c>
      <x:c r="H1272" s="207" t="str">
        <x:v>Средний</x:v>
      </x:c>
      <x:c r="I1272" s="207" t="str">
        <x:v>Material aging; BOM; procurement; actual usage</x:v>
      </x:c>
      <x:c r="J1272" s="207" t="str">
        <x:v>Остатки ткани 31.05.2026</x:v>
      </x:c>
      <x:c r="K1272" s="207" t="str"/>
      <x:c r="L1272" s="207" t="str"/>
      <x:c r="M1272" s="207" t="str">
        <x:v>Не рассмотрено</x:v>
      </x:c>
      <x:c r="N1272" s="207" t="str"/>
      <x:c r="O1272" s="207" t="str">
        <x:v>17</x:v>
      </x:c>
      <x:c r="P1272" s="207" t="n">
        <x:v>2</x:v>
      </x:c>
      <x:c r="Q1272" s="208" t="str">
        <x:v>Wave 3 (61–90 дней)</x:v>
      </x:c>
    </x:row>
    <x:row r="1273">
      <x:c r="A1273" s="206" t="str">
        <x:v>DEC-01269</x:v>
      </x:c>
      <x:c r="B1273" s="207" t="str">
        <x:v>Material master</x:v>
      </x:c>
      <x:c r="C1273" s="207" t="str">
        <x:v>MAT-DRAFT-0516</x:v>
      </x:c>
      <x:c r="D1273" s="207" t="str">
        <x:v>Unlinked</x:v>
      </x:c>
      <x:c r="E1273" s="207" t="str">
        <x:v>2 строк; 21315.00 руб.; 4A-063</x:v>
      </x:c>
      <x:c r="F1273" s="207" t="str">
        <x:v>Подтвердить карточку, UOM, состав, цвет, поставщика и правила объединения</x:v>
      </x:c>
      <x:c r="G1273" s="207" t="str">
        <x:v>Закупки + склад</x:v>
      </x:c>
      <x:c r="H1273" s="207" t="str">
        <x:v>Высокий</x:v>
      </x:c>
      <x:c r="I1273" s="207" t="str">
        <x:v>Material aging; BOM; procurement; actual usage</x:v>
      </x:c>
      <x:c r="J1273" s="207" t="str">
        <x:v>Остатки ткани 31.05.2026</x:v>
      </x:c>
      <x:c r="K1273" s="207" t="str"/>
      <x:c r="L1273" s="207" t="str"/>
      <x:c r="M1273" s="207" t="str">
        <x:v>Не рассмотрено</x:v>
      </x:c>
      <x:c r="N1273" s="207" t="str"/>
      <x:c r="O1273" s="207" t="str">
        <x:v>17</x:v>
      </x:c>
      <x:c r="P1273" s="207" t="n">
        <x:v>3</x:v>
      </x:c>
      <x:c r="Q1273" s="208" t="str">
        <x:v>Wave 2 (31–60 дней)</x:v>
      </x:c>
    </x:row>
    <x:row r="1274">
      <x:c r="A1274" s="206" t="str">
        <x:v>DEC-01270</x:v>
      </x:c>
      <x:c r="B1274" s="207" t="str">
        <x:v>Material master</x:v>
      </x:c>
      <x:c r="C1274" s="207" t="str">
        <x:v>MAT-DRAFT-0517</x:v>
      </x:c>
      <x:c r="D1274" s="207" t="str">
        <x:v>Unlinked</x:v>
      </x:c>
      <x:c r="E1274" s="207" t="str">
        <x:v>2 строк; 60030.00 руб.; 4A-065</x:v>
      </x:c>
      <x:c r="F1274" s="207" t="str">
        <x:v>Подтвердить карточку, UOM, состав, цвет, поставщика и правила объединения</x:v>
      </x:c>
      <x:c r="G1274" s="207" t="str">
        <x:v>Закупки + склад</x:v>
      </x:c>
      <x:c r="H1274" s="207" t="str">
        <x:v>Высокий</x:v>
      </x:c>
      <x:c r="I1274" s="207" t="str">
        <x:v>Material aging; BOM; procurement; actual usage</x:v>
      </x:c>
      <x:c r="J1274" s="207" t="str">
        <x:v>Остатки ткани 31.05.2026</x:v>
      </x:c>
      <x:c r="K1274" s="207" t="str"/>
      <x:c r="L1274" s="207" t="str"/>
      <x:c r="M1274" s="207" t="str">
        <x:v>Не рассмотрено</x:v>
      </x:c>
      <x:c r="N1274" s="207" t="str"/>
      <x:c r="O1274" s="207" t="str">
        <x:v>17</x:v>
      </x:c>
      <x:c r="P1274" s="207" t="n">
        <x:v>3</x:v>
      </x:c>
      <x:c r="Q1274" s="208" t="str">
        <x:v>Wave 2 (31–60 дней)</x:v>
      </x:c>
    </x:row>
    <x:row r="1275">
      <x:c r="A1275" s="206" t="str">
        <x:v>DEC-01271</x:v>
      </x:c>
      <x:c r="B1275" s="207" t="str">
        <x:v>Material master</x:v>
      </x:c>
      <x:c r="C1275" s="207" t="str">
        <x:v>MAT-DRAFT-0519</x:v>
      </x:c>
      <x:c r="D1275" s="207" t="str">
        <x:v>Unlinked</x:v>
      </x:c>
      <x:c r="E1275" s="207" t="str">
        <x:v>3 строк; 31755.00 руб.; 4A-068</x:v>
      </x:c>
      <x:c r="F1275" s="207" t="str">
        <x:v>Подтвердить карточку, UOM, состав, цвет, поставщика и правила объединения</x:v>
      </x:c>
      <x:c r="G1275" s="207" t="str">
        <x:v>Закупки + склад</x:v>
      </x:c>
      <x:c r="H1275" s="207" t="str">
        <x:v>Высокий</x:v>
      </x:c>
      <x:c r="I1275" s="207" t="str">
        <x:v>Material aging; BOM; procurement; actual usage</x:v>
      </x:c>
      <x:c r="J1275" s="207" t="str">
        <x:v>Остатки ткани 31.05.2026</x:v>
      </x:c>
      <x:c r="K1275" s="207" t="str"/>
      <x:c r="L1275" s="207" t="str"/>
      <x:c r="M1275" s="207" t="str">
        <x:v>Не рассмотрено</x:v>
      </x:c>
      <x:c r="N1275" s="207" t="str"/>
      <x:c r="O1275" s="207" t="str">
        <x:v>17</x:v>
      </x:c>
      <x:c r="P1275" s="207" t="n">
        <x:v>3</x:v>
      </x:c>
      <x:c r="Q1275" s="208" t="str">
        <x:v>Wave 2 (31–60 дней)</x:v>
      </x:c>
    </x:row>
    <x:row r="1276">
      <x:c r="A1276" s="206" t="str">
        <x:v>DEC-01272</x:v>
      </x:c>
      <x:c r="B1276" s="207" t="str">
        <x:v>Material master</x:v>
      </x:c>
      <x:c r="C1276" s="207" t="str">
        <x:v>MAT-DRAFT-0520</x:v>
      </x:c>
      <x:c r="D1276" s="207" t="str">
        <x:v>Unlinked</x:v>
      </x:c>
      <x:c r="E1276" s="207" t="str">
        <x:v>1 строк; 5510.00 руб.; 4A-066</x:v>
      </x:c>
      <x:c r="F1276" s="207" t="str">
        <x:v>Подтвердить карточку, UOM, состав, цвет, поставщика и правила объединения</x:v>
      </x:c>
      <x:c r="G1276" s="207" t="str">
        <x:v>Закупки + склад</x:v>
      </x:c>
      <x:c r="H1276" s="207" t="str">
        <x:v>Средний</x:v>
      </x:c>
      <x:c r="I1276" s="207" t="str">
        <x:v>Material aging; BOM; procurement; actual usage</x:v>
      </x:c>
      <x:c r="J1276" s="207" t="str">
        <x:v>Остатки ткани 31.05.2026</x:v>
      </x:c>
      <x:c r="K1276" s="207" t="str"/>
      <x:c r="L1276" s="207" t="str"/>
      <x:c r="M1276" s="207" t="str">
        <x:v>Не рассмотрено</x:v>
      </x:c>
      <x:c r="N1276" s="207" t="str"/>
      <x:c r="O1276" s="207" t="str">
        <x:v>17</x:v>
      </x:c>
      <x:c r="P1276" s="207" t="n">
        <x:v>2</x:v>
      </x:c>
      <x:c r="Q1276" s="208" t="str">
        <x:v>Wave 3 (61–90 дней)</x:v>
      </x:c>
    </x:row>
    <x:row r="1277">
      <x:c r="A1277" s="206" t="str">
        <x:v>DEC-01273</x:v>
      </x:c>
      <x:c r="B1277" s="207" t="str">
        <x:v>Material master</x:v>
      </x:c>
      <x:c r="C1277" s="207" t="str">
        <x:v>MAT-DRAFT-0521</x:v>
      </x:c>
      <x:c r="D1277" s="207" t="str">
        <x:v>Unlinked</x:v>
      </x:c>
      <x:c r="E1277" s="207" t="str">
        <x:v>3 строк; 111505.00 руб.; 4A-064</x:v>
      </x:c>
      <x:c r="F1277" s="207" t="str">
        <x:v>Подтвердить карточку, UOM, состав, цвет, поставщика и правила объединения</x:v>
      </x:c>
      <x:c r="G1277" s="207" t="str">
        <x:v>Закупки + склад</x:v>
      </x:c>
      <x:c r="H1277" s="207" t="str">
        <x:v>Критический</x:v>
      </x:c>
      <x:c r="I1277" s="207" t="str">
        <x:v>Material aging; BOM; procurement; actual usage</x:v>
      </x:c>
      <x:c r="J1277" s="207" t="str">
        <x:v>Остатки ткани 31.05.2026</x:v>
      </x:c>
      <x:c r="K1277" s="207" t="str"/>
      <x:c r="L1277" s="207" t="str"/>
      <x:c r="M1277" s="207" t="str">
        <x:v>Не рассмотрено</x:v>
      </x:c>
      <x:c r="N1277" s="207" t="str"/>
      <x:c r="O1277" s="207" t="str">
        <x:v>17</x:v>
      </x:c>
      <x:c r="P1277" s="207" t="n">
        <x:v>4</x:v>
      </x:c>
      <x:c r="Q1277" s="208" t="str">
        <x:v>Wave 1 (0–30 дней)</x:v>
      </x:c>
    </x:row>
    <x:row r="1278">
      <x:c r="A1278" s="206" t="str">
        <x:v>DEC-01274</x:v>
      </x:c>
      <x:c r="B1278" s="207" t="str">
        <x:v>Material master</x:v>
      </x:c>
      <x:c r="C1278" s="207" t="str">
        <x:v>MAT-DRAFT-0522</x:v>
      </x:c>
      <x:c r="D1278" s="207" t="str">
        <x:v>Unlinked</x:v>
      </x:c>
      <x:c r="E1278" s="207" t="str">
        <x:v>2 строк; 11850.00 руб.; 4A-074</x:v>
      </x:c>
      <x:c r="F1278" s="207" t="str">
        <x:v>Подтвердить карточку, UOM, состав, цвет, поставщика и правила объединения</x:v>
      </x:c>
      <x:c r="G1278" s="207" t="str">
        <x:v>Закупки + склад</x:v>
      </x:c>
      <x:c r="H1278" s="207" t="str">
        <x:v>Высокий</x:v>
      </x:c>
      <x:c r="I1278" s="207" t="str">
        <x:v>Material aging; BOM; procurement; actual usage</x:v>
      </x:c>
      <x:c r="J1278" s="207" t="str">
        <x:v>Остатки ткани 31.05.2026</x:v>
      </x:c>
      <x:c r="K1278" s="207" t="str"/>
      <x:c r="L1278" s="207" t="str"/>
      <x:c r="M1278" s="207" t="str">
        <x:v>Не рассмотрено</x:v>
      </x:c>
      <x:c r="N1278" s="207" t="str"/>
      <x:c r="O1278" s="207" t="str">
        <x:v>17</x:v>
      </x:c>
      <x:c r="P1278" s="207" t="n">
        <x:v>3</x:v>
      </x:c>
      <x:c r="Q1278" s="208" t="str">
        <x:v>Wave 2 (31–60 дней)</x:v>
      </x:c>
    </x:row>
    <x:row r="1279">
      <x:c r="A1279" s="206" t="str">
        <x:v>DEC-01275</x:v>
      </x:c>
      <x:c r="B1279" s="207" t="str">
        <x:v>Material master</x:v>
      </x:c>
      <x:c r="C1279" s="207" t="str">
        <x:v>MAT-DRAFT-0523</x:v>
      </x:c>
      <x:c r="D1279" s="207" t="str">
        <x:v>Unlinked</x:v>
      </x:c>
      <x:c r="E1279" s="207" t="str">
        <x:v>1 строк; 51500.00 руб.; 4A-054</x:v>
      </x:c>
      <x:c r="F1279" s="207" t="str">
        <x:v>Подтвердить карточку, UOM, состав, цвет, поставщика и правила объединения</x:v>
      </x:c>
      <x:c r="G1279" s="207" t="str">
        <x:v>Закупки + склад</x:v>
      </x:c>
      <x:c r="H1279" s="207" t="str">
        <x:v>Высокий</x:v>
      </x:c>
      <x:c r="I1279" s="207" t="str">
        <x:v>Material aging; BOM; procurement; actual usage</x:v>
      </x:c>
      <x:c r="J1279" s="207" t="str">
        <x:v>Остатки ткани 31.05.2026</x:v>
      </x:c>
      <x:c r="K1279" s="207" t="str"/>
      <x:c r="L1279" s="207" t="str"/>
      <x:c r="M1279" s="207" t="str">
        <x:v>Не рассмотрено</x:v>
      </x:c>
      <x:c r="N1279" s="207" t="str"/>
      <x:c r="O1279" s="207" t="str">
        <x:v>17</x:v>
      </x:c>
      <x:c r="P1279" s="207" t="n">
        <x:v>3</x:v>
      </x:c>
      <x:c r="Q1279" s="208" t="str">
        <x:v>Wave 2 (31–60 дней)</x:v>
      </x:c>
    </x:row>
    <x:row r="1280">
      <x:c r="A1280" s="206" t="str">
        <x:v>DEC-01276</x:v>
      </x:c>
      <x:c r="B1280" s="207" t="str">
        <x:v>Material master</x:v>
      </x:c>
      <x:c r="C1280" s="207" t="str">
        <x:v>MAT-DRAFT-0525</x:v>
      </x:c>
      <x:c r="D1280" s="207" t="str">
        <x:v>Unlinked</x:v>
      </x:c>
      <x:c r="E1280" s="207" t="str">
        <x:v>1 строк; 5950.00 руб.; 4P-015</x:v>
      </x:c>
      <x:c r="F1280" s="207" t="str">
        <x:v>Подтвердить карточку, UOM, состав, цвет, поставщика и правила объединения</x:v>
      </x:c>
      <x:c r="G1280" s="207" t="str">
        <x:v>Закупки + склад</x:v>
      </x:c>
      <x:c r="H1280" s="207" t="str">
        <x:v>Средний</x:v>
      </x:c>
      <x:c r="I1280" s="207" t="str">
        <x:v>Material aging; BOM; procurement; actual usage</x:v>
      </x:c>
      <x:c r="J1280" s="207" t="str">
        <x:v>Остатки ткани 31.05.2026</x:v>
      </x:c>
      <x:c r="K1280" s="207" t="str"/>
      <x:c r="L1280" s="207" t="str"/>
      <x:c r="M1280" s="207" t="str">
        <x:v>Не рассмотрено</x:v>
      </x:c>
      <x:c r="N1280" s="207" t="str"/>
      <x:c r="O1280" s="207" t="str">
        <x:v>17</x:v>
      </x:c>
      <x:c r="P1280" s="207" t="n">
        <x:v>2</x:v>
      </x:c>
      <x:c r="Q1280" s="208" t="str">
        <x:v>Wave 3 (61–90 дней)</x:v>
      </x:c>
    </x:row>
    <x:row r="1281">
      <x:c r="A1281" s="206" t="str">
        <x:v>DEC-01277</x:v>
      </x:c>
      <x:c r="B1281" s="207" t="str">
        <x:v>Material master</x:v>
      </x:c>
      <x:c r="C1281" s="207" t="str">
        <x:v>MAT-DRAFT-0529</x:v>
      </x:c>
      <x:c r="D1281" s="207" t="str">
        <x:v>Unlinked</x:v>
      </x:c>
      <x:c r="E1281" s="207" t="str">
        <x:v>3 строк; 49590.00 руб.; 4A-082</x:v>
      </x:c>
      <x:c r="F1281" s="207" t="str">
        <x:v>Подтвердить карточку, UOM, состав, цвет, поставщика и правила объединения</x:v>
      </x:c>
      <x:c r="G1281" s="207" t="str">
        <x:v>Закупки + склад</x:v>
      </x:c>
      <x:c r="H1281" s="207" t="str">
        <x:v>Высокий</x:v>
      </x:c>
      <x:c r="I1281" s="207" t="str">
        <x:v>Material aging; BOM; procurement; actual usage</x:v>
      </x:c>
      <x:c r="J1281" s="207" t="str">
        <x:v>Остатки ткани 31.05.2026</x:v>
      </x:c>
      <x:c r="K1281" s="207" t="str"/>
      <x:c r="L1281" s="207" t="str"/>
      <x:c r="M1281" s="207" t="str">
        <x:v>Не рассмотрено</x:v>
      </x:c>
      <x:c r="N1281" s="207" t="str"/>
      <x:c r="O1281" s="207" t="str">
        <x:v>17</x:v>
      </x:c>
      <x:c r="P1281" s="207" t="n">
        <x:v>3</x:v>
      </x:c>
      <x:c r="Q1281" s="208" t="str">
        <x:v>Wave 2 (31–60 дней)</x:v>
      </x:c>
    </x:row>
    <x:row r="1282">
      <x:c r="A1282" s="206" t="str">
        <x:v>DEC-01278</x:v>
      </x:c>
      <x:c r="B1282" s="207" t="str">
        <x:v>Material master</x:v>
      </x:c>
      <x:c r="C1282" s="207" t="str">
        <x:v>MAT-DRAFT-0530</x:v>
      </x:c>
      <x:c r="D1282" s="207" t="str">
        <x:v>Unlinked</x:v>
      </x:c>
      <x:c r="E1282" s="207" t="str">
        <x:v>1 строк; 4500.00 руб.; 4P-026</x:v>
      </x:c>
      <x:c r="F1282" s="207" t="str">
        <x:v>Подтвердить карточку, UOM, состав, цвет, поставщика и правила объединения</x:v>
      </x:c>
      <x:c r="G1282" s="207" t="str">
        <x:v>Закупки + склад</x:v>
      </x:c>
      <x:c r="H1282" s="207" t="str">
        <x:v>Средний</x:v>
      </x:c>
      <x:c r="I1282" s="207" t="str">
        <x:v>Material aging; BOM; procurement; actual usage</x:v>
      </x:c>
      <x:c r="J1282" s="207" t="str">
        <x:v>Остатки ткани 31.05.2026</x:v>
      </x:c>
      <x:c r="K1282" s="207" t="str"/>
      <x:c r="L1282" s="207" t="str"/>
      <x:c r="M1282" s="207" t="str">
        <x:v>Не рассмотрено</x:v>
      </x:c>
      <x:c r="N1282" s="207" t="str"/>
      <x:c r="O1282" s="207" t="str">
        <x:v>17</x:v>
      </x:c>
      <x:c r="P1282" s="207" t="n">
        <x:v>2</x:v>
      </x:c>
      <x:c r="Q1282" s="208" t="str">
        <x:v>Wave 3 (61–90 дней)</x:v>
      </x:c>
    </x:row>
    <x:row r="1283">
      <x:c r="A1283" s="206" t="str">
        <x:v>DEC-01279</x:v>
      </x:c>
      <x:c r="B1283" s="207" t="str">
        <x:v>Material master</x:v>
      </x:c>
      <x:c r="C1283" s="207" t="str">
        <x:v>MAT-DRAFT-0531</x:v>
      </x:c>
      <x:c r="D1283" s="207" t="str">
        <x:v>Unlinked</x:v>
      </x:c>
      <x:c r="E1283" s="207" t="str">
        <x:v>1 строк; 11070.00 руб.; 4P-025</x:v>
      </x:c>
      <x:c r="F1283" s="207" t="str">
        <x:v>Подтвердить карточку, UOM, состав, цвет, поставщика и правила объединения</x:v>
      </x:c>
      <x:c r="G1283" s="207" t="str">
        <x:v>Закупки + склад</x:v>
      </x:c>
      <x:c r="H1283" s="207" t="str">
        <x:v>Высокий</x:v>
      </x:c>
      <x:c r="I1283" s="207" t="str">
        <x:v>Material aging; BOM; procurement; actual usage</x:v>
      </x:c>
      <x:c r="J1283" s="207" t="str">
        <x:v>Остатки ткани 31.05.2026</x:v>
      </x:c>
      <x:c r="K1283" s="207" t="str"/>
      <x:c r="L1283" s="207" t="str"/>
      <x:c r="M1283" s="207" t="str">
        <x:v>Не рассмотрено</x:v>
      </x:c>
      <x:c r="N1283" s="207" t="str"/>
      <x:c r="O1283" s="207" t="str">
        <x:v>17</x:v>
      </x:c>
      <x:c r="P1283" s="207" t="n">
        <x:v>3</x:v>
      </x:c>
      <x:c r="Q1283" s="208" t="str">
        <x:v>Wave 2 (31–60 дней)</x:v>
      </x:c>
    </x:row>
    <x:row r="1284">
      <x:c r="A1284" s="206" t="str">
        <x:v>DEC-01280</x:v>
      </x:c>
      <x:c r="B1284" s="207" t="str">
        <x:v>Material master</x:v>
      </x:c>
      <x:c r="C1284" s="207" t="str">
        <x:v>MAT-DRAFT-0532</x:v>
      </x:c>
      <x:c r="D1284" s="207" t="str">
        <x:v>Unlinked</x:v>
      </x:c>
      <x:c r="E1284" s="207" t="str">
        <x:v>1 строк; 1950.00 руб.; 4-032</x:v>
      </x:c>
      <x:c r="F1284" s="207" t="str">
        <x:v>Подтвердить карточку, UOM, состав, цвет, поставщика и правила объединения</x:v>
      </x:c>
      <x:c r="G1284" s="207" t="str">
        <x:v>Закупки + склад</x:v>
      </x:c>
      <x:c r="H1284" s="207" t="str">
        <x:v>Средний</x:v>
      </x:c>
      <x:c r="I1284" s="207" t="str">
        <x:v>Material aging; BOM; procurement; actual usage</x:v>
      </x:c>
      <x:c r="J1284" s="207" t="str">
        <x:v>Остатки ткани 31.05.2026</x:v>
      </x:c>
      <x:c r="K1284" s="207" t="str"/>
      <x:c r="L1284" s="207" t="str"/>
      <x:c r="M1284" s="207" t="str">
        <x:v>Не рассмотрено</x:v>
      </x:c>
      <x:c r="N1284" s="207" t="str"/>
      <x:c r="O1284" s="207" t="str">
        <x:v>17</x:v>
      </x:c>
      <x:c r="P1284" s="207" t="n">
        <x:v>2</x:v>
      </x:c>
      <x:c r="Q1284" s="208" t="str">
        <x:v>Wave 3 (61–90 дней)</x:v>
      </x:c>
    </x:row>
    <x:row r="1285">
      <x:c r="A1285" s="206" t="str">
        <x:v>DEC-01281</x:v>
      </x:c>
      <x:c r="B1285" s="207" t="str">
        <x:v>Material master</x:v>
      </x:c>
      <x:c r="C1285" s="207" t="str">
        <x:v>MAT-DRAFT-0533</x:v>
      </x:c>
      <x:c r="D1285" s="207" t="str">
        <x:v>Unlinked</x:v>
      </x:c>
      <x:c r="E1285" s="207" t="str">
        <x:v>1 строк; 15450.00 руб.; 4A-005</x:v>
      </x:c>
      <x:c r="F1285" s="207" t="str">
        <x:v>Подтвердить карточку, UOM, состав, цвет, поставщика и правила объединения</x:v>
      </x:c>
      <x:c r="G1285" s="207" t="str">
        <x:v>Закупки + склад</x:v>
      </x:c>
      <x:c r="H1285" s="207" t="str">
        <x:v>Высокий</x:v>
      </x:c>
      <x:c r="I1285" s="207" t="str">
        <x:v>Material aging; BOM; procurement; actual usage</x:v>
      </x:c>
      <x:c r="J1285" s="207" t="str">
        <x:v>Остатки ткани 31.05.2026</x:v>
      </x:c>
      <x:c r="K1285" s="207" t="str"/>
      <x:c r="L1285" s="207" t="str"/>
      <x:c r="M1285" s="207" t="str">
        <x:v>Не рассмотрено</x:v>
      </x:c>
      <x:c r="N1285" s="207" t="str"/>
      <x:c r="O1285" s="207" t="str">
        <x:v>17</x:v>
      </x:c>
      <x:c r="P1285" s="207" t="n">
        <x:v>3</x:v>
      </x:c>
      <x:c r="Q1285" s="208" t="str">
        <x:v>Wave 2 (31–60 дней)</x:v>
      </x:c>
    </x:row>
    <x:row r="1286">
      <x:c r="A1286" s="206" t="str">
        <x:v>DEC-01282</x:v>
      </x:c>
      <x:c r="B1286" s="207" t="str">
        <x:v>Material master</x:v>
      </x:c>
      <x:c r="C1286" s="207" t="str">
        <x:v>MAT-DRAFT-0534</x:v>
      </x:c>
      <x:c r="D1286" s="207" t="str">
        <x:v>Нет кода</x:v>
      </x:c>
      <x:c r="E1286" s="207" t="str">
        <x:v>1 строк; 4200.00 руб.; </x:v>
      </x:c>
      <x:c r="F1286" s="207" t="str">
        <x:v>Подтвердить карточку, UOM, состав, цвет, поставщика и правила объединения</x:v>
      </x:c>
      <x:c r="G1286" s="207" t="str">
        <x:v>Закупки + склад</x:v>
      </x:c>
      <x:c r="H1286" s="207" t="str">
        <x:v>Средний</x:v>
      </x:c>
      <x:c r="I1286" s="207" t="str">
        <x:v>Material aging; BOM; procurement; actual usage</x:v>
      </x:c>
      <x:c r="J1286" s="207" t="str">
        <x:v>Остатки ткани 31.05.2026</x:v>
      </x:c>
      <x:c r="K1286" s="207" t="str"/>
      <x:c r="L1286" s="207" t="str"/>
      <x:c r="M1286" s="207" t="str">
        <x:v>Не рассмотрено</x:v>
      </x:c>
      <x:c r="N1286" s="207" t="str"/>
      <x:c r="O1286" s="207" t="str">
        <x:v>17</x:v>
      </x:c>
      <x:c r="P1286" s="207" t="n">
        <x:v>2</x:v>
      </x:c>
      <x:c r="Q1286" s="208" t="str">
        <x:v>Wave 3 (61–90 дней)</x:v>
      </x:c>
    </x:row>
    <x:row r="1287">
      <x:c r="A1287" s="206" t="str">
        <x:v>DEC-01283</x:v>
      </x:c>
      <x:c r="B1287" s="207" t="str">
        <x:v>Material master</x:v>
      </x:c>
      <x:c r="C1287" s="207" t="str">
        <x:v>MAT-DRAFT-0535</x:v>
      </x:c>
      <x:c r="D1287" s="207" t="str">
        <x:v>Нет кода</x:v>
      </x:c>
      <x:c r="E1287" s="207" t="str">
        <x:v>1 строк; 10320.00 руб.; </x:v>
      </x:c>
      <x:c r="F1287" s="207" t="str">
        <x:v>Подтвердить карточку, UOM, состав, цвет, поставщика и правила объединения</x:v>
      </x:c>
      <x:c r="G1287" s="207" t="str">
        <x:v>Закупки + склад</x:v>
      </x:c>
      <x:c r="H1287" s="207" t="str">
        <x:v>Высокий</x:v>
      </x:c>
      <x:c r="I1287" s="207" t="str">
        <x:v>Material aging; BOM; procurement; actual usage</x:v>
      </x:c>
      <x:c r="J1287" s="207" t="str">
        <x:v>Остатки ткани 31.05.2026</x:v>
      </x:c>
      <x:c r="K1287" s="207" t="str"/>
      <x:c r="L1287" s="207" t="str"/>
      <x:c r="M1287" s="207" t="str">
        <x:v>Не рассмотрено</x:v>
      </x:c>
      <x:c r="N1287" s="207" t="str"/>
      <x:c r="O1287" s="207" t="str">
        <x:v>17</x:v>
      </x:c>
      <x:c r="P1287" s="207" t="n">
        <x:v>3</x:v>
      </x:c>
      <x:c r="Q1287" s="208" t="str">
        <x:v>Wave 2 (31–60 дней)</x:v>
      </x:c>
    </x:row>
    <x:row r="1288">
      <x:c r="A1288" s="206" t="str">
        <x:v>DEC-01284</x:v>
      </x:c>
      <x:c r="B1288" s="207" t="str">
        <x:v>Material master</x:v>
      </x:c>
      <x:c r="C1288" s="207" t="str">
        <x:v>MAT-DRAFT-0536</x:v>
      </x:c>
      <x:c r="D1288" s="207" t="str">
        <x:v>Нет кода</x:v>
      </x:c>
      <x:c r="E1288" s="207" t="str">
        <x:v>3 строк; 13480.00 руб.; </x:v>
      </x:c>
      <x:c r="F1288" s="207" t="str">
        <x:v>Подтвердить карточку, UOM, состав, цвет, поставщика и правила объединения</x:v>
      </x:c>
      <x:c r="G1288" s="207" t="str">
        <x:v>Закупки + склад</x:v>
      </x:c>
      <x:c r="H1288" s="207" t="str">
        <x:v>Высокий</x:v>
      </x:c>
      <x:c r="I1288" s="207" t="str">
        <x:v>Material aging; BOM; procurement; actual usage</x:v>
      </x:c>
      <x:c r="J1288" s="207" t="str">
        <x:v>Остатки ткани 31.05.2026</x:v>
      </x:c>
      <x:c r="K1288" s="207" t="str"/>
      <x:c r="L1288" s="207" t="str"/>
      <x:c r="M1288" s="207" t="str">
        <x:v>Не рассмотрено</x:v>
      </x:c>
      <x:c r="N1288" s="207" t="str"/>
      <x:c r="O1288" s="207" t="str">
        <x:v>17</x:v>
      </x:c>
      <x:c r="P1288" s="207" t="n">
        <x:v>3</x:v>
      </x:c>
      <x:c r="Q1288" s="208" t="str">
        <x:v>Wave 2 (31–60 дней)</x:v>
      </x:c>
    </x:row>
    <x:row r="1289">
      <x:c r="A1289" s="206" t="str">
        <x:v>DEC-01285</x:v>
      </x:c>
      <x:c r="B1289" s="207" t="str">
        <x:v>Material master</x:v>
      </x:c>
      <x:c r="C1289" s="207" t="str">
        <x:v>MAT-DRAFT-0537</x:v>
      </x:c>
      <x:c r="D1289" s="207" t="str">
        <x:v>Unlinked</x:v>
      </x:c>
      <x:c r="E1289" s="207" t="str">
        <x:v>1 строк; 5850.00 руб.; 4A-008</x:v>
      </x:c>
      <x:c r="F1289" s="207" t="str">
        <x:v>Подтвердить карточку, UOM, состав, цвет, поставщика и правила объединения</x:v>
      </x:c>
      <x:c r="G1289" s="207" t="str">
        <x:v>Закупки + склад</x:v>
      </x:c>
      <x:c r="H1289" s="207" t="str">
        <x:v>Средний</x:v>
      </x:c>
      <x:c r="I1289" s="207" t="str">
        <x:v>Material aging; BOM; procurement; actual usage</x:v>
      </x:c>
      <x:c r="J1289" s="207" t="str">
        <x:v>Остатки ткани 31.05.2026</x:v>
      </x:c>
      <x:c r="K1289" s="207" t="str"/>
      <x:c r="L1289" s="207" t="str"/>
      <x:c r="M1289" s="207" t="str">
        <x:v>Не рассмотрено</x:v>
      </x:c>
      <x:c r="N1289" s="207" t="str"/>
      <x:c r="O1289" s="207" t="str">
        <x:v>17</x:v>
      </x:c>
      <x:c r="P1289" s="207" t="n">
        <x:v>2</x:v>
      </x:c>
      <x:c r="Q1289" s="208" t="str">
        <x:v>Wave 3 (61–90 дней)</x:v>
      </x:c>
    </x:row>
    <x:row r="1290">
      <x:c r="A1290" s="206" t="str">
        <x:v>DEC-01286</x:v>
      </x:c>
      <x:c r="B1290" s="207" t="str">
        <x:v>Material master</x:v>
      </x:c>
      <x:c r="C1290" s="207" t="str">
        <x:v>MAT-DRAFT-0538</x:v>
      </x:c>
      <x:c r="D1290" s="207" t="str">
        <x:v>Нет кода</x:v>
      </x:c>
      <x:c r="E1290" s="207" t="str">
        <x:v>1 строк; 11680.00 руб.; </x:v>
      </x:c>
      <x:c r="F1290" s="207" t="str">
        <x:v>Подтвердить карточку, UOM, состав, цвет, поставщика и правила объединения</x:v>
      </x:c>
      <x:c r="G1290" s="207" t="str">
        <x:v>Закупки + склад</x:v>
      </x:c>
      <x:c r="H1290" s="207" t="str">
        <x:v>Высокий</x:v>
      </x:c>
      <x:c r="I1290" s="207" t="str">
        <x:v>Material aging; BOM; procurement; actual usage</x:v>
      </x:c>
      <x:c r="J1290" s="207" t="str">
        <x:v>Остатки ткани 31.05.2026</x:v>
      </x:c>
      <x:c r="K1290" s="207" t="str"/>
      <x:c r="L1290" s="207" t="str"/>
      <x:c r="M1290" s="207" t="str">
        <x:v>Не рассмотрено</x:v>
      </x:c>
      <x:c r="N1290" s="207" t="str"/>
      <x:c r="O1290" s="207" t="str">
        <x:v>17</x:v>
      </x:c>
      <x:c r="P1290" s="207" t="n">
        <x:v>3</x:v>
      </x:c>
      <x:c r="Q1290" s="208" t="str">
        <x:v>Wave 2 (31–60 дней)</x:v>
      </x:c>
    </x:row>
    <x:row r="1291">
      <x:c r="A1291" s="206" t="str">
        <x:v>DEC-01287</x:v>
      </x:c>
      <x:c r="B1291" s="207" t="str">
        <x:v>Material master</x:v>
      </x:c>
      <x:c r="C1291" s="207" t="str">
        <x:v>MAT-DRAFT-0539</x:v>
      </x:c>
      <x:c r="D1291" s="207" t="str">
        <x:v>Unlinked</x:v>
      </x:c>
      <x:c r="E1291" s="207" t="str">
        <x:v>1 строк; 3000.00 руб.; 4A-009</x:v>
      </x:c>
      <x:c r="F1291" s="207" t="str">
        <x:v>Подтвердить карточку, UOM, состав, цвет, поставщика и правила объединения</x:v>
      </x:c>
      <x:c r="G1291" s="207" t="str">
        <x:v>Закупки + склад</x:v>
      </x:c>
      <x:c r="H1291" s="207" t="str">
        <x:v>Средний</x:v>
      </x:c>
      <x:c r="I1291" s="207" t="str">
        <x:v>Material aging; BOM; procurement; actual usage</x:v>
      </x:c>
      <x:c r="J1291" s="207" t="str">
        <x:v>Остатки ткани 31.05.2026</x:v>
      </x:c>
      <x:c r="K1291" s="207" t="str"/>
      <x:c r="L1291" s="207" t="str"/>
      <x:c r="M1291" s="207" t="str">
        <x:v>Не рассмотрено</x:v>
      </x:c>
      <x:c r="N1291" s="207" t="str"/>
      <x:c r="O1291" s="207" t="str">
        <x:v>17</x:v>
      </x:c>
      <x:c r="P1291" s="207" t="n">
        <x:v>2</x:v>
      </x:c>
      <x:c r="Q1291" s="208" t="str">
        <x:v>Wave 3 (61–90 дней)</x:v>
      </x:c>
    </x:row>
    <x:row r="1292">
      <x:c r="A1292" s="206" t="str">
        <x:v>DEC-01288</x:v>
      </x:c>
      <x:c r="B1292" s="207" t="str">
        <x:v>Material master</x:v>
      </x:c>
      <x:c r="C1292" s="207" t="str">
        <x:v>MAT-DRAFT-0540</x:v>
      </x:c>
      <x:c r="D1292" s="207" t="str">
        <x:v>Нет кода</x:v>
      </x:c>
      <x:c r="E1292" s="207" t="str">
        <x:v>1 строк; 7040.00 руб.; </x:v>
      </x:c>
      <x:c r="F1292" s="207" t="str">
        <x:v>Подтвердить карточку, UOM, состав, цвет, поставщика и правила объединения</x:v>
      </x:c>
      <x:c r="G1292" s="207" t="str">
        <x:v>Закупки + склад</x:v>
      </x:c>
      <x:c r="H1292" s="207" t="str">
        <x:v>Средний</x:v>
      </x:c>
      <x:c r="I1292" s="207" t="str">
        <x:v>Material aging; BOM; procurement; actual usage</x:v>
      </x:c>
      <x:c r="J1292" s="207" t="str">
        <x:v>Остатки ткани 31.05.2026</x:v>
      </x:c>
      <x:c r="K1292" s="207" t="str"/>
      <x:c r="L1292" s="207" t="str"/>
      <x:c r="M1292" s="207" t="str">
        <x:v>Не рассмотрено</x:v>
      </x:c>
      <x:c r="N1292" s="207" t="str"/>
      <x:c r="O1292" s="207" t="str">
        <x:v>17</x:v>
      </x:c>
      <x:c r="P1292" s="207" t="n">
        <x:v>2</x:v>
      </x:c>
      <x:c r="Q1292" s="208" t="str">
        <x:v>Wave 3 (61–90 дней)</x:v>
      </x:c>
    </x:row>
    <x:row r="1293">
      <x:c r="A1293" s="206" t="str">
        <x:v>DEC-01289</x:v>
      </x:c>
      <x:c r="B1293" s="207" t="str">
        <x:v>Material master</x:v>
      </x:c>
      <x:c r="C1293" s="207" t="str">
        <x:v>MAT-DRAFT-0541</x:v>
      </x:c>
      <x:c r="D1293" s="207" t="str">
        <x:v>Нет кода</x:v>
      </x:c>
      <x:c r="E1293" s="207" t="str">
        <x:v>1 строк; 3840.00 руб.; </x:v>
      </x:c>
      <x:c r="F1293" s="207" t="str">
        <x:v>Подтвердить карточку, UOM, состав, цвет, поставщика и правила объединения</x:v>
      </x:c>
      <x:c r="G1293" s="207" t="str">
        <x:v>Закупки + склад</x:v>
      </x:c>
      <x:c r="H1293" s="207" t="str">
        <x:v>Средний</x:v>
      </x:c>
      <x:c r="I1293" s="207" t="str">
        <x:v>Material aging; BOM; procurement; actual usage</x:v>
      </x:c>
      <x:c r="J1293" s="207" t="str">
        <x:v>Остатки ткани 31.05.2026</x:v>
      </x:c>
      <x:c r="K1293" s="207" t="str"/>
      <x:c r="L1293" s="207" t="str"/>
      <x:c r="M1293" s="207" t="str">
        <x:v>Не рассмотрено</x:v>
      </x:c>
      <x:c r="N1293" s="207" t="str"/>
      <x:c r="O1293" s="207" t="str">
        <x:v>17</x:v>
      </x:c>
      <x:c r="P1293" s="207" t="n">
        <x:v>2</x:v>
      </x:c>
      <x:c r="Q1293" s="208" t="str">
        <x:v>Wave 3 (61–90 дней)</x:v>
      </x:c>
    </x:row>
    <x:row r="1294">
      <x:c r="A1294" s="206" t="str">
        <x:v>DEC-01290</x:v>
      </x:c>
      <x:c r="B1294" s="207" t="str">
        <x:v>Material master</x:v>
      </x:c>
      <x:c r="C1294" s="207" t="str">
        <x:v>MAT-DRAFT-0542</x:v>
      </x:c>
      <x:c r="D1294" s="207" t="str">
        <x:v>Unlinked</x:v>
      </x:c>
      <x:c r="E1294" s="207" t="str">
        <x:v>1 строк; 23250.00 руб.; 4A-016</x:v>
      </x:c>
      <x:c r="F1294" s="207" t="str">
        <x:v>Подтвердить карточку, UOM, состав, цвет, поставщика и правила объединения</x:v>
      </x:c>
      <x:c r="G1294" s="207" t="str">
        <x:v>Закупки + склад</x:v>
      </x:c>
      <x:c r="H1294" s="207" t="str">
        <x:v>Высокий</x:v>
      </x:c>
      <x:c r="I1294" s="207" t="str">
        <x:v>Material aging; BOM; procurement; actual usage</x:v>
      </x:c>
      <x:c r="J1294" s="207" t="str">
        <x:v>Остатки ткани 31.05.2026</x:v>
      </x:c>
      <x:c r="K1294" s="207" t="str"/>
      <x:c r="L1294" s="207" t="str"/>
      <x:c r="M1294" s="207" t="str">
        <x:v>Не рассмотрено</x:v>
      </x:c>
      <x:c r="N1294" s="207" t="str"/>
      <x:c r="O1294" s="207" t="str">
        <x:v>17</x:v>
      </x:c>
      <x:c r="P1294" s="207" t="n">
        <x:v>3</x:v>
      </x:c>
      <x:c r="Q1294" s="208" t="str">
        <x:v>Wave 2 (31–60 дней)</x:v>
      </x:c>
    </x:row>
    <x:row r="1295">
      <x:c r="A1295" s="206" t="str">
        <x:v>DEC-01291</x:v>
      </x:c>
      <x:c r="B1295" s="207" t="str">
        <x:v>Material master</x:v>
      </x:c>
      <x:c r="C1295" s="207" t="str">
        <x:v>MAT-DRAFT-0543</x:v>
      </x:c>
      <x:c r="D1295" s="207" t="str">
        <x:v>Unlinked</x:v>
      </x:c>
      <x:c r="E1295" s="207" t="str">
        <x:v>1 строк; 15150.00 руб.; 4A-015</x:v>
      </x:c>
      <x:c r="F1295" s="207" t="str">
        <x:v>Подтвердить карточку, UOM, состав, цвет, поставщика и правила объединения</x:v>
      </x:c>
      <x:c r="G1295" s="207" t="str">
        <x:v>Закупки + склад</x:v>
      </x:c>
      <x:c r="H1295" s="207" t="str">
        <x:v>Высокий</x:v>
      </x:c>
      <x:c r="I1295" s="207" t="str">
        <x:v>Material aging; BOM; procurement; actual usage</x:v>
      </x:c>
      <x:c r="J1295" s="207" t="str">
        <x:v>Остатки ткани 31.05.2026</x:v>
      </x:c>
      <x:c r="K1295" s="207" t="str"/>
      <x:c r="L1295" s="207" t="str"/>
      <x:c r="M1295" s="207" t="str">
        <x:v>Не рассмотрено</x:v>
      </x:c>
      <x:c r="N1295" s="207" t="str"/>
      <x:c r="O1295" s="207" t="str">
        <x:v>17</x:v>
      </x:c>
      <x:c r="P1295" s="207" t="n">
        <x:v>3</x:v>
      </x:c>
      <x:c r="Q1295" s="208" t="str">
        <x:v>Wave 2 (31–60 дней)</x:v>
      </x:c>
    </x:row>
    <x:row r="1296">
      <x:c r="A1296" s="206" t="str">
        <x:v>DEC-01292</x:v>
      </x:c>
      <x:c r="B1296" s="207" t="str">
        <x:v>Material master</x:v>
      </x:c>
      <x:c r="C1296" s="207" t="str">
        <x:v>MAT-DRAFT-0544</x:v>
      </x:c>
      <x:c r="D1296" s="207" t="str">
        <x:v>Нет кода</x:v>
      </x:c>
      <x:c r="E1296" s="207" t="str">
        <x:v>1 строк; 1120.00 руб.; </x:v>
      </x:c>
      <x:c r="F1296" s="207" t="str">
        <x:v>Подтвердить карточку, UOM, состав, цвет, поставщика и правила объединения</x:v>
      </x:c>
      <x:c r="G1296" s="207" t="str">
        <x:v>Закупки + склад</x:v>
      </x:c>
      <x:c r="H1296" s="207" t="str">
        <x:v>Средний</x:v>
      </x:c>
      <x:c r="I1296" s="207" t="str">
        <x:v>Material aging; BOM; procurement; actual usage</x:v>
      </x:c>
      <x:c r="J1296" s="207" t="str">
        <x:v>Остатки ткани 31.05.2026</x:v>
      </x:c>
      <x:c r="K1296" s="207" t="str"/>
      <x:c r="L1296" s="207" t="str"/>
      <x:c r="M1296" s="207" t="str">
        <x:v>Не рассмотрено</x:v>
      </x:c>
      <x:c r="N1296" s="207" t="str"/>
      <x:c r="O1296" s="207" t="str">
        <x:v>17</x:v>
      </x:c>
      <x:c r="P1296" s="207" t="n">
        <x:v>2</x:v>
      </x:c>
      <x:c r="Q1296" s="208" t="str">
        <x:v>Wave 3 (61–90 дней)</x:v>
      </x:c>
    </x:row>
    <x:row r="1297">
      <x:c r="A1297" s="206" t="str">
        <x:v>DEC-01293</x:v>
      </x:c>
      <x:c r="B1297" s="207" t="str">
        <x:v>Material master</x:v>
      </x:c>
      <x:c r="C1297" s="207" t="str">
        <x:v>MAT-DRAFT-0545</x:v>
      </x:c>
      <x:c r="D1297" s="207" t="str">
        <x:v>Нет кода</x:v>
      </x:c>
      <x:c r="E1297" s="207" t="str">
        <x:v>3 строк; 7280.00 руб.; </x:v>
      </x:c>
      <x:c r="F1297" s="207" t="str">
        <x:v>Подтвердить карточку, UOM, состав, цвет, поставщика и правила объединения</x:v>
      </x:c>
      <x:c r="G1297" s="207" t="str">
        <x:v>Закупки + склад</x:v>
      </x:c>
      <x:c r="H1297" s="207" t="str">
        <x:v>Средний</x:v>
      </x:c>
      <x:c r="I1297" s="207" t="str">
        <x:v>Material aging; BOM; procurement; actual usage</x:v>
      </x:c>
      <x:c r="J1297" s="207" t="str">
        <x:v>Остатки ткани 31.05.2026</x:v>
      </x:c>
      <x:c r="K1297" s="207" t="str"/>
      <x:c r="L1297" s="207" t="str"/>
      <x:c r="M1297" s="207" t="str">
        <x:v>Не рассмотрено</x:v>
      </x:c>
      <x:c r="N1297" s="207" t="str"/>
      <x:c r="O1297" s="207" t="str">
        <x:v>17</x:v>
      </x:c>
      <x:c r="P1297" s="207" t="n">
        <x:v>2</x:v>
      </x:c>
      <x:c r="Q1297" s="208" t="str">
        <x:v>Wave 3 (61–90 дней)</x:v>
      </x:c>
    </x:row>
    <x:row r="1298">
      <x:c r="A1298" s="206" t="str">
        <x:v>DEC-01294</x:v>
      </x:c>
      <x:c r="B1298" s="207" t="str">
        <x:v>Material master</x:v>
      </x:c>
      <x:c r="C1298" s="207" t="str">
        <x:v>MAT-DRAFT-0546</x:v>
      </x:c>
      <x:c r="D1298" s="207" t="str">
        <x:v>Нет кода</x:v>
      </x:c>
      <x:c r="E1298" s="207" t="str">
        <x:v>1 строк; 680.00 руб.; </x:v>
      </x:c>
      <x:c r="F1298" s="207" t="str">
        <x:v>Подтвердить карточку, UOM, состав, цвет, поставщика и правила объединения</x:v>
      </x:c>
      <x:c r="G1298" s="207" t="str">
        <x:v>Закупки + склад</x:v>
      </x:c>
      <x:c r="H1298" s="207" t="str">
        <x:v>Средний</x:v>
      </x:c>
      <x:c r="I1298" s="207" t="str">
        <x:v>Material aging; BOM; procurement; actual usage</x:v>
      </x:c>
      <x:c r="J1298" s="207" t="str">
        <x:v>Остатки ткани 31.05.2026</x:v>
      </x:c>
      <x:c r="K1298" s="207" t="str"/>
      <x:c r="L1298" s="207" t="str"/>
      <x:c r="M1298" s="207" t="str">
        <x:v>Не рассмотрено</x:v>
      </x:c>
      <x:c r="N1298" s="207" t="str"/>
      <x:c r="O1298" s="207" t="str">
        <x:v>17</x:v>
      </x:c>
      <x:c r="P1298" s="207" t="n">
        <x:v>2</x:v>
      </x:c>
      <x:c r="Q1298" s="208" t="str">
        <x:v>Wave 3 (61–90 дней)</x:v>
      </x:c>
    </x:row>
    <x:row r="1299">
      <x:c r="A1299" s="206" t="str">
        <x:v>DEC-01295</x:v>
      </x:c>
      <x:c r="B1299" s="207" t="str">
        <x:v>Material master</x:v>
      </x:c>
      <x:c r="C1299" s="207" t="str">
        <x:v>MAT-DRAFT-0547</x:v>
      </x:c>
      <x:c r="D1299" s="207" t="str">
        <x:v>Unlinked</x:v>
      </x:c>
      <x:c r="E1299" s="207" t="str">
        <x:v>1 строк; 10500.00 руб.; 4A-010</x:v>
      </x:c>
      <x:c r="F1299" s="207" t="str">
        <x:v>Подтвердить карточку, UOM, состав, цвет, поставщика и правила объединения</x:v>
      </x:c>
      <x:c r="G1299" s="207" t="str">
        <x:v>Закупки + склад</x:v>
      </x:c>
      <x:c r="H1299" s="207" t="str">
        <x:v>Высокий</x:v>
      </x:c>
      <x:c r="I1299" s="207" t="str">
        <x:v>Material aging; BOM; procurement; actual usage</x:v>
      </x:c>
      <x:c r="J1299" s="207" t="str">
        <x:v>Остатки ткани 31.05.2026</x:v>
      </x:c>
      <x:c r="K1299" s="207" t="str"/>
      <x:c r="L1299" s="207" t="str"/>
      <x:c r="M1299" s="207" t="str">
        <x:v>Не рассмотрено</x:v>
      </x:c>
      <x:c r="N1299" s="207" t="str"/>
      <x:c r="O1299" s="207" t="str">
        <x:v>17</x:v>
      </x:c>
      <x:c r="P1299" s="207" t="n">
        <x:v>3</x:v>
      </x:c>
      <x:c r="Q1299" s="208" t="str">
        <x:v>Wave 2 (31–60 дней)</x:v>
      </x:c>
    </x:row>
    <x:row r="1300">
      <x:c r="A1300" s="206" t="str">
        <x:v>DEC-01296</x:v>
      </x:c>
      <x:c r="B1300" s="207" t="str">
        <x:v>Material master</x:v>
      </x:c>
      <x:c r="C1300" s="207" t="str">
        <x:v>MAT-DRAFT-0548</x:v>
      </x:c>
      <x:c r="D1300" s="207" t="str">
        <x:v>Нет кода</x:v>
      </x:c>
      <x:c r="E1300" s="207" t="str">
        <x:v>1 строк; 5800.00 руб.; </x:v>
      </x:c>
      <x:c r="F1300" s="207" t="str">
        <x:v>Подтвердить карточку, UOM, состав, цвет, поставщика и правила объединения</x:v>
      </x:c>
      <x:c r="G1300" s="207" t="str">
        <x:v>Закупки + склад</x:v>
      </x:c>
      <x:c r="H1300" s="207" t="str">
        <x:v>Средний</x:v>
      </x:c>
      <x:c r="I1300" s="207" t="str">
        <x:v>Material aging; BOM; procurement; actual usage</x:v>
      </x:c>
      <x:c r="J1300" s="207" t="str">
        <x:v>Остатки ткани 31.05.2026</x:v>
      </x:c>
      <x:c r="K1300" s="207" t="str"/>
      <x:c r="L1300" s="207" t="str"/>
      <x:c r="M1300" s="207" t="str">
        <x:v>Не рассмотрено</x:v>
      </x:c>
      <x:c r="N1300" s="207" t="str"/>
      <x:c r="O1300" s="207" t="str">
        <x:v>17</x:v>
      </x:c>
      <x:c r="P1300" s="207" t="n">
        <x:v>2</x:v>
      </x:c>
      <x:c r="Q1300" s="208" t="str">
        <x:v>Wave 3 (61–90 дней)</x:v>
      </x:c>
    </x:row>
    <x:row r="1301">
      <x:c r="A1301" s="206" t="str">
        <x:v>DEC-01297</x:v>
      </x:c>
      <x:c r="B1301" s="207" t="str">
        <x:v>Material master</x:v>
      </x:c>
      <x:c r="C1301" s="207" t="str">
        <x:v>MAT-DRAFT-0549</x:v>
      </x:c>
      <x:c r="D1301" s="207" t="str">
        <x:v>Нет кода</x:v>
      </x:c>
      <x:c r="E1301" s="207" t="str">
        <x:v>1 строк; 3600.00 руб.; </x:v>
      </x:c>
      <x:c r="F1301" s="207" t="str">
        <x:v>Подтвердить карточку, UOM, состав, цвет, поставщика и правила объединения</x:v>
      </x:c>
      <x:c r="G1301" s="207" t="str">
        <x:v>Закупки + склад</x:v>
      </x:c>
      <x:c r="H1301" s="207" t="str">
        <x:v>Средний</x:v>
      </x:c>
      <x:c r="I1301" s="207" t="str">
        <x:v>Material aging; BOM; procurement; actual usage</x:v>
      </x:c>
      <x:c r="J1301" s="207" t="str">
        <x:v>Остатки ткани 31.05.2026</x:v>
      </x:c>
      <x:c r="K1301" s="207" t="str"/>
      <x:c r="L1301" s="207" t="str"/>
      <x:c r="M1301" s="207" t="str">
        <x:v>Не рассмотрено</x:v>
      </x:c>
      <x:c r="N1301" s="207" t="str"/>
      <x:c r="O1301" s="207" t="str">
        <x:v>17</x:v>
      </x:c>
      <x:c r="P1301" s="207" t="n">
        <x:v>2</x:v>
      </x:c>
      <x:c r="Q1301" s="208" t="str">
        <x:v>Wave 3 (61–90 дней)</x:v>
      </x:c>
    </x:row>
    <x:row r="1302">
      <x:c r="A1302" s="206" t="str">
        <x:v>DEC-01298</x:v>
      </x:c>
      <x:c r="B1302" s="207" t="str">
        <x:v>Material master</x:v>
      </x:c>
      <x:c r="C1302" s="207" t="str">
        <x:v>MAT-DRAFT-0550</x:v>
      </x:c>
      <x:c r="D1302" s="207" t="str">
        <x:v>Нет кода</x:v>
      </x:c>
      <x:c r="E1302" s="207" t="str">
        <x:v>1 строк; 5200.00 руб.; </x:v>
      </x:c>
      <x:c r="F1302" s="207" t="str">
        <x:v>Подтвердить карточку, UOM, состав, цвет, поставщика и правила объединения</x:v>
      </x:c>
      <x:c r="G1302" s="207" t="str">
        <x:v>Закупки + склад</x:v>
      </x:c>
      <x:c r="H1302" s="207" t="str">
        <x:v>Средний</x:v>
      </x:c>
      <x:c r="I1302" s="207" t="str">
        <x:v>Material aging; BOM; procurement; actual usage</x:v>
      </x:c>
      <x:c r="J1302" s="207" t="str">
        <x:v>Остатки ткани 31.05.2026</x:v>
      </x:c>
      <x:c r="K1302" s="207" t="str"/>
      <x:c r="L1302" s="207" t="str"/>
      <x:c r="M1302" s="207" t="str">
        <x:v>Не рассмотрено</x:v>
      </x:c>
      <x:c r="N1302" s="207" t="str"/>
      <x:c r="O1302" s="207" t="str">
        <x:v>17</x:v>
      </x:c>
      <x:c r="P1302" s="207" t="n">
        <x:v>2</x:v>
      </x:c>
      <x:c r="Q1302" s="208" t="str">
        <x:v>Wave 3 (61–90 дней)</x:v>
      </x:c>
    </x:row>
    <x:row r="1303">
      <x:c r="A1303" s="206" t="str">
        <x:v>DEC-01299</x:v>
      </x:c>
      <x:c r="B1303" s="207" t="str">
        <x:v>Material master</x:v>
      </x:c>
      <x:c r="C1303" s="207" t="str">
        <x:v>MAT-DRAFT-0551</x:v>
      </x:c>
      <x:c r="D1303" s="207" t="str">
        <x:v>Нет кода</x:v>
      </x:c>
      <x:c r="E1303" s="207" t="str">
        <x:v>1 строк; 6000.00 руб.; </x:v>
      </x:c>
      <x:c r="F1303" s="207" t="str">
        <x:v>Подтвердить карточку, UOM, состав, цвет, поставщика и правила объединения</x:v>
      </x:c>
      <x:c r="G1303" s="207" t="str">
        <x:v>Закупки + склад</x:v>
      </x:c>
      <x:c r="H1303" s="207" t="str">
        <x:v>Средний</x:v>
      </x:c>
      <x:c r="I1303" s="207" t="str">
        <x:v>Material aging; BOM; procurement; actual usage</x:v>
      </x:c>
      <x:c r="J1303" s="207" t="str">
        <x:v>Остатки ткани 31.05.2026</x:v>
      </x:c>
      <x:c r="K1303" s="207" t="str"/>
      <x:c r="L1303" s="207" t="str"/>
      <x:c r="M1303" s="207" t="str">
        <x:v>Не рассмотрено</x:v>
      </x:c>
      <x:c r="N1303" s="207" t="str"/>
      <x:c r="O1303" s="207" t="str">
        <x:v>17</x:v>
      </x:c>
      <x:c r="P1303" s="207" t="n">
        <x:v>2</x:v>
      </x:c>
      <x:c r="Q1303" s="208" t="str">
        <x:v>Wave 3 (61–90 дней)</x:v>
      </x:c>
    </x:row>
    <x:row r="1304">
      <x:c r="A1304" s="206" t="str">
        <x:v>DEC-01300</x:v>
      </x:c>
      <x:c r="B1304" s="207" t="str">
        <x:v>Material master</x:v>
      </x:c>
      <x:c r="C1304" s="207" t="str">
        <x:v>MAT-DRAFT-0552</x:v>
      </x:c>
      <x:c r="D1304" s="207" t="str">
        <x:v>Unlinked</x:v>
      </x:c>
      <x:c r="E1304" s="207" t="str">
        <x:v>1 строк; 15000.00 руб.; 4-057</x:v>
      </x:c>
      <x:c r="F1304" s="207" t="str">
        <x:v>Подтвердить карточку, UOM, состав, цвет, поставщика и правила объединения</x:v>
      </x:c>
      <x:c r="G1304" s="207" t="str">
        <x:v>Закупки + склад</x:v>
      </x:c>
      <x:c r="H1304" s="207" t="str">
        <x:v>Высокий</x:v>
      </x:c>
      <x:c r="I1304" s="207" t="str">
        <x:v>Material aging; BOM; procurement; actual usage</x:v>
      </x:c>
      <x:c r="J1304" s="207" t="str">
        <x:v>Остатки ткани 31.05.2026</x:v>
      </x:c>
      <x:c r="K1304" s="207" t="str"/>
      <x:c r="L1304" s="207" t="str"/>
      <x:c r="M1304" s="207" t="str">
        <x:v>Не рассмотрено</x:v>
      </x:c>
      <x:c r="N1304" s="207" t="str"/>
      <x:c r="O1304" s="207" t="str">
        <x:v>17</x:v>
      </x:c>
      <x:c r="P1304" s="207" t="n">
        <x:v>3</x:v>
      </x:c>
      <x:c r="Q1304" s="208" t="str">
        <x:v>Wave 2 (31–60 дней)</x:v>
      </x:c>
    </x:row>
    <x:row r="1305">
      <x:c r="A1305" s="206" t="str">
        <x:v>DEC-01301</x:v>
      </x:c>
      <x:c r="B1305" s="207" t="str">
        <x:v>Material master</x:v>
      </x:c>
      <x:c r="C1305" s="207" t="str">
        <x:v>MAT-DRAFT-0553</x:v>
      </x:c>
      <x:c r="D1305" s="207" t="str">
        <x:v>Unlinked</x:v>
      </x:c>
      <x:c r="E1305" s="207" t="str">
        <x:v>1 строк; 19252.80 руб.; 4-053</x:v>
      </x:c>
      <x:c r="F1305" s="207" t="str">
        <x:v>Подтвердить карточку, UOM, состав, цвет, поставщика и правила объединения</x:v>
      </x:c>
      <x:c r="G1305" s="207" t="str">
        <x:v>Закупки + склад</x:v>
      </x:c>
      <x:c r="H1305" s="207" t="str">
        <x:v>Высокий</x:v>
      </x:c>
      <x:c r="I1305" s="207" t="str">
        <x:v>Material aging; BOM; procurement; actual usage</x:v>
      </x:c>
      <x:c r="J1305" s="207" t="str">
        <x:v>Остатки ткани 31.05.2026</x:v>
      </x:c>
      <x:c r="K1305" s="207" t="str"/>
      <x:c r="L1305" s="207" t="str"/>
      <x:c r="M1305" s="207" t="str">
        <x:v>Не рассмотрено</x:v>
      </x:c>
      <x:c r="N1305" s="207" t="str"/>
      <x:c r="O1305" s="207" t="str">
        <x:v>17</x:v>
      </x:c>
      <x:c r="P1305" s="207" t="n">
        <x:v>3</x:v>
      </x:c>
      <x:c r="Q1305" s="208" t="str">
        <x:v>Wave 2 (31–60 дней)</x:v>
      </x:c>
    </x:row>
    <x:row r="1306">
      <x:c r="A1306" s="206" t="str">
        <x:v>DEC-01302</x:v>
      </x:c>
      <x:c r="B1306" s="207" t="str">
        <x:v>Material master</x:v>
      </x:c>
      <x:c r="C1306" s="207" t="str">
        <x:v>MAT-DRAFT-0555</x:v>
      </x:c>
      <x:c r="D1306" s="207" t="str">
        <x:v>Unlinked</x:v>
      </x:c>
      <x:c r="E1306" s="207" t="str">
        <x:v>1 строк; 11250.00 руб.; 4-050</x:v>
      </x:c>
      <x:c r="F1306" s="207" t="str">
        <x:v>Подтвердить карточку, UOM, состав, цвет, поставщика и правила объединения</x:v>
      </x:c>
      <x:c r="G1306" s="207" t="str">
        <x:v>Закупки + склад</x:v>
      </x:c>
      <x:c r="H1306" s="207" t="str">
        <x:v>Высокий</x:v>
      </x:c>
      <x:c r="I1306" s="207" t="str">
        <x:v>Material aging; BOM; procurement; actual usage</x:v>
      </x:c>
      <x:c r="J1306" s="207" t="str">
        <x:v>Остатки ткани 31.05.2026</x:v>
      </x:c>
      <x:c r="K1306" s="207" t="str"/>
      <x:c r="L1306" s="207" t="str"/>
      <x:c r="M1306" s="207" t="str">
        <x:v>Не рассмотрено</x:v>
      </x:c>
      <x:c r="N1306" s="207" t="str"/>
      <x:c r="O1306" s="207" t="str">
        <x:v>17</x:v>
      </x:c>
      <x:c r="P1306" s="207" t="n">
        <x:v>3</x:v>
      </x:c>
      <x:c r="Q1306" s="208" t="str">
        <x:v>Wave 2 (31–60 дней)</x:v>
      </x:c>
    </x:row>
    <x:row r="1307">
      <x:c r="A1307" s="206" t="str">
        <x:v>DEC-01303</x:v>
      </x:c>
      <x:c r="B1307" s="207" t="str">
        <x:v>Material master</x:v>
      </x:c>
      <x:c r="C1307" s="207" t="str">
        <x:v>MAT-DRAFT-0556</x:v>
      </x:c>
      <x:c r="D1307" s="207" t="str">
        <x:v>Unlinked</x:v>
      </x:c>
      <x:c r="E1307" s="207" t="str">
        <x:v>2 строк; 30000.00 руб.; 4-051</x:v>
      </x:c>
      <x:c r="F1307" s="207" t="str">
        <x:v>Подтвердить карточку, UOM, состав, цвет, поставщика и правила объединения</x:v>
      </x:c>
      <x:c r="G1307" s="207" t="str">
        <x:v>Закупки + склад</x:v>
      </x:c>
      <x:c r="H1307" s="207" t="str">
        <x:v>Высокий</x:v>
      </x:c>
      <x:c r="I1307" s="207" t="str">
        <x:v>Material aging; BOM; procurement; actual usage</x:v>
      </x:c>
      <x:c r="J1307" s="207" t="str">
        <x:v>Остатки ткани 31.05.2026</x:v>
      </x:c>
      <x:c r="K1307" s="207" t="str"/>
      <x:c r="L1307" s="207" t="str"/>
      <x:c r="M1307" s="207" t="str">
        <x:v>Не рассмотрено</x:v>
      </x:c>
      <x:c r="N1307" s="207" t="str"/>
      <x:c r="O1307" s="207" t="str">
        <x:v>17</x:v>
      </x:c>
      <x:c r="P1307" s="207" t="n">
        <x:v>3</x:v>
      </x:c>
      <x:c r="Q1307" s="208" t="str">
        <x:v>Wave 2 (31–60 дней)</x:v>
      </x:c>
    </x:row>
    <x:row r="1308">
      <x:c r="A1308" s="206" t="str">
        <x:v>DEC-01304</x:v>
      </x:c>
      <x:c r="B1308" s="207" t="str">
        <x:v>Material master</x:v>
      </x:c>
      <x:c r="C1308" s="207" t="str">
        <x:v>MAT-DRAFT-0557</x:v>
      </x:c>
      <x:c r="D1308" s="207" t="str">
        <x:v>Unlinked</x:v>
      </x:c>
      <x:c r="E1308" s="207" t="str">
        <x:v>1 строк; 11001.60 руб.; 4-052</x:v>
      </x:c>
      <x:c r="F1308" s="207" t="str">
        <x:v>Подтвердить карточку, UOM, состав, цвет, поставщика и правила объединения</x:v>
      </x:c>
      <x:c r="G1308" s="207" t="str">
        <x:v>Закупки + склад</x:v>
      </x:c>
      <x:c r="H1308" s="207" t="str">
        <x:v>Высокий</x:v>
      </x:c>
      <x:c r="I1308" s="207" t="str">
        <x:v>Material aging; BOM; procurement; actual usage</x:v>
      </x:c>
      <x:c r="J1308" s="207" t="str">
        <x:v>Остатки ткани 31.05.2026</x:v>
      </x:c>
      <x:c r="K1308" s="207" t="str"/>
      <x:c r="L1308" s="207" t="str"/>
      <x:c r="M1308" s="207" t="str">
        <x:v>Не рассмотрено</x:v>
      </x:c>
      <x:c r="N1308" s="207" t="str"/>
      <x:c r="O1308" s="207" t="str">
        <x:v>17</x:v>
      </x:c>
      <x:c r="P1308" s="207" t="n">
        <x:v>3</x:v>
      </x:c>
      <x:c r="Q1308" s="208" t="str">
        <x:v>Wave 2 (31–60 дней)</x:v>
      </x:c>
    </x:row>
    <x:row r="1309">
      <x:c r="A1309" s="206" t="str">
        <x:v>DEC-01305</x:v>
      </x:c>
      <x:c r="B1309" s="207" t="str">
        <x:v>Material master</x:v>
      </x:c>
      <x:c r="C1309" s="207" t="str">
        <x:v>MAT-DRAFT-0560</x:v>
      </x:c>
      <x:c r="D1309" s="207" t="str">
        <x:v>Unlinked</x:v>
      </x:c>
      <x:c r="E1309" s="207" t="str">
        <x:v>1 строк; 15000.00 руб.; 4-058</x:v>
      </x:c>
      <x:c r="F1309" s="207" t="str">
        <x:v>Подтвердить карточку, UOM, состав, цвет, поставщика и правила объединения</x:v>
      </x:c>
      <x:c r="G1309" s="207" t="str">
        <x:v>Закупки + склад</x:v>
      </x:c>
      <x:c r="H1309" s="207" t="str">
        <x:v>Высокий</x:v>
      </x:c>
      <x:c r="I1309" s="207" t="str">
        <x:v>Material aging; BOM; procurement; actual usage</x:v>
      </x:c>
      <x:c r="J1309" s="207" t="str">
        <x:v>Остатки ткани 31.05.2026</x:v>
      </x:c>
      <x:c r="K1309" s="207" t="str"/>
      <x:c r="L1309" s="207" t="str"/>
      <x:c r="M1309" s="207" t="str">
        <x:v>Не рассмотрено</x:v>
      </x:c>
      <x:c r="N1309" s="207" t="str"/>
      <x:c r="O1309" s="207" t="str">
        <x:v>17</x:v>
      </x:c>
      <x:c r="P1309" s="207" t="n">
        <x:v>3</x:v>
      </x:c>
      <x:c r="Q1309" s="208" t="str">
        <x:v>Wave 2 (31–60 дней)</x:v>
      </x:c>
    </x:row>
    <x:row r="1310">
      <x:c r="A1310" s="206" t="str">
        <x:v>DEC-01306</x:v>
      </x:c>
      <x:c r="B1310" s="207" t="str">
        <x:v>Material master</x:v>
      </x:c>
      <x:c r="C1310" s="207" t="str">
        <x:v>MAT-DRAFT-0562</x:v>
      </x:c>
      <x:c r="D1310" s="207" t="str">
        <x:v>Unlinked</x:v>
      </x:c>
      <x:c r="E1310" s="207" t="str">
        <x:v>1 строк; 19140.00 руб.; 1-013</x:v>
      </x:c>
      <x:c r="F1310" s="207" t="str">
        <x:v>Подтвердить карточку, UOM, состав, цвет, поставщика и правила объединения</x:v>
      </x:c>
      <x:c r="G1310" s="207" t="str">
        <x:v>Закупки + склад</x:v>
      </x:c>
      <x:c r="H1310" s="207" t="str">
        <x:v>Высокий</x:v>
      </x:c>
      <x:c r="I1310" s="207" t="str">
        <x:v>Material aging; BOM; procurement; actual usage</x:v>
      </x:c>
      <x:c r="J1310" s="207" t="str">
        <x:v>Остатки ткани 31.05.2026</x:v>
      </x:c>
      <x:c r="K1310" s="207" t="str"/>
      <x:c r="L1310" s="207" t="str"/>
      <x:c r="M1310" s="207" t="str">
        <x:v>Не рассмотрено</x:v>
      </x:c>
      <x:c r="N1310" s="207" t="str"/>
      <x:c r="O1310" s="207" t="str">
        <x:v>17</x:v>
      </x:c>
      <x:c r="P1310" s="207" t="n">
        <x:v>3</x:v>
      </x:c>
      <x:c r="Q1310" s="208" t="str">
        <x:v>Wave 2 (31–60 дней)</x:v>
      </x:c>
    </x:row>
    <x:row r="1311">
      <x:c r="A1311" s="206" t="str">
        <x:v>DEC-01307</x:v>
      </x:c>
      <x:c r="B1311" s="207" t="str">
        <x:v>Material master</x:v>
      </x:c>
      <x:c r="C1311" s="207" t="str">
        <x:v>MAT-DRAFT-0563</x:v>
      </x:c>
      <x:c r="D1311" s="207" t="str">
        <x:v>Несколько кодов; Несколько исходных наименований</x:v>
      </x:c>
      <x:c r="E1311" s="207" t="str">
        <x:v>4 строк; 73260.00 руб.; 1-008; 1-009; 1-023</x:v>
      </x:c>
      <x:c r="F1311" s="207" t="str">
        <x:v>Подтвердить карточку, UOM, состав, цвет, поставщика и правила объединения</x:v>
      </x:c>
      <x:c r="G1311" s="207" t="str">
        <x:v>Закупки + склад</x:v>
      </x:c>
      <x:c r="H1311" s="207" t="str">
        <x:v>Высокий</x:v>
      </x:c>
      <x:c r="I1311" s="207" t="str">
        <x:v>Material aging; BOM; procurement; actual usage</x:v>
      </x:c>
      <x:c r="J1311" s="207" t="str">
        <x:v>Остатки ткани 31.05.2026</x:v>
      </x:c>
      <x:c r="K1311" s="207" t="str"/>
      <x:c r="L1311" s="207" t="str"/>
      <x:c r="M1311" s="207" t="str">
        <x:v>Не рассмотрено</x:v>
      </x:c>
      <x:c r="N1311" s="207" t="str"/>
      <x:c r="O1311" s="207" t="str">
        <x:v>17</x:v>
      </x:c>
      <x:c r="P1311" s="207" t="n">
        <x:v>3</x:v>
      </x:c>
      <x:c r="Q1311" s="208" t="str">
        <x:v>Wave 2 (31–60 дней)</x:v>
      </x:c>
    </x:row>
    <x:row r="1312">
      <x:c r="A1312" s="206" t="str">
        <x:v>DEC-01308</x:v>
      </x:c>
      <x:c r="B1312" s="207" t="str">
        <x:v>Material master</x:v>
      </x:c>
      <x:c r="C1312" s="207" t="str">
        <x:v>MAT-DRAFT-0564</x:v>
      </x:c>
      <x:c r="D1312" s="207" t="str">
        <x:v>Несколько кодов; Несколько исходных наименований</x:v>
      </x:c>
      <x:c r="E1312" s="207" t="str">
        <x:v>3 строк; 29480.00 руб.; 1-002; 1-003; 1-005</x:v>
      </x:c>
      <x:c r="F1312" s="207" t="str">
        <x:v>Подтвердить карточку, UOM, состав, цвет, поставщика и правила объединения</x:v>
      </x:c>
      <x:c r="G1312" s="207" t="str">
        <x:v>Закупки + склад</x:v>
      </x:c>
      <x:c r="H1312" s="207" t="str">
        <x:v>Высокий</x:v>
      </x:c>
      <x:c r="I1312" s="207" t="str">
        <x:v>Material aging; BOM; procurement; actual usage</x:v>
      </x:c>
      <x:c r="J1312" s="207" t="str">
        <x:v>Остатки ткани 31.05.2026</x:v>
      </x:c>
      <x:c r="K1312" s="207" t="str"/>
      <x:c r="L1312" s="207" t="str"/>
      <x:c r="M1312" s="207" t="str">
        <x:v>Не рассмотрено</x:v>
      </x:c>
      <x:c r="N1312" s="207" t="str"/>
      <x:c r="O1312" s="207" t="str">
        <x:v>17</x:v>
      </x:c>
      <x:c r="P1312" s="207" t="n">
        <x:v>3</x:v>
      </x:c>
      <x:c r="Q1312" s="208" t="str">
        <x:v>Wave 2 (31–60 дней)</x:v>
      </x:c>
    </x:row>
    <x:row r="1313">
      <x:c r="A1313" s="206" t="str">
        <x:v>DEC-01309</x:v>
      </x:c>
      <x:c r="B1313" s="207" t="str">
        <x:v>Material master</x:v>
      </x:c>
      <x:c r="C1313" s="207" t="str">
        <x:v>MAT-DRAFT-0566</x:v>
      </x:c>
      <x:c r="D1313" s="207" t="str">
        <x:v>Unlinked</x:v>
      </x:c>
      <x:c r="E1313" s="207" t="str">
        <x:v>1 строк; 12000.00 руб.; 1-A-002</x:v>
      </x:c>
      <x:c r="F1313" s="207" t="str">
        <x:v>Подтвердить карточку, UOM, состав, цвет, поставщика и правила объединения</x:v>
      </x:c>
      <x:c r="G1313" s="207" t="str">
        <x:v>Закупки + склад</x:v>
      </x:c>
      <x:c r="H1313" s="207" t="str">
        <x:v>Высокий</x:v>
      </x:c>
      <x:c r="I1313" s="207" t="str">
        <x:v>Material aging; BOM; procurement; actual usage</x:v>
      </x:c>
      <x:c r="J1313" s="207" t="str">
        <x:v>Остатки ткани 31.05.2026</x:v>
      </x:c>
      <x:c r="K1313" s="207" t="str"/>
      <x:c r="L1313" s="207" t="str"/>
      <x:c r="M1313" s="207" t="str">
        <x:v>Не рассмотрено</x:v>
      </x:c>
      <x:c r="N1313" s="207" t="str"/>
      <x:c r="O1313" s="207" t="str">
        <x:v>17</x:v>
      </x:c>
      <x:c r="P1313" s="207" t="n">
        <x:v>3</x:v>
      </x:c>
      <x:c r="Q1313" s="208" t="str">
        <x:v>Wave 2 (31–60 дней)</x:v>
      </x:c>
    </x:row>
    <x:row r="1314">
      <x:c r="A1314" s="206" t="str">
        <x:v>DEC-01310</x:v>
      </x:c>
      <x:c r="B1314" s="207" t="str">
        <x:v>Material master</x:v>
      </x:c>
      <x:c r="C1314" s="207" t="str">
        <x:v>MAT-DRAFT-0567</x:v>
      </x:c>
      <x:c r="D1314" s="207" t="str">
        <x:v>Unlinked</x:v>
      </x:c>
      <x:c r="E1314" s="207" t="str">
        <x:v>1 строк; 3000.00 руб.; 1-A-001</x:v>
      </x:c>
      <x:c r="F1314" s="207" t="str">
        <x:v>Подтвердить карточку, UOM, состав, цвет, поставщика и правила объединения</x:v>
      </x:c>
      <x:c r="G1314" s="207" t="str">
        <x:v>Закупки + склад</x:v>
      </x:c>
      <x:c r="H1314" s="207" t="str">
        <x:v>Средний</x:v>
      </x:c>
      <x:c r="I1314" s="207" t="str">
        <x:v>Material aging; BOM; procurement; actual usage</x:v>
      </x:c>
      <x:c r="J1314" s="207" t="str">
        <x:v>Остатки ткани 31.05.2026</x:v>
      </x:c>
      <x:c r="K1314" s="207" t="str"/>
      <x:c r="L1314" s="207" t="str"/>
      <x:c r="M1314" s="207" t="str">
        <x:v>Не рассмотрено</x:v>
      </x:c>
      <x:c r="N1314" s="207" t="str"/>
      <x:c r="O1314" s="207" t="str">
        <x:v>17</x:v>
      </x:c>
      <x:c r="P1314" s="207" t="n">
        <x:v>2</x:v>
      </x:c>
      <x:c r="Q1314" s="208" t="str">
        <x:v>Wave 3 (61–90 дней)</x:v>
      </x:c>
    </x:row>
    <x:row r="1315">
      <x:c r="A1315" s="206" t="str">
        <x:v>DEC-01311</x:v>
      </x:c>
      <x:c r="B1315" s="207" t="str">
        <x:v>Material master</x:v>
      </x:c>
      <x:c r="C1315" s="207" t="str">
        <x:v>MAT-DRAFT-0568</x:v>
      </x:c>
      <x:c r="D1315" s="207" t="str">
        <x:v>Unlinked</x:v>
      </x:c>
      <x:c r="E1315" s="207" t="str">
        <x:v>1 строк; 450.00 руб.; 1A-003</x:v>
      </x:c>
      <x:c r="F1315" s="207" t="str">
        <x:v>Подтвердить карточку, UOM, состав, цвет, поставщика и правила объединения</x:v>
      </x:c>
      <x:c r="G1315" s="207" t="str">
        <x:v>Закупки + склад</x:v>
      </x:c>
      <x:c r="H1315" s="207" t="str">
        <x:v>Средний</x:v>
      </x:c>
      <x:c r="I1315" s="207" t="str">
        <x:v>Material aging; BOM; procurement; actual usage</x:v>
      </x:c>
      <x:c r="J1315" s="207" t="str">
        <x:v>Остатки ткани 31.05.2026</x:v>
      </x:c>
      <x:c r="K1315" s="207" t="str"/>
      <x:c r="L1315" s="207" t="str"/>
      <x:c r="M1315" s="207" t="str">
        <x:v>Не рассмотрено</x:v>
      </x:c>
      <x:c r="N1315" s="207" t="str"/>
      <x:c r="O1315" s="207" t="str">
        <x:v>17</x:v>
      </x:c>
      <x:c r="P1315" s="207" t="n">
        <x:v>2</x:v>
      </x:c>
      <x:c r="Q1315" s="208" t="str">
        <x:v>Wave 3 (61–90 дней)</x:v>
      </x:c>
    </x:row>
    <x:row r="1316">
      <x:c r="A1316" s="206" t="str">
        <x:v>DEC-01312</x:v>
      </x:c>
      <x:c r="B1316" s="207" t="str">
        <x:v>Material master</x:v>
      </x:c>
      <x:c r="C1316" s="207" t="str">
        <x:v>MAT-DRAFT-0569</x:v>
      </x:c>
      <x:c r="D1316" s="207" t="str">
        <x:v>Unlinked</x:v>
      </x:c>
      <x:c r="E1316" s="207" t="str">
        <x:v>1 строк; 10340.00 руб.; 1-004</x:v>
      </x:c>
      <x:c r="F1316" s="207" t="str">
        <x:v>Подтвердить карточку, UOM, состав, цвет, поставщика и правила объединения</x:v>
      </x:c>
      <x:c r="G1316" s="207" t="str">
        <x:v>Закупки + склад</x:v>
      </x:c>
      <x:c r="H1316" s="207" t="str">
        <x:v>Высокий</x:v>
      </x:c>
      <x:c r="I1316" s="207" t="str">
        <x:v>Material aging; BOM; procurement; actual usage</x:v>
      </x:c>
      <x:c r="J1316" s="207" t="str">
        <x:v>Остатки ткани 31.05.2026</x:v>
      </x:c>
      <x:c r="K1316" s="207" t="str"/>
      <x:c r="L1316" s="207" t="str"/>
      <x:c r="M1316" s="207" t="str">
        <x:v>Не рассмотрено</x:v>
      </x:c>
      <x:c r="N1316" s="207" t="str"/>
      <x:c r="O1316" s="207" t="str">
        <x:v>17</x:v>
      </x:c>
      <x:c r="P1316" s="207" t="n">
        <x:v>3</x:v>
      </x:c>
      <x:c r="Q1316" s="208" t="str">
        <x:v>Wave 2 (31–60 дней)</x:v>
      </x:c>
    </x:row>
    <x:row r="1317">
      <x:c r="A1317" s="206" t="str">
        <x:v>DEC-01313</x:v>
      </x:c>
      <x:c r="B1317" s="207" t="str">
        <x:v>Material master</x:v>
      </x:c>
      <x:c r="C1317" s="207" t="str">
        <x:v>MAT-DRAFT-0570</x:v>
      </x:c>
      <x:c r="D1317" s="207" t="str">
        <x:v>Unlinked</x:v>
      </x:c>
      <x:c r="E1317" s="207" t="str">
        <x:v>1 строк; 20900.00 руб.; 1-006</x:v>
      </x:c>
      <x:c r="F1317" s="207" t="str">
        <x:v>Подтвердить карточку, UOM, состав, цвет, поставщика и правила объединения</x:v>
      </x:c>
      <x:c r="G1317" s="207" t="str">
        <x:v>Закупки + склад</x:v>
      </x:c>
      <x:c r="H1317" s="207" t="str">
        <x:v>Высокий</x:v>
      </x:c>
      <x:c r="I1317" s="207" t="str">
        <x:v>Material aging; BOM; procurement; actual usage</x:v>
      </x:c>
      <x:c r="J1317" s="207" t="str">
        <x:v>Остатки ткани 31.05.2026</x:v>
      </x:c>
      <x:c r="K1317" s="207" t="str"/>
      <x:c r="L1317" s="207" t="str"/>
      <x:c r="M1317" s="207" t="str">
        <x:v>Не рассмотрено</x:v>
      </x:c>
      <x:c r="N1317" s="207" t="str"/>
      <x:c r="O1317" s="207" t="str">
        <x:v>17</x:v>
      </x:c>
      <x:c r="P1317" s="207" t="n">
        <x:v>3</x:v>
      </x:c>
      <x:c r="Q1317" s="208" t="str">
        <x:v>Wave 2 (31–60 дней)</x:v>
      </x:c>
    </x:row>
    <x:row r="1318">
      <x:c r="A1318" s="206" t="str">
        <x:v>DEC-01314</x:v>
      </x:c>
      <x:c r="B1318" s="207" t="str">
        <x:v>Material master</x:v>
      </x:c>
      <x:c r="C1318" s="207" t="str">
        <x:v>MAT-DRAFT-0571</x:v>
      </x:c>
      <x:c r="D1318" s="207" t="str">
        <x:v>Несколько кодов; Несколько исходных наименований</x:v>
      </x:c>
      <x:c r="E1318" s="207" t="str">
        <x:v>3 строк; 84700.00 руб.; 1-020; 1-029</x:v>
      </x:c>
      <x:c r="F1318" s="207" t="str">
        <x:v>Подтвердить карточку, UOM, состав, цвет, поставщика и правила объединения</x:v>
      </x:c>
      <x:c r="G1318" s="207" t="str">
        <x:v>Закупки + склад</x:v>
      </x:c>
      <x:c r="H1318" s="207" t="str">
        <x:v>Высокий</x:v>
      </x:c>
      <x:c r="I1318" s="207" t="str">
        <x:v>Material aging; BOM; procurement; actual usage</x:v>
      </x:c>
      <x:c r="J1318" s="207" t="str">
        <x:v>Остатки ткани 31.05.2026</x:v>
      </x:c>
      <x:c r="K1318" s="207" t="str"/>
      <x:c r="L1318" s="207" t="str"/>
      <x:c r="M1318" s="207" t="str">
        <x:v>Не рассмотрено</x:v>
      </x:c>
      <x:c r="N1318" s="207" t="str"/>
      <x:c r="O1318" s="207" t="str">
        <x:v>17</x:v>
      </x:c>
      <x:c r="P1318" s="207" t="n">
        <x:v>3</x:v>
      </x:c>
      <x:c r="Q1318" s="208" t="str">
        <x:v>Wave 2 (31–60 дней)</x:v>
      </x:c>
    </x:row>
    <x:row r="1319">
      <x:c r="A1319" s="206" t="str">
        <x:v>DEC-01315</x:v>
      </x:c>
      <x:c r="B1319" s="207" t="str">
        <x:v>Material master</x:v>
      </x:c>
      <x:c r="C1319" s="207" t="str">
        <x:v>MAT-DRAFT-0574</x:v>
      </x:c>
      <x:c r="D1319" s="207" t="str">
        <x:v>Unlinked</x:v>
      </x:c>
      <x:c r="E1319" s="207" t="str">
        <x:v>1 строк; 18260.00 руб.; 1-015</x:v>
      </x:c>
      <x:c r="F1319" s="207" t="str">
        <x:v>Подтвердить карточку, UOM, состав, цвет, поставщика и правила объединения</x:v>
      </x:c>
      <x:c r="G1319" s="207" t="str">
        <x:v>Закупки + склад</x:v>
      </x:c>
      <x:c r="H1319" s="207" t="str">
        <x:v>Высокий</x:v>
      </x:c>
      <x:c r="I1319" s="207" t="str">
        <x:v>Material aging; BOM; procurement; actual usage</x:v>
      </x:c>
      <x:c r="J1319" s="207" t="str">
        <x:v>Остатки ткани 31.05.2026</x:v>
      </x:c>
      <x:c r="K1319" s="207" t="str"/>
      <x:c r="L1319" s="207" t="str"/>
      <x:c r="M1319" s="207" t="str">
        <x:v>Не рассмотрено</x:v>
      </x:c>
      <x:c r="N1319" s="207" t="str"/>
      <x:c r="O1319" s="207" t="str">
        <x:v>17</x:v>
      </x:c>
      <x:c r="P1319" s="207" t="n">
        <x:v>3</x:v>
      </x:c>
      <x:c r="Q1319" s="208" t="str">
        <x:v>Wave 2 (31–60 дней)</x:v>
      </x:c>
    </x:row>
    <x:row r="1320">
      <x:c r="A1320" s="206" t="str">
        <x:v>DEC-01316</x:v>
      </x:c>
      <x:c r="B1320" s="207" t="str">
        <x:v>Material master</x:v>
      </x:c>
      <x:c r="C1320" s="207" t="str">
        <x:v>MAT-DRAFT-0575</x:v>
      </x:c>
      <x:c r="D1320" s="207" t="str">
        <x:v>Unlinked</x:v>
      </x:c>
      <x:c r="E1320" s="207" t="str">
        <x:v>1 строк; 23430.00 руб.; 1-022</x:v>
      </x:c>
      <x:c r="F1320" s="207" t="str">
        <x:v>Подтвердить карточку, UOM, состав, цвет, поставщика и правила объединения</x:v>
      </x:c>
      <x:c r="G1320" s="207" t="str">
        <x:v>Закупки + склад</x:v>
      </x:c>
      <x:c r="H1320" s="207" t="str">
        <x:v>Высокий</x:v>
      </x:c>
      <x:c r="I1320" s="207" t="str">
        <x:v>Material aging; BOM; procurement; actual usage</x:v>
      </x:c>
      <x:c r="J1320" s="207" t="str">
        <x:v>Остатки ткани 31.05.2026</x:v>
      </x:c>
      <x:c r="K1320" s="207" t="str"/>
      <x:c r="L1320" s="207" t="str"/>
      <x:c r="M1320" s="207" t="str">
        <x:v>Не рассмотрено</x:v>
      </x:c>
      <x:c r="N1320" s="207" t="str"/>
      <x:c r="O1320" s="207" t="str">
        <x:v>17</x:v>
      </x:c>
      <x:c r="P1320" s="207" t="n">
        <x:v>3</x:v>
      </x:c>
      <x:c r="Q1320" s="208" t="str">
        <x:v>Wave 2 (31–60 дней)</x:v>
      </x:c>
    </x:row>
    <x:row r="1321">
      <x:c r="A1321" s="206" t="str">
        <x:v>DEC-01317</x:v>
      </x:c>
      <x:c r="B1321" s="207" t="str">
        <x:v>Material master</x:v>
      </x:c>
      <x:c r="C1321" s="207" t="str">
        <x:v>MAT-DRAFT-0576</x:v>
      </x:c>
      <x:c r="D1321" s="207" t="str">
        <x:v>Несколько кодов; Несколько исходных наименований</x:v>
      </x:c>
      <x:c r="E1321" s="207" t="str">
        <x:v>2 строк; 66220.00 руб.; 1-024; 1-036</x:v>
      </x:c>
      <x:c r="F1321" s="207" t="str">
        <x:v>Подтвердить карточку, UOM, состав, цвет, поставщика и правила объединения</x:v>
      </x:c>
      <x:c r="G1321" s="207" t="str">
        <x:v>Закупки + склад</x:v>
      </x:c>
      <x:c r="H1321" s="207" t="str">
        <x:v>Высокий</x:v>
      </x:c>
      <x:c r="I1321" s="207" t="str">
        <x:v>Material aging; BOM; procurement; actual usage</x:v>
      </x:c>
      <x:c r="J1321" s="207" t="str">
        <x:v>Остатки ткани 31.05.2026</x:v>
      </x:c>
      <x:c r="K1321" s="207" t="str"/>
      <x:c r="L1321" s="207" t="str"/>
      <x:c r="M1321" s="207" t="str">
        <x:v>Не рассмотрено</x:v>
      </x:c>
      <x:c r="N1321" s="207" t="str"/>
      <x:c r="O1321" s="207" t="str">
        <x:v>17</x:v>
      </x:c>
      <x:c r="P1321" s="207" t="n">
        <x:v>3</x:v>
      </x:c>
      <x:c r="Q1321" s="208" t="str">
        <x:v>Wave 2 (31–60 дней)</x:v>
      </x:c>
    </x:row>
    <x:row r="1322">
      <x:c r="A1322" s="206" t="str">
        <x:v>DEC-01318</x:v>
      </x:c>
      <x:c r="B1322" s="207" t="str">
        <x:v>Material master</x:v>
      </x:c>
      <x:c r="C1322" s="207" t="str">
        <x:v>MAT-DRAFT-0577</x:v>
      </x:c>
      <x:c r="D1322" s="207" t="str">
        <x:v>Несколько кодов; Несколько исходных наименований</x:v>
      </x:c>
      <x:c r="E1322" s="207" t="str">
        <x:v>3 строк; 52360.00 руб.; 1-019; 1-028</x:v>
      </x:c>
      <x:c r="F1322" s="207" t="str">
        <x:v>Подтвердить карточку, UOM, состав, цвет, поставщика и правила объединения</x:v>
      </x:c>
      <x:c r="G1322" s="207" t="str">
        <x:v>Закупки + склад</x:v>
      </x:c>
      <x:c r="H1322" s="207" t="str">
        <x:v>Высокий</x:v>
      </x:c>
      <x:c r="I1322" s="207" t="str">
        <x:v>Material aging; BOM; procurement; actual usage</x:v>
      </x:c>
      <x:c r="J1322" s="207" t="str">
        <x:v>Остатки ткани 31.05.2026</x:v>
      </x:c>
      <x:c r="K1322" s="207" t="str"/>
      <x:c r="L1322" s="207" t="str"/>
      <x:c r="M1322" s="207" t="str">
        <x:v>Не рассмотрено</x:v>
      </x:c>
      <x:c r="N1322" s="207" t="str"/>
      <x:c r="O1322" s="207" t="str">
        <x:v>17</x:v>
      </x:c>
      <x:c r="P1322" s="207" t="n">
        <x:v>3</x:v>
      </x:c>
      <x:c r="Q1322" s="208" t="str">
        <x:v>Wave 2 (31–60 дней)</x:v>
      </x:c>
    </x:row>
    <x:row r="1323">
      <x:c r="A1323" s="206" t="str">
        <x:v>DEC-01319</x:v>
      </x:c>
      <x:c r="B1323" s="207" t="str">
        <x:v>Material master</x:v>
      </x:c>
      <x:c r="C1323" s="207" t="str">
        <x:v>MAT-DRAFT-0578</x:v>
      </x:c>
      <x:c r="D1323" s="207" t="str">
        <x:v>Unlinked</x:v>
      </x:c>
      <x:c r="E1323" s="207" t="str">
        <x:v>1 строк; 7260.00 руб.; 1-O-005</x:v>
      </x:c>
      <x:c r="F1323" s="207" t="str">
        <x:v>Подтвердить карточку, UOM, состав, цвет, поставщика и правила объединения</x:v>
      </x:c>
      <x:c r="G1323" s="207" t="str">
        <x:v>Закупки + склад</x:v>
      </x:c>
      <x:c r="H1323" s="207" t="str">
        <x:v>Средний</x:v>
      </x:c>
      <x:c r="I1323" s="207" t="str">
        <x:v>Material aging; BOM; procurement; actual usage</x:v>
      </x:c>
      <x:c r="J1323" s="207" t="str">
        <x:v>Остатки ткани 31.05.2026</x:v>
      </x:c>
      <x:c r="K1323" s="207" t="str"/>
      <x:c r="L1323" s="207" t="str"/>
      <x:c r="M1323" s="207" t="str">
        <x:v>Не рассмотрено</x:v>
      </x:c>
      <x:c r="N1323" s="207" t="str"/>
      <x:c r="O1323" s="207" t="str">
        <x:v>17</x:v>
      </x:c>
      <x:c r="P1323" s="207" t="n">
        <x:v>2</x:v>
      </x:c>
      <x:c r="Q1323" s="208" t="str">
        <x:v>Wave 3 (61–90 дней)</x:v>
      </x:c>
    </x:row>
    <x:row r="1324">
      <x:c r="A1324" s="206" t="str">
        <x:v>DEC-01320</x:v>
      </x:c>
      <x:c r="B1324" s="207" t="str">
        <x:v>Material master</x:v>
      </x:c>
      <x:c r="C1324" s="207" t="str">
        <x:v>MAT-DRAFT-0579</x:v>
      </x:c>
      <x:c r="D1324" s="207" t="str">
        <x:v>Unlinked</x:v>
      </x:c>
      <x:c r="E1324" s="207" t="str">
        <x:v>1 строк; 92400.00 руб.; 1-034</x:v>
      </x:c>
      <x:c r="F1324" s="207" t="str">
        <x:v>Подтвердить карточку, UOM, состав, цвет, поставщика и правила объединения</x:v>
      </x:c>
      <x:c r="G1324" s="207" t="str">
        <x:v>Закупки + склад</x:v>
      </x:c>
      <x:c r="H1324" s="207" t="str">
        <x:v>Высокий</x:v>
      </x:c>
      <x:c r="I1324" s="207" t="str">
        <x:v>Material aging; BOM; procurement; actual usage</x:v>
      </x:c>
      <x:c r="J1324" s="207" t="str">
        <x:v>Остатки ткани 31.05.2026</x:v>
      </x:c>
      <x:c r="K1324" s="207" t="str"/>
      <x:c r="L1324" s="207" t="str"/>
      <x:c r="M1324" s="207" t="str">
        <x:v>Не рассмотрено</x:v>
      </x:c>
      <x:c r="N1324" s="207" t="str"/>
      <x:c r="O1324" s="207" t="str">
        <x:v>17</x:v>
      </x:c>
      <x:c r="P1324" s="207" t="n">
        <x:v>3</x:v>
      </x:c>
      <x:c r="Q1324" s="208" t="str">
        <x:v>Wave 2 (31–60 дней)</x:v>
      </x:c>
    </x:row>
    <x:row r="1325">
      <x:c r="A1325" s="206" t="str">
        <x:v>DEC-01321</x:v>
      </x:c>
      <x:c r="B1325" s="207" t="str">
        <x:v>Material master</x:v>
      </x:c>
      <x:c r="C1325" s="207" t="str">
        <x:v>MAT-DRAFT-0581</x:v>
      </x:c>
      <x:c r="D1325" s="207" t="str">
        <x:v>Unlinked</x:v>
      </x:c>
      <x:c r="E1325" s="207" t="str">
        <x:v>1 строк; 6820.00 руб.; 1-026</x:v>
      </x:c>
      <x:c r="F1325" s="207" t="str">
        <x:v>Подтвердить карточку, UOM, состав, цвет, поставщика и правила объединения</x:v>
      </x:c>
      <x:c r="G1325" s="207" t="str">
        <x:v>Закупки + склад</x:v>
      </x:c>
      <x:c r="H1325" s="207" t="str">
        <x:v>Средний</x:v>
      </x:c>
      <x:c r="I1325" s="207" t="str">
        <x:v>Material aging; BOM; procurement; actual usage</x:v>
      </x:c>
      <x:c r="J1325" s="207" t="str">
        <x:v>Остатки ткани 31.05.2026</x:v>
      </x:c>
      <x:c r="K1325" s="207" t="str"/>
      <x:c r="L1325" s="207" t="str"/>
      <x:c r="M1325" s="207" t="str">
        <x:v>Не рассмотрено</x:v>
      </x:c>
      <x:c r="N1325" s="207" t="str"/>
      <x:c r="O1325" s="207" t="str">
        <x:v>17</x:v>
      </x:c>
      <x:c r="P1325" s="207" t="n">
        <x:v>2</x:v>
      </x:c>
      <x:c r="Q1325" s="208" t="str">
        <x:v>Wave 3 (61–90 дней)</x:v>
      </x:c>
    </x:row>
    <x:row r="1326">
      <x:c r="A1326" s="206" t="str">
        <x:v>DEC-01322</x:v>
      </x:c>
      <x:c r="B1326" s="207" t="str">
        <x:v>Material master</x:v>
      </x:c>
      <x:c r="C1326" s="207" t="str">
        <x:v>MAT-DRAFT-0584</x:v>
      </x:c>
      <x:c r="D1326" s="207" t="str">
        <x:v>Unlinked</x:v>
      </x:c>
      <x:c r="E1326" s="207" t="str">
        <x:v>1 строк; 7260.00 руб.; 1-025</x:v>
      </x:c>
      <x:c r="F1326" s="207" t="str">
        <x:v>Подтвердить карточку, UOM, состав, цвет, поставщика и правила объединения</x:v>
      </x:c>
      <x:c r="G1326" s="207" t="str">
        <x:v>Закупки + склад</x:v>
      </x:c>
      <x:c r="H1326" s="207" t="str">
        <x:v>Средний</x:v>
      </x:c>
      <x:c r="I1326" s="207" t="str">
        <x:v>Material aging; BOM; procurement; actual usage</x:v>
      </x:c>
      <x:c r="J1326" s="207" t="str">
        <x:v>Остатки ткани 31.05.2026</x:v>
      </x:c>
      <x:c r="K1326" s="207" t="str"/>
      <x:c r="L1326" s="207" t="str"/>
      <x:c r="M1326" s="207" t="str">
        <x:v>Не рассмотрено</x:v>
      </x:c>
      <x:c r="N1326" s="207" t="str"/>
      <x:c r="O1326" s="207" t="str">
        <x:v>17</x:v>
      </x:c>
      <x:c r="P1326" s="207" t="n">
        <x:v>2</x:v>
      </x:c>
      <x:c r="Q1326" s="208" t="str">
        <x:v>Wave 3 (61–90 дней)</x:v>
      </x:c>
    </x:row>
    <x:row r="1327">
      <x:c r="A1327" s="206" t="str">
        <x:v>DEC-01323</x:v>
      </x:c>
      <x:c r="B1327" s="207" t="str">
        <x:v>Material master</x:v>
      </x:c>
      <x:c r="C1327" s="207" t="str">
        <x:v>MAT-DRAFT-0585</x:v>
      </x:c>
      <x:c r="D1327" s="207" t="str">
        <x:v>Unlinked</x:v>
      </x:c>
      <x:c r="E1327" s="207" t="str">
        <x:v>1 строк; 32640.00 руб.; 1-038</x:v>
      </x:c>
      <x:c r="F1327" s="207" t="str">
        <x:v>Подтвердить карточку, UOM, состав, цвет, поставщика и правила объединения</x:v>
      </x:c>
      <x:c r="G1327" s="207" t="str">
        <x:v>Закупки + склад</x:v>
      </x:c>
      <x:c r="H1327" s="207" t="str">
        <x:v>Высокий</x:v>
      </x:c>
      <x:c r="I1327" s="207" t="str">
        <x:v>Material aging; BOM; procurement; actual usage</x:v>
      </x:c>
      <x:c r="J1327" s="207" t="str">
        <x:v>Остатки ткани 31.05.2026</x:v>
      </x:c>
      <x:c r="K1327" s="207" t="str"/>
      <x:c r="L1327" s="207" t="str"/>
      <x:c r="M1327" s="207" t="str">
        <x:v>Не рассмотрено</x:v>
      </x:c>
      <x:c r="N1327" s="207" t="str"/>
      <x:c r="O1327" s="207" t="str">
        <x:v>17</x:v>
      </x:c>
      <x:c r="P1327" s="207" t="n">
        <x:v>3</x:v>
      </x:c>
      <x:c r="Q1327" s="208" t="str">
        <x:v>Wave 2 (31–60 дней)</x:v>
      </x:c>
    </x:row>
    <x:row r="1328">
      <x:c r="A1328" s="206" t="str">
        <x:v>DEC-01324</x:v>
      </x:c>
      <x:c r="B1328" s="207" t="str">
        <x:v>Material master</x:v>
      </x:c>
      <x:c r="C1328" s="207" t="str">
        <x:v>MAT-DRAFT-0586</x:v>
      </x:c>
      <x:c r="D1328" s="207" t="str">
        <x:v>Unlinked</x:v>
      </x:c>
      <x:c r="E1328" s="207" t="str">
        <x:v>1 строк; 53900.00 руб.; 1-031</x:v>
      </x:c>
      <x:c r="F1328" s="207" t="str">
        <x:v>Подтвердить карточку, UOM, состав, цвет, поставщика и правила объединения</x:v>
      </x:c>
      <x:c r="G1328" s="207" t="str">
        <x:v>Закупки + склад</x:v>
      </x:c>
      <x:c r="H1328" s="207" t="str">
        <x:v>Высокий</x:v>
      </x:c>
      <x:c r="I1328" s="207" t="str">
        <x:v>Material aging; BOM; procurement; actual usage</x:v>
      </x:c>
      <x:c r="J1328" s="207" t="str">
        <x:v>Остатки ткани 31.05.2026</x:v>
      </x:c>
      <x:c r="K1328" s="207" t="str"/>
      <x:c r="L1328" s="207" t="str"/>
      <x:c r="M1328" s="207" t="str">
        <x:v>Не рассмотрено</x:v>
      </x:c>
      <x:c r="N1328" s="207" t="str"/>
      <x:c r="O1328" s="207" t="str">
        <x:v>17</x:v>
      </x:c>
      <x:c r="P1328" s="207" t="n">
        <x:v>3</x:v>
      </x:c>
      <x:c r="Q1328" s="208" t="str">
        <x:v>Wave 2 (31–60 дней)</x:v>
      </x:c>
    </x:row>
    <x:row r="1329">
      <x:c r="A1329" s="206" t="str">
        <x:v>DEC-01325</x:v>
      </x:c>
      <x:c r="B1329" s="207" t="str">
        <x:v>Material master</x:v>
      </x:c>
      <x:c r="C1329" s="207" t="str">
        <x:v>MAT-DRAFT-0587</x:v>
      </x:c>
      <x:c r="D1329" s="207" t="str">
        <x:v>Unlinked</x:v>
      </x:c>
      <x:c r="E1329" s="207" t="str">
        <x:v>1 строк; 20020.00 руб.; 8A-004</x:v>
      </x:c>
      <x:c r="F1329" s="207" t="str">
        <x:v>Подтвердить карточку, UOM, состав, цвет, поставщика и правила объединения</x:v>
      </x:c>
      <x:c r="G1329" s="207" t="str">
        <x:v>Закупки + склад</x:v>
      </x:c>
      <x:c r="H1329" s="207" t="str">
        <x:v>Высокий</x:v>
      </x:c>
      <x:c r="I1329" s="207" t="str">
        <x:v>Material aging; BOM; procurement; actual usage</x:v>
      </x:c>
      <x:c r="J1329" s="207" t="str">
        <x:v>Остатки ткани 31.05.2026</x:v>
      </x:c>
      <x:c r="K1329" s="207" t="str"/>
      <x:c r="L1329" s="207" t="str"/>
      <x:c r="M1329" s="207" t="str">
        <x:v>Не рассмотрено</x:v>
      </x:c>
      <x:c r="N1329" s="207" t="str"/>
      <x:c r="O1329" s="207" t="str">
        <x:v>17</x:v>
      </x:c>
      <x:c r="P1329" s="207" t="n">
        <x:v>3</x:v>
      </x:c>
      <x:c r="Q1329" s="208" t="str">
        <x:v>Wave 2 (31–60 дней)</x:v>
      </x:c>
    </x:row>
    <x:row r="1330">
      <x:c r="A1330" s="206" t="str">
        <x:v>DEC-01326</x:v>
      </x:c>
      <x:c r="B1330" s="207" t="str">
        <x:v>Material master</x:v>
      </x:c>
      <x:c r="C1330" s="207" t="str">
        <x:v>MAT-DRAFT-0589</x:v>
      </x:c>
      <x:c r="D1330" s="207" t="str">
        <x:v>Unlinked</x:v>
      </x:c>
      <x:c r="E1330" s="207" t="str">
        <x:v>1 строк; 14000.00 руб.; 8A-003</x:v>
      </x:c>
      <x:c r="F1330" s="207" t="str">
        <x:v>Подтвердить карточку, UOM, состав, цвет, поставщика и правила объединения</x:v>
      </x:c>
      <x:c r="G1330" s="207" t="str">
        <x:v>Закупки + склад</x:v>
      </x:c>
      <x:c r="H1330" s="207" t="str">
        <x:v>Высокий</x:v>
      </x:c>
      <x:c r="I1330" s="207" t="str">
        <x:v>Material aging; BOM; procurement; actual usage</x:v>
      </x:c>
      <x:c r="J1330" s="207" t="str">
        <x:v>Остатки ткани 31.05.2026</x:v>
      </x:c>
      <x:c r="K1330" s="207" t="str"/>
      <x:c r="L1330" s="207" t="str"/>
      <x:c r="M1330" s="207" t="str">
        <x:v>Не рассмотрено</x:v>
      </x:c>
      <x:c r="N1330" s="207" t="str"/>
      <x:c r="O1330" s="207" t="str">
        <x:v>17</x:v>
      </x:c>
      <x:c r="P1330" s="207" t="n">
        <x:v>3</x:v>
      </x:c>
      <x:c r="Q1330" s="208" t="str">
        <x:v>Wave 2 (31–60 дней)</x:v>
      </x:c>
    </x:row>
    <x:row r="1331">
      <x:c r="A1331" s="206" t="str">
        <x:v>DEC-01327</x:v>
      </x:c>
      <x:c r="B1331" s="207" t="str">
        <x:v>Material master</x:v>
      </x:c>
      <x:c r="C1331" s="207" t="str">
        <x:v>MAT-DRAFT-0590</x:v>
      </x:c>
      <x:c r="D1331" s="207" t="str">
        <x:v>Unlinked</x:v>
      </x:c>
      <x:c r="E1331" s="207" t="str">
        <x:v>1 строк; 22790.00 руб.; 8A-002</x:v>
      </x:c>
      <x:c r="F1331" s="207" t="str">
        <x:v>Подтвердить карточку, UOM, состав, цвет, поставщика и правила объединения</x:v>
      </x:c>
      <x:c r="G1331" s="207" t="str">
        <x:v>Закупки + склад</x:v>
      </x:c>
      <x:c r="H1331" s="207" t="str">
        <x:v>Высокий</x:v>
      </x:c>
      <x:c r="I1331" s="207" t="str">
        <x:v>Material aging; BOM; procurement; actual usage</x:v>
      </x:c>
      <x:c r="J1331" s="207" t="str">
        <x:v>Остатки ткани 31.05.2026</x:v>
      </x:c>
      <x:c r="K1331" s="207" t="str"/>
      <x:c r="L1331" s="207" t="str"/>
      <x:c r="M1331" s="207" t="str">
        <x:v>Не рассмотрено</x:v>
      </x:c>
      <x:c r="N1331" s="207" t="str"/>
      <x:c r="O1331" s="207" t="str">
        <x:v>17</x:v>
      </x:c>
      <x:c r="P1331" s="207" t="n">
        <x:v>3</x:v>
      </x:c>
      <x:c r="Q1331" s="208" t="str">
        <x:v>Wave 2 (31–60 дней)</x:v>
      </x:c>
    </x:row>
    <x:row r="1332">
      <x:c r="A1332" s="206" t="str">
        <x:v>DEC-01328</x:v>
      </x:c>
      <x:c r="B1332" s="207" t="str">
        <x:v>Material master</x:v>
      </x:c>
      <x:c r="C1332" s="207" t="str">
        <x:v>MAT-DRAFT-0591</x:v>
      </x:c>
      <x:c r="D1332" s="207" t="str">
        <x:v>Unlinked</x:v>
      </x:c>
      <x:c r="E1332" s="207" t="str">
        <x:v>1 строк; 16400.00 руб.; 8A-008</x:v>
      </x:c>
      <x:c r="F1332" s="207" t="str">
        <x:v>Подтвердить карточку, UOM, состав, цвет, поставщика и правила объединения</x:v>
      </x:c>
      <x:c r="G1332" s="207" t="str">
        <x:v>Закупки + склад</x:v>
      </x:c>
      <x:c r="H1332" s="207" t="str">
        <x:v>Высокий</x:v>
      </x:c>
      <x:c r="I1332" s="207" t="str">
        <x:v>Material aging; BOM; procurement; actual usage</x:v>
      </x:c>
      <x:c r="J1332" s="207" t="str">
        <x:v>Остатки ткани 31.05.2026</x:v>
      </x:c>
      <x:c r="K1332" s="207" t="str"/>
      <x:c r="L1332" s="207" t="str"/>
      <x:c r="M1332" s="207" t="str">
        <x:v>Не рассмотрено</x:v>
      </x:c>
      <x:c r="N1332" s="207" t="str"/>
      <x:c r="O1332" s="207" t="str">
        <x:v>17</x:v>
      </x:c>
      <x:c r="P1332" s="207" t="n">
        <x:v>3</x:v>
      </x:c>
      <x:c r="Q1332" s="208" t="str">
        <x:v>Wave 2 (31–60 дней)</x:v>
      </x:c>
    </x:row>
    <x:row r="1333">
      <x:c r="A1333" s="206" t="str">
        <x:v>DEC-01329</x:v>
      </x:c>
      <x:c r="B1333" s="207" t="str">
        <x:v>Material master</x:v>
      </x:c>
      <x:c r="C1333" s="207" t="str">
        <x:v>MAT-DRAFT-0593</x:v>
      </x:c>
      <x:c r="D1333" s="207" t="str">
        <x:v>Unlinked</x:v>
      </x:c>
      <x:c r="E1333" s="207" t="str">
        <x:v>1 строк; 14490.00 руб.; 8A-005</x:v>
      </x:c>
      <x:c r="F1333" s="207" t="str">
        <x:v>Подтвердить карточку, UOM, состав, цвет, поставщика и правила объединения</x:v>
      </x:c>
      <x:c r="G1333" s="207" t="str">
        <x:v>Закупки + склад</x:v>
      </x:c>
      <x:c r="H1333" s="207" t="str">
        <x:v>Высокий</x:v>
      </x:c>
      <x:c r="I1333" s="207" t="str">
        <x:v>Material aging; BOM; procurement; actual usage</x:v>
      </x:c>
      <x:c r="J1333" s="207" t="str">
        <x:v>Остатки ткани 31.05.2026</x:v>
      </x:c>
      <x:c r="K1333" s="207" t="str"/>
      <x:c r="L1333" s="207" t="str"/>
      <x:c r="M1333" s="207" t="str">
        <x:v>Не рассмотрено</x:v>
      </x:c>
      <x:c r="N1333" s="207" t="str"/>
      <x:c r="O1333" s="207" t="str">
        <x:v>17</x:v>
      </x:c>
      <x:c r="P1333" s="207" t="n">
        <x:v>3</x:v>
      </x:c>
      <x:c r="Q1333" s="208" t="str">
        <x:v>Wave 2 (31–60 дней)</x:v>
      </x:c>
    </x:row>
    <x:row r="1334">
      <x:c r="A1334" s="206" t="str">
        <x:v>DEC-01330</x:v>
      </x:c>
      <x:c r="B1334" s="207" t="str">
        <x:v>Material master</x:v>
      </x:c>
      <x:c r="C1334" s="207" t="str">
        <x:v>MAT-DRAFT-0594</x:v>
      </x:c>
      <x:c r="D1334" s="207" t="str">
        <x:v>Unlinked</x:v>
      </x:c>
      <x:c r="E1334" s="207" t="str">
        <x:v>1 строк; 10000.00 руб.; 17-012</x:v>
      </x:c>
      <x:c r="F1334" s="207" t="str">
        <x:v>Подтвердить карточку, UOM, состав, цвет, поставщика и правила объединения</x:v>
      </x:c>
      <x:c r="G1334" s="207" t="str">
        <x:v>Закупки + склад</x:v>
      </x:c>
      <x:c r="H1334" s="207" t="str">
        <x:v>Высокий</x:v>
      </x:c>
      <x:c r="I1334" s="207" t="str">
        <x:v>Material aging; BOM; procurement; actual usage</x:v>
      </x:c>
      <x:c r="J1334" s="207" t="str">
        <x:v>Остатки ткани 31.05.2026</x:v>
      </x:c>
      <x:c r="K1334" s="207" t="str"/>
      <x:c r="L1334" s="207" t="str"/>
      <x:c r="M1334" s="207" t="str">
        <x:v>Не рассмотрено</x:v>
      </x:c>
      <x:c r="N1334" s="207" t="str"/>
      <x:c r="O1334" s="207" t="str">
        <x:v>17</x:v>
      </x:c>
      <x:c r="P1334" s="207" t="n">
        <x:v>3</x:v>
      </x:c>
      <x:c r="Q1334" s="208" t="str">
        <x:v>Wave 2 (31–60 дней)</x:v>
      </x:c>
    </x:row>
    <x:row r="1335">
      <x:c r="A1335" s="206" t="str">
        <x:v>DEC-01331</x:v>
      </x:c>
      <x:c r="B1335" s="207" t="str">
        <x:v>Material master</x:v>
      </x:c>
      <x:c r="C1335" s="207" t="str">
        <x:v>MAT-DRAFT-0595</x:v>
      </x:c>
      <x:c r="D1335" s="207" t="str">
        <x:v>Несколько кодов; Несколько исходных наименований</x:v>
      </x:c>
      <x:c r="E1335" s="207" t="str">
        <x:v>2 строк; 24400.00 руб.; 17-005; 17-006</x:v>
      </x:c>
      <x:c r="F1335" s="207" t="str">
        <x:v>Подтвердить карточку, UOM, состав, цвет, поставщика и правила объединения</x:v>
      </x:c>
      <x:c r="G1335" s="207" t="str">
        <x:v>Закупки + склад</x:v>
      </x:c>
      <x:c r="H1335" s="207" t="str">
        <x:v>Высокий</x:v>
      </x:c>
      <x:c r="I1335" s="207" t="str">
        <x:v>Material aging; BOM; procurement; actual usage</x:v>
      </x:c>
      <x:c r="J1335" s="207" t="str">
        <x:v>Остатки ткани 31.05.2026</x:v>
      </x:c>
      <x:c r="K1335" s="207" t="str"/>
      <x:c r="L1335" s="207" t="str"/>
      <x:c r="M1335" s="207" t="str">
        <x:v>Не рассмотрено</x:v>
      </x:c>
      <x:c r="N1335" s="207" t="str"/>
      <x:c r="O1335" s="207" t="str">
        <x:v>17</x:v>
      </x:c>
      <x:c r="P1335" s="207" t="n">
        <x:v>3</x:v>
      </x:c>
      <x:c r="Q1335" s="208" t="str">
        <x:v>Wave 2 (31–60 дней)</x:v>
      </x:c>
    </x:row>
    <x:row r="1336">
      <x:c r="A1336" s="206" t="str">
        <x:v>DEC-01332</x:v>
      </x:c>
      <x:c r="B1336" s="207" t="str">
        <x:v>Material master</x:v>
      </x:c>
      <x:c r="C1336" s="207" t="str">
        <x:v>MAT-DRAFT-0596</x:v>
      </x:c>
      <x:c r="D1336" s="207" t="str">
        <x:v>Unlinked</x:v>
      </x:c>
      <x:c r="E1336" s="207" t="str">
        <x:v>1 строк; 8000.00 руб.; 17-004</x:v>
      </x:c>
      <x:c r="F1336" s="207" t="str">
        <x:v>Подтвердить карточку, UOM, состав, цвет, поставщика и правила объединения</x:v>
      </x:c>
      <x:c r="G1336" s="207" t="str">
        <x:v>Закупки + склад</x:v>
      </x:c>
      <x:c r="H1336" s="207" t="str">
        <x:v>Средний</x:v>
      </x:c>
      <x:c r="I1336" s="207" t="str">
        <x:v>Material aging; BOM; procurement; actual usage</x:v>
      </x:c>
      <x:c r="J1336" s="207" t="str">
        <x:v>Остатки ткани 31.05.2026</x:v>
      </x:c>
      <x:c r="K1336" s="207" t="str"/>
      <x:c r="L1336" s="207" t="str"/>
      <x:c r="M1336" s="207" t="str">
        <x:v>Не рассмотрено</x:v>
      </x:c>
      <x:c r="N1336" s="207" t="str"/>
      <x:c r="O1336" s="207" t="str">
        <x:v>17</x:v>
      </x:c>
      <x:c r="P1336" s="207" t="n">
        <x:v>2</x:v>
      </x:c>
      <x:c r="Q1336" s="208" t="str">
        <x:v>Wave 3 (61–90 дней)</x:v>
      </x:c>
    </x:row>
    <x:row r="1337">
      <x:c r="A1337" s="206" t="str">
        <x:v>DEC-01333</x:v>
      </x:c>
      <x:c r="B1337" s="207" t="str">
        <x:v>Material master</x:v>
      </x:c>
      <x:c r="C1337" s="207" t="str">
        <x:v>MAT-DRAFT-0599</x:v>
      </x:c>
      <x:c r="D1337" s="207" t="str">
        <x:v>Несколько кодов; Несколько исходных наименований</x:v>
      </x:c>
      <x:c r="E1337" s="207" t="str">
        <x:v>5 строк; 408625.00 руб.; 16-001; 16-042</x:v>
      </x:c>
      <x:c r="F1337" s="207" t="str">
        <x:v>Подтвердить карточку, UOM, состав, цвет, поставщика и правила объединения</x:v>
      </x:c>
      <x:c r="G1337" s="207" t="str">
        <x:v>Закупки + склад</x:v>
      </x:c>
      <x:c r="H1337" s="207" t="str">
        <x:v>Высокий</x:v>
      </x:c>
      <x:c r="I1337" s="207" t="str">
        <x:v>Material aging; BOM; procurement; actual usage</x:v>
      </x:c>
      <x:c r="J1337" s="207" t="str">
        <x:v>Остатки ткани 31.05.2026</x:v>
      </x:c>
      <x:c r="K1337" s="207" t="str"/>
      <x:c r="L1337" s="207" t="str"/>
      <x:c r="M1337" s="207" t="str">
        <x:v>Не рассмотрено</x:v>
      </x:c>
      <x:c r="N1337" s="207" t="str"/>
      <x:c r="O1337" s="207" t="str">
        <x:v>17</x:v>
      </x:c>
      <x:c r="P1337" s="207" t="n">
        <x:v>3</x:v>
      </x:c>
      <x:c r="Q1337" s="208" t="str">
        <x:v>Wave 2 (31–60 дней)</x:v>
      </x:c>
    </x:row>
    <x:row r="1338">
      <x:c r="A1338" s="206" t="str">
        <x:v>DEC-01334</x:v>
      </x:c>
      <x:c r="B1338" s="207" t="str">
        <x:v>Material master</x:v>
      </x:c>
      <x:c r="C1338" s="207" t="str">
        <x:v>MAT-DRAFT-0601</x:v>
      </x:c>
      <x:c r="D1338" s="207" t="str">
        <x:v>Unlinked</x:v>
      </x:c>
      <x:c r="E1338" s="207" t="str">
        <x:v>3 строк; 64380.00 руб.; 17A-057</x:v>
      </x:c>
      <x:c r="F1338" s="207" t="str">
        <x:v>Подтвердить карточку, UOM, состав, цвет, поставщика и правила объединения</x:v>
      </x:c>
      <x:c r="G1338" s="207" t="str">
        <x:v>Закупки + склад</x:v>
      </x:c>
      <x:c r="H1338" s="207" t="str">
        <x:v>Высокий</x:v>
      </x:c>
      <x:c r="I1338" s="207" t="str">
        <x:v>Material aging; BOM; procurement; actual usage</x:v>
      </x:c>
      <x:c r="J1338" s="207" t="str">
        <x:v>Остатки ткани 31.05.2026</x:v>
      </x:c>
      <x:c r="K1338" s="207" t="str"/>
      <x:c r="L1338" s="207" t="str"/>
      <x:c r="M1338" s="207" t="str">
        <x:v>Не рассмотрено</x:v>
      </x:c>
      <x:c r="N1338" s="207" t="str"/>
      <x:c r="O1338" s="207" t="str">
        <x:v>17</x:v>
      </x:c>
      <x:c r="P1338" s="207" t="n">
        <x:v>3</x:v>
      </x:c>
      <x:c r="Q1338" s="208" t="str">
        <x:v>Wave 2 (31–60 дней)</x:v>
      </x:c>
    </x:row>
    <x:row r="1339">
      <x:c r="A1339" s="206" t="str">
        <x:v>DEC-01335</x:v>
      </x:c>
      <x:c r="B1339" s="207" t="str">
        <x:v>Material master</x:v>
      </x:c>
      <x:c r="C1339" s="207" t="str">
        <x:v>MAT-DRAFT-0602</x:v>
      </x:c>
      <x:c r="D1339" s="207" t="str">
        <x:v>Unlinked</x:v>
      </x:c>
      <x:c r="E1339" s="207" t="str">
        <x:v>2 строк; 104400.00 руб.; 17A-012</x:v>
      </x:c>
      <x:c r="F1339" s="207" t="str">
        <x:v>Подтвердить карточку, UOM, состав, цвет, поставщика и правила объединения</x:v>
      </x:c>
      <x:c r="G1339" s="207" t="str">
        <x:v>Закупки + склад</x:v>
      </x:c>
      <x:c r="H1339" s="207" t="str">
        <x:v>Критический</x:v>
      </x:c>
      <x:c r="I1339" s="207" t="str">
        <x:v>Material aging; BOM; procurement; actual usage</x:v>
      </x:c>
      <x:c r="J1339" s="207" t="str">
        <x:v>Остатки ткани 31.05.2026</x:v>
      </x:c>
      <x:c r="K1339" s="207" t="str"/>
      <x:c r="L1339" s="207" t="str"/>
      <x:c r="M1339" s="207" t="str">
        <x:v>Не рассмотрено</x:v>
      </x:c>
      <x:c r="N1339" s="207" t="str"/>
      <x:c r="O1339" s="207" t="str">
        <x:v>17</x:v>
      </x:c>
      <x:c r="P1339" s="207" t="n">
        <x:v>4</x:v>
      </x:c>
      <x:c r="Q1339" s="208" t="str">
        <x:v>Wave 1 (0–30 дней)</x:v>
      </x:c>
    </x:row>
    <x:row r="1340">
      <x:c r="A1340" s="206" t="str">
        <x:v>DEC-01336</x:v>
      </x:c>
      <x:c r="B1340" s="207" t="str">
        <x:v>Material master</x:v>
      </x:c>
      <x:c r="C1340" s="207" t="str">
        <x:v>MAT-DRAFT-0607</x:v>
      </x:c>
      <x:c r="D1340" s="207" t="str">
        <x:v>Unlinked</x:v>
      </x:c>
      <x:c r="E1340" s="207" t="str">
        <x:v>2 строк; 338850.00 руб.; 17A-060</x:v>
      </x:c>
      <x:c r="F1340" s="207" t="str">
        <x:v>Подтвердить карточку, UOM, состав, цвет, поставщика и правила объединения</x:v>
      </x:c>
      <x:c r="G1340" s="207" t="str">
        <x:v>Закупки + склад</x:v>
      </x:c>
      <x:c r="H1340" s="207" t="str">
        <x:v>Критический</x:v>
      </x:c>
      <x:c r="I1340" s="207" t="str">
        <x:v>Material aging; BOM; procurement; actual usage</x:v>
      </x:c>
      <x:c r="J1340" s="207" t="str">
        <x:v>Остатки ткани 31.05.2026</x:v>
      </x:c>
      <x:c r="K1340" s="207" t="str"/>
      <x:c r="L1340" s="207" t="str"/>
      <x:c r="M1340" s="207" t="str">
        <x:v>Не рассмотрено</x:v>
      </x:c>
      <x:c r="N1340" s="207" t="str"/>
      <x:c r="O1340" s="207" t="str">
        <x:v>17</x:v>
      </x:c>
      <x:c r="P1340" s="207" t="n">
        <x:v>4</x:v>
      </x:c>
      <x:c r="Q1340" s="208" t="str">
        <x:v>Wave 1 (0–30 дней)</x:v>
      </x:c>
    </x:row>
    <x:row r="1341">
      <x:c r="A1341" s="206" t="str">
        <x:v>DEC-01337</x:v>
      </x:c>
      <x:c r="B1341" s="207" t="str">
        <x:v>Material master</x:v>
      </x:c>
      <x:c r="C1341" s="207" t="str">
        <x:v>MAT-DRAFT-0608</x:v>
      </x:c>
      <x:c r="D1341" s="207" t="str">
        <x:v>Unlinked</x:v>
      </x:c>
      <x:c r="E1341" s="207" t="str">
        <x:v>1 строк; 24180.00 руб.; 17A-056</x:v>
      </x:c>
      <x:c r="F1341" s="207" t="str">
        <x:v>Подтвердить карточку, UOM, состав, цвет, поставщика и правила объединения</x:v>
      </x:c>
      <x:c r="G1341" s="207" t="str">
        <x:v>Закупки + склад</x:v>
      </x:c>
      <x:c r="H1341" s="207" t="str">
        <x:v>Высокий</x:v>
      </x:c>
      <x:c r="I1341" s="207" t="str">
        <x:v>Material aging; BOM; procurement; actual usage</x:v>
      </x:c>
      <x:c r="J1341" s="207" t="str">
        <x:v>Остатки ткани 31.05.2026</x:v>
      </x:c>
      <x:c r="K1341" s="207" t="str"/>
      <x:c r="L1341" s="207" t="str"/>
      <x:c r="M1341" s="207" t="str">
        <x:v>Не рассмотрено</x:v>
      </x:c>
      <x:c r="N1341" s="207" t="str"/>
      <x:c r="O1341" s="207" t="str">
        <x:v>17</x:v>
      </x:c>
      <x:c r="P1341" s="207" t="n">
        <x:v>3</x:v>
      </x:c>
      <x:c r="Q1341" s="208" t="str">
        <x:v>Wave 2 (31–60 дней)</x:v>
      </x:c>
    </x:row>
    <x:row r="1342">
      <x:c r="A1342" s="206" t="str">
        <x:v>DEC-01338</x:v>
      </x:c>
      <x:c r="B1342" s="207" t="str">
        <x:v>Material master</x:v>
      </x:c>
      <x:c r="C1342" s="207" t="str">
        <x:v>MAT-DRAFT-0610</x:v>
      </x:c>
      <x:c r="D1342" s="207" t="str">
        <x:v>Unlinked</x:v>
      </x:c>
      <x:c r="E1342" s="207" t="str">
        <x:v>2 строк; 24940.00 руб.; 17A-016</x:v>
      </x:c>
      <x:c r="F1342" s="207" t="str">
        <x:v>Подтвердить карточку, UOM, состав, цвет, поставщика и правила объединения</x:v>
      </x:c>
      <x:c r="G1342" s="207" t="str">
        <x:v>Закупки + склад</x:v>
      </x:c>
      <x:c r="H1342" s="207" t="str">
        <x:v>Высокий</x:v>
      </x:c>
      <x:c r="I1342" s="207" t="str">
        <x:v>Material aging; BOM; procurement; actual usage</x:v>
      </x:c>
      <x:c r="J1342" s="207" t="str">
        <x:v>Остатки ткани 31.05.2026</x:v>
      </x:c>
      <x:c r="K1342" s="207" t="str"/>
      <x:c r="L1342" s="207" t="str"/>
      <x:c r="M1342" s="207" t="str">
        <x:v>Не рассмотрено</x:v>
      </x:c>
      <x:c r="N1342" s="207" t="str"/>
      <x:c r="O1342" s="207" t="str">
        <x:v>17</x:v>
      </x:c>
      <x:c r="P1342" s="207" t="n">
        <x:v>3</x:v>
      </x:c>
      <x:c r="Q1342" s="208" t="str">
        <x:v>Wave 2 (31–60 дней)</x:v>
      </x:c>
    </x:row>
    <x:row r="1343">
      <x:c r="A1343" s="206" t="str">
        <x:v>DEC-01339</x:v>
      </x:c>
      <x:c r="B1343" s="207" t="str">
        <x:v>Material master</x:v>
      </x:c>
      <x:c r="C1343" s="207" t="str">
        <x:v>MAT-DRAFT-0611</x:v>
      </x:c>
      <x:c r="D1343" s="207" t="str">
        <x:v>Unlinked</x:v>
      </x:c>
      <x:c r="E1343" s="207" t="str">
        <x:v>1 строк; 92800.00 руб.; 17A-009</x:v>
      </x:c>
      <x:c r="F1343" s="207" t="str">
        <x:v>Подтвердить карточку, UOM, состав, цвет, поставщика и правила объединения</x:v>
      </x:c>
      <x:c r="G1343" s="207" t="str">
        <x:v>Закупки + склад</x:v>
      </x:c>
      <x:c r="H1343" s="207" t="str">
        <x:v>Высокий</x:v>
      </x:c>
      <x:c r="I1343" s="207" t="str">
        <x:v>Material aging; BOM; procurement; actual usage</x:v>
      </x:c>
      <x:c r="J1343" s="207" t="str">
        <x:v>Остатки ткани 31.05.2026</x:v>
      </x:c>
      <x:c r="K1343" s="207" t="str"/>
      <x:c r="L1343" s="207" t="str"/>
      <x:c r="M1343" s="207" t="str">
        <x:v>Не рассмотрено</x:v>
      </x:c>
      <x:c r="N1343" s="207" t="str"/>
      <x:c r="O1343" s="207" t="str">
        <x:v>17</x:v>
      </x:c>
      <x:c r="P1343" s="207" t="n">
        <x:v>3</x:v>
      </x:c>
      <x:c r="Q1343" s="208" t="str">
        <x:v>Wave 2 (31–60 дней)</x:v>
      </x:c>
    </x:row>
    <x:row r="1344">
      <x:c r="A1344" s="206" t="str">
        <x:v>DEC-01340</x:v>
      </x:c>
      <x:c r="B1344" s="207" t="str">
        <x:v>Material master</x:v>
      </x:c>
      <x:c r="C1344" s="207" t="str">
        <x:v>MAT-DRAFT-0613</x:v>
      </x:c>
      <x:c r="D1344" s="207" t="str">
        <x:v>Unlinked</x:v>
      </x:c>
      <x:c r="E1344" s="207" t="str">
        <x:v>2 строк; 80185.00 руб.; 17A-054</x:v>
      </x:c>
      <x:c r="F1344" s="207" t="str">
        <x:v>Подтвердить карточку, UOM, состав, цвет, поставщика и правила объединения</x:v>
      </x:c>
      <x:c r="G1344" s="207" t="str">
        <x:v>Закупки + склад</x:v>
      </x:c>
      <x:c r="H1344" s="207" t="str">
        <x:v>Высокий</x:v>
      </x:c>
      <x:c r="I1344" s="207" t="str">
        <x:v>Material aging; BOM; procurement; actual usage</x:v>
      </x:c>
      <x:c r="J1344" s="207" t="str">
        <x:v>Остатки ткани 31.05.2026</x:v>
      </x:c>
      <x:c r="K1344" s="207" t="str"/>
      <x:c r="L1344" s="207" t="str"/>
      <x:c r="M1344" s="207" t="str">
        <x:v>Не рассмотрено</x:v>
      </x:c>
      <x:c r="N1344" s="207" t="str"/>
      <x:c r="O1344" s="207" t="str">
        <x:v>17</x:v>
      </x:c>
      <x:c r="P1344" s="207" t="n">
        <x:v>3</x:v>
      </x:c>
      <x:c r="Q1344" s="208" t="str">
        <x:v>Wave 2 (31–60 дней)</x:v>
      </x:c>
    </x:row>
    <x:row r="1345">
      <x:c r="A1345" s="206" t="str">
        <x:v>DEC-01341</x:v>
      </x:c>
      <x:c r="B1345" s="207" t="str">
        <x:v>Material master</x:v>
      </x:c>
      <x:c r="C1345" s="207" t="str">
        <x:v>MAT-DRAFT-0614</x:v>
      </x:c>
      <x:c r="D1345" s="207" t="str">
        <x:v>Несколько кодов; Несколько исходных наименований</x:v>
      </x:c>
      <x:c r="E1345" s="207" t="str">
        <x:v>3 строк; 95920.00 руб.; 16-022; 16-041</x:v>
      </x:c>
      <x:c r="F1345" s="207" t="str">
        <x:v>Подтвердить карточку, UOM, состав, цвет, поставщика и правила объединения</x:v>
      </x:c>
      <x:c r="G1345" s="207" t="str">
        <x:v>Закупки + склад</x:v>
      </x:c>
      <x:c r="H1345" s="207" t="str">
        <x:v>Высокий</x:v>
      </x:c>
      <x:c r="I1345" s="207" t="str">
        <x:v>Material aging; BOM; procurement; actual usage</x:v>
      </x:c>
      <x:c r="J1345" s="207" t="str">
        <x:v>Остатки ткани 31.05.2026</x:v>
      </x:c>
      <x:c r="K1345" s="207" t="str"/>
      <x:c r="L1345" s="207" t="str"/>
      <x:c r="M1345" s="207" t="str">
        <x:v>Не рассмотрено</x:v>
      </x:c>
      <x:c r="N1345" s="207" t="str"/>
      <x:c r="O1345" s="207" t="str">
        <x:v>17</x:v>
      </x:c>
      <x:c r="P1345" s="207" t="n">
        <x:v>3</x:v>
      </x:c>
      <x:c r="Q1345" s="208" t="str">
        <x:v>Wave 2 (31–60 дней)</x:v>
      </x:c>
    </x:row>
    <x:row r="1346">
      <x:c r="A1346" s="206" t="str">
        <x:v>DEC-01342</x:v>
      </x:c>
      <x:c r="B1346" s="207" t="str">
        <x:v>Material master</x:v>
      </x:c>
      <x:c r="C1346" s="207" t="str">
        <x:v>MAT-DRAFT-0615</x:v>
      </x:c>
      <x:c r="D1346" s="207" t="str">
        <x:v>Unlinked</x:v>
      </x:c>
      <x:c r="E1346" s="207" t="str">
        <x:v>2 строк; 57660.00 руб.; 17A-021</x:v>
      </x:c>
      <x:c r="F1346" s="207" t="str">
        <x:v>Подтвердить карточку, UOM, состав, цвет, поставщика и правила объединения</x:v>
      </x:c>
      <x:c r="G1346" s="207" t="str">
        <x:v>Закупки + склад</x:v>
      </x:c>
      <x:c r="H1346" s="207" t="str">
        <x:v>Высокий</x:v>
      </x:c>
      <x:c r="I1346" s="207" t="str">
        <x:v>Material aging; BOM; procurement; actual usage</x:v>
      </x:c>
      <x:c r="J1346" s="207" t="str">
        <x:v>Остатки ткани 31.05.2026</x:v>
      </x:c>
      <x:c r="K1346" s="207" t="str"/>
      <x:c r="L1346" s="207" t="str"/>
      <x:c r="M1346" s="207" t="str">
        <x:v>Не рассмотрено</x:v>
      </x:c>
      <x:c r="N1346" s="207" t="str"/>
      <x:c r="O1346" s="207" t="str">
        <x:v>17</x:v>
      </x:c>
      <x:c r="P1346" s="207" t="n">
        <x:v>3</x:v>
      </x:c>
      <x:c r="Q1346" s="208" t="str">
        <x:v>Wave 2 (31–60 дней)</x:v>
      </x:c>
    </x:row>
    <x:row r="1347">
      <x:c r="A1347" s="206" t="str">
        <x:v>DEC-01343</x:v>
      </x:c>
      <x:c r="B1347" s="207" t="str">
        <x:v>Material master</x:v>
      </x:c>
      <x:c r="C1347" s="207" t="str">
        <x:v>MAT-DRAFT-0617</x:v>
      </x:c>
      <x:c r="D1347" s="207" t="str">
        <x:v>Несколько кодов; Несколько исходных наименований</x:v>
      </x:c>
      <x:c r="E1347" s="207" t="str">
        <x:v>7 строк; 106050.00 руб.; 16-017; 16-018; 16-019</x:v>
      </x:c>
      <x:c r="F1347" s="207" t="str">
        <x:v>Подтвердить карточку, UOM, состав, цвет, поставщика и правила объединения</x:v>
      </x:c>
      <x:c r="G1347" s="207" t="str">
        <x:v>Закупки + склад</x:v>
      </x:c>
      <x:c r="H1347" s="207" t="str">
        <x:v>Высокий</x:v>
      </x:c>
      <x:c r="I1347" s="207" t="str">
        <x:v>Material aging; BOM; procurement; actual usage</x:v>
      </x:c>
      <x:c r="J1347" s="207" t="str">
        <x:v>Остатки ткани 31.05.2026</x:v>
      </x:c>
      <x:c r="K1347" s="207" t="str"/>
      <x:c r="L1347" s="207" t="str"/>
      <x:c r="M1347" s="207" t="str">
        <x:v>Не рассмотрено</x:v>
      </x:c>
      <x:c r="N1347" s="207" t="str"/>
      <x:c r="O1347" s="207" t="str">
        <x:v>17</x:v>
      </x:c>
      <x:c r="P1347" s="207" t="n">
        <x:v>3</x:v>
      </x:c>
      <x:c r="Q1347" s="208" t="str">
        <x:v>Wave 2 (31–60 дней)</x:v>
      </x:c>
    </x:row>
    <x:row r="1348">
      <x:c r="A1348" s="206" t="str">
        <x:v>DEC-01344</x:v>
      </x:c>
      <x:c r="B1348" s="207" t="str">
        <x:v>Material master</x:v>
      </x:c>
      <x:c r="C1348" s="207" t="str">
        <x:v>MAT-DRAFT-0618</x:v>
      </x:c>
      <x:c r="D1348" s="207" t="str">
        <x:v>Unlinked</x:v>
      </x:c>
      <x:c r="E1348" s="207" t="str">
        <x:v>2 строк; 62060.00 руб.; 17A-022</x:v>
      </x:c>
      <x:c r="F1348" s="207" t="str">
        <x:v>Подтвердить карточку, UOM, состав, цвет, поставщика и правила объединения</x:v>
      </x:c>
      <x:c r="G1348" s="207" t="str">
        <x:v>Закупки + склад</x:v>
      </x:c>
      <x:c r="H1348" s="207" t="str">
        <x:v>Высокий</x:v>
      </x:c>
      <x:c r="I1348" s="207" t="str">
        <x:v>Material aging; BOM; procurement; actual usage</x:v>
      </x:c>
      <x:c r="J1348" s="207" t="str">
        <x:v>Остатки ткани 31.05.2026</x:v>
      </x:c>
      <x:c r="K1348" s="207" t="str"/>
      <x:c r="L1348" s="207" t="str"/>
      <x:c r="M1348" s="207" t="str">
        <x:v>Не рассмотрено</x:v>
      </x:c>
      <x:c r="N1348" s="207" t="str"/>
      <x:c r="O1348" s="207" t="str">
        <x:v>17</x:v>
      </x:c>
      <x:c r="P1348" s="207" t="n">
        <x:v>3</x:v>
      </x:c>
      <x:c r="Q1348" s="208" t="str">
        <x:v>Wave 2 (31–60 дней)</x:v>
      </x:c>
    </x:row>
    <x:row r="1349">
      <x:c r="A1349" s="206" t="str">
        <x:v>DEC-01345</x:v>
      </x:c>
      <x:c r="B1349" s="207" t="str">
        <x:v>Material master</x:v>
      </x:c>
      <x:c r="C1349" s="207" t="str">
        <x:v>MAT-DRAFT-0619</x:v>
      </x:c>
      <x:c r="D1349" s="207" t="str">
        <x:v>Несколько кодов; Несколько исходных наименований</x:v>
      </x:c>
      <x:c r="E1349" s="207" t="str">
        <x:v>4 строк; 172350.00 руб.; 16-029; 16-030</x:v>
      </x:c>
      <x:c r="F1349" s="207" t="str">
        <x:v>Подтвердить карточку, UOM, состав, цвет, поставщика и правила объединения</x:v>
      </x:c>
      <x:c r="G1349" s="207" t="str">
        <x:v>Закупки + склад</x:v>
      </x:c>
      <x:c r="H1349" s="207" t="str">
        <x:v>Высокий</x:v>
      </x:c>
      <x:c r="I1349" s="207" t="str">
        <x:v>Material aging; BOM; procurement; actual usage</x:v>
      </x:c>
      <x:c r="J1349" s="207" t="str">
        <x:v>Остатки ткани 31.05.2026</x:v>
      </x:c>
      <x:c r="K1349" s="207" t="str"/>
      <x:c r="L1349" s="207" t="str"/>
      <x:c r="M1349" s="207" t="str">
        <x:v>Не рассмотрено</x:v>
      </x:c>
      <x:c r="N1349" s="207" t="str"/>
      <x:c r="O1349" s="207" t="str">
        <x:v>17</x:v>
      </x:c>
      <x:c r="P1349" s="207" t="n">
        <x:v>3</x:v>
      </x:c>
      <x:c r="Q1349" s="208" t="str">
        <x:v>Wave 2 (31–60 дней)</x:v>
      </x:c>
    </x:row>
    <x:row r="1350">
      <x:c r="A1350" s="206" t="str">
        <x:v>DEC-01346</x:v>
      </x:c>
      <x:c r="B1350" s="207" t="str">
        <x:v>Material master</x:v>
      </x:c>
      <x:c r="C1350" s="207" t="str">
        <x:v>MAT-DRAFT-0620</x:v>
      </x:c>
      <x:c r="D1350" s="207" t="str">
        <x:v>Unlinked</x:v>
      </x:c>
      <x:c r="E1350" s="207" t="str">
        <x:v>1 строк; 26980.00 руб.; 17A-003</x:v>
      </x:c>
      <x:c r="F1350" s="207" t="str">
        <x:v>Подтвердить карточку, UOM, состав, цвет, поставщика и правила объединения</x:v>
      </x:c>
      <x:c r="G1350" s="207" t="str">
        <x:v>Закупки + склад</x:v>
      </x:c>
      <x:c r="H1350" s="207" t="str">
        <x:v>Высокий</x:v>
      </x:c>
      <x:c r="I1350" s="207" t="str">
        <x:v>Material aging; BOM; procurement; actual usage</x:v>
      </x:c>
      <x:c r="J1350" s="207" t="str">
        <x:v>Остатки ткани 31.05.2026</x:v>
      </x:c>
      <x:c r="K1350" s="207" t="str"/>
      <x:c r="L1350" s="207" t="str"/>
      <x:c r="M1350" s="207" t="str">
        <x:v>Не рассмотрено</x:v>
      </x:c>
      <x:c r="N1350" s="207" t="str"/>
      <x:c r="O1350" s="207" t="str">
        <x:v>17</x:v>
      </x:c>
      <x:c r="P1350" s="207" t="n">
        <x:v>3</x:v>
      </x:c>
      <x:c r="Q1350" s="208" t="str">
        <x:v>Wave 2 (31–60 дней)</x:v>
      </x:c>
    </x:row>
    <x:row r="1351">
      <x:c r="A1351" s="206" t="str">
        <x:v>DEC-01347</x:v>
      </x:c>
      <x:c r="B1351" s="207" t="str">
        <x:v>Material master</x:v>
      </x:c>
      <x:c r="C1351" s="207" t="str">
        <x:v>MAT-DRAFT-0621</x:v>
      </x:c>
      <x:c r="D1351" s="207" t="str">
        <x:v>Несколько кодов; Несколько исходных наименований</x:v>
      </x:c>
      <x:c r="E1351" s="207" t="str">
        <x:v>2 строк; 156535.00 руб.; 16-002; 16-048</x:v>
      </x:c>
      <x:c r="F1351" s="207" t="str">
        <x:v>Подтвердить карточку, UOM, состав, цвет, поставщика и правила объединения</x:v>
      </x:c>
      <x:c r="G1351" s="207" t="str">
        <x:v>Закупки + склад</x:v>
      </x:c>
      <x:c r="H1351" s="207" t="str">
        <x:v>Высокий</x:v>
      </x:c>
      <x:c r="I1351" s="207" t="str">
        <x:v>Material aging; BOM; procurement; actual usage</x:v>
      </x:c>
      <x:c r="J1351" s="207" t="str">
        <x:v>Остатки ткани 31.05.2026</x:v>
      </x:c>
      <x:c r="K1351" s="207" t="str"/>
      <x:c r="L1351" s="207" t="str"/>
      <x:c r="M1351" s="207" t="str">
        <x:v>Не рассмотрено</x:v>
      </x:c>
      <x:c r="N1351" s="207" t="str"/>
      <x:c r="O1351" s="207" t="str">
        <x:v>17</x:v>
      </x:c>
      <x:c r="P1351" s="207" t="n">
        <x:v>3</x:v>
      </x:c>
      <x:c r="Q1351" s="208" t="str">
        <x:v>Wave 2 (31–60 дней)</x:v>
      </x:c>
    </x:row>
    <x:row r="1352">
      <x:c r="A1352" s="206" t="str">
        <x:v>DEC-01348</x:v>
      </x:c>
      <x:c r="B1352" s="207" t="str">
        <x:v>Material master</x:v>
      </x:c>
      <x:c r="C1352" s="207" t="str">
        <x:v>MAT-DRAFT-0622</x:v>
      </x:c>
      <x:c r="D1352" s="207" t="str">
        <x:v>Несколько кодов; Несколько исходных наименований</x:v>
      </x:c>
      <x:c r="E1352" s="207" t="str">
        <x:v>4 строк; 91225.00 руб.; 16-033; 16-035</x:v>
      </x:c>
      <x:c r="F1352" s="207" t="str">
        <x:v>Подтвердить карточку, UOM, состав, цвет, поставщика и правила объединения</x:v>
      </x:c>
      <x:c r="G1352" s="207" t="str">
        <x:v>Закупки + склад</x:v>
      </x:c>
      <x:c r="H1352" s="207" t="str">
        <x:v>Высокий</x:v>
      </x:c>
      <x:c r="I1352" s="207" t="str">
        <x:v>Material aging; BOM; procurement; actual usage</x:v>
      </x:c>
      <x:c r="J1352" s="207" t="str">
        <x:v>Остатки ткани 31.05.2026</x:v>
      </x:c>
      <x:c r="K1352" s="207" t="str"/>
      <x:c r="L1352" s="207" t="str"/>
      <x:c r="M1352" s="207" t="str">
        <x:v>Не рассмотрено</x:v>
      </x:c>
      <x:c r="N1352" s="207" t="str"/>
      <x:c r="O1352" s="207" t="str">
        <x:v>17</x:v>
      </x:c>
      <x:c r="P1352" s="207" t="n">
        <x:v>3</x:v>
      </x:c>
      <x:c r="Q1352" s="208" t="str">
        <x:v>Wave 2 (31–60 дней)</x:v>
      </x:c>
    </x:row>
    <x:row r="1353">
      <x:c r="A1353" s="206" t="str">
        <x:v>DEC-01349</x:v>
      </x:c>
      <x:c r="B1353" s="207" t="str">
        <x:v>Material master</x:v>
      </x:c>
      <x:c r="C1353" s="207" t="str">
        <x:v>MAT-DRAFT-0625</x:v>
      </x:c>
      <x:c r="D1353" s="207" t="str">
        <x:v>Unlinked</x:v>
      </x:c>
      <x:c r="E1353" s="207" t="str">
        <x:v>1 строк; 18000.00 руб.; 16A-001</x:v>
      </x:c>
      <x:c r="F1353" s="207" t="str">
        <x:v>Подтвердить карточку, UOM, состав, цвет, поставщика и правила объединения</x:v>
      </x:c>
      <x:c r="G1353" s="207" t="str">
        <x:v>Закупки + склад</x:v>
      </x:c>
      <x:c r="H1353" s="207" t="str">
        <x:v>Высокий</x:v>
      </x:c>
      <x:c r="I1353" s="207" t="str">
        <x:v>Material aging; BOM; procurement; actual usage</x:v>
      </x:c>
      <x:c r="J1353" s="207" t="str">
        <x:v>Остатки ткани 31.05.2026</x:v>
      </x:c>
      <x:c r="K1353" s="207" t="str"/>
      <x:c r="L1353" s="207" t="str"/>
      <x:c r="M1353" s="207" t="str">
        <x:v>Не рассмотрено</x:v>
      </x:c>
      <x:c r="N1353" s="207" t="str"/>
      <x:c r="O1353" s="207" t="str">
        <x:v>17</x:v>
      </x:c>
      <x:c r="P1353" s="207" t="n">
        <x:v>3</x:v>
      </x:c>
      <x:c r="Q1353" s="208" t="str">
        <x:v>Wave 2 (31–60 дней)</x:v>
      </x:c>
    </x:row>
    <x:row r="1354">
      <x:c r="A1354" s="206" t="str">
        <x:v>DEC-01350</x:v>
      </x:c>
      <x:c r="B1354" s="207" t="str">
        <x:v>Material master</x:v>
      </x:c>
      <x:c r="C1354" s="207" t="str">
        <x:v>MAT-DRAFT-0626</x:v>
      </x:c>
      <x:c r="D1354" s="207" t="str">
        <x:v>Unlinked</x:v>
      </x:c>
      <x:c r="E1354" s="207" t="str">
        <x:v>1 строк; 18000.00 руб.; 16A-002</x:v>
      </x:c>
      <x:c r="F1354" s="207" t="str">
        <x:v>Подтвердить карточку, UOM, состав, цвет, поставщика и правила объединения</x:v>
      </x:c>
      <x:c r="G1354" s="207" t="str">
        <x:v>Закупки + склад</x:v>
      </x:c>
      <x:c r="H1354" s="207" t="str">
        <x:v>Высокий</x:v>
      </x:c>
      <x:c r="I1354" s="207" t="str">
        <x:v>Material aging; BOM; procurement; actual usage</x:v>
      </x:c>
      <x:c r="J1354" s="207" t="str">
        <x:v>Остатки ткани 31.05.2026</x:v>
      </x:c>
      <x:c r="K1354" s="207" t="str"/>
      <x:c r="L1354" s="207" t="str"/>
      <x:c r="M1354" s="207" t="str">
        <x:v>Не рассмотрено</x:v>
      </x:c>
      <x:c r="N1354" s="207" t="str"/>
      <x:c r="O1354" s="207" t="str">
        <x:v>17</x:v>
      </x:c>
      <x:c r="P1354" s="207" t="n">
        <x:v>3</x:v>
      </x:c>
      <x:c r="Q1354" s="208" t="str">
        <x:v>Wave 2 (31–60 дней)</x:v>
      </x:c>
    </x:row>
    <x:row r="1355">
      <x:c r="A1355" s="206" t="str">
        <x:v>DEC-01351</x:v>
      </x:c>
      <x:c r="B1355" s="207" t="str">
        <x:v>Material master</x:v>
      </x:c>
      <x:c r="C1355" s="207" t="str">
        <x:v>MAT-DRAFT-0627</x:v>
      </x:c>
      <x:c r="D1355" s="207" t="str">
        <x:v>Unlinked</x:v>
      </x:c>
      <x:c r="E1355" s="207" t="str">
        <x:v>1 строк; 4250.00 руб.; 16A-009</x:v>
      </x:c>
      <x:c r="F1355" s="207" t="str">
        <x:v>Подтвердить карточку, UOM, состав, цвет, поставщика и правила объединения</x:v>
      </x:c>
      <x:c r="G1355" s="207" t="str">
        <x:v>Закупки + склад</x:v>
      </x:c>
      <x:c r="H1355" s="207" t="str">
        <x:v>Средний</x:v>
      </x:c>
      <x:c r="I1355" s="207" t="str">
        <x:v>Material aging; BOM; procurement; actual usage</x:v>
      </x:c>
      <x:c r="J1355" s="207" t="str">
        <x:v>Остатки ткани 31.05.2026</x:v>
      </x:c>
      <x:c r="K1355" s="207" t="str"/>
      <x:c r="L1355" s="207" t="str"/>
      <x:c r="M1355" s="207" t="str">
        <x:v>Не рассмотрено</x:v>
      </x:c>
      <x:c r="N1355" s="207" t="str"/>
      <x:c r="O1355" s="207" t="str">
        <x:v>17</x:v>
      </x:c>
      <x:c r="P1355" s="207" t="n">
        <x:v>2</x:v>
      </x:c>
      <x:c r="Q1355" s="208" t="str">
        <x:v>Wave 3 (61–90 дней)</x:v>
      </x:c>
    </x:row>
    <x:row r="1356">
      <x:c r="A1356" s="206" t="str">
        <x:v>DEC-01352</x:v>
      </x:c>
      <x:c r="B1356" s="207" t="str">
        <x:v>Material master</x:v>
      </x:c>
      <x:c r="C1356" s="207" t="str">
        <x:v>MAT-DRAFT-0628</x:v>
      </x:c>
      <x:c r="D1356" s="207" t="str">
        <x:v>Unlinked</x:v>
      </x:c>
      <x:c r="E1356" s="207" t="str">
        <x:v>1 строк; 7750.00 руб.; 16A-008</x:v>
      </x:c>
      <x:c r="F1356" s="207" t="str">
        <x:v>Подтвердить карточку, UOM, состав, цвет, поставщика и правила объединения</x:v>
      </x:c>
      <x:c r="G1356" s="207" t="str">
        <x:v>Закупки + склад</x:v>
      </x:c>
      <x:c r="H1356" s="207" t="str">
        <x:v>Средний</x:v>
      </x:c>
      <x:c r="I1356" s="207" t="str">
        <x:v>Material aging; BOM; procurement; actual usage</x:v>
      </x:c>
      <x:c r="J1356" s="207" t="str">
        <x:v>Остатки ткани 31.05.2026</x:v>
      </x:c>
      <x:c r="K1356" s="207" t="str"/>
      <x:c r="L1356" s="207" t="str"/>
      <x:c r="M1356" s="207" t="str">
        <x:v>Не рассмотрено</x:v>
      </x:c>
      <x:c r="N1356" s="207" t="str"/>
      <x:c r="O1356" s="207" t="str">
        <x:v>17</x:v>
      </x:c>
      <x:c r="P1356" s="207" t="n">
        <x:v>2</x:v>
      </x:c>
      <x:c r="Q1356" s="208" t="str">
        <x:v>Wave 3 (61–90 дней)</x:v>
      </x:c>
    </x:row>
    <x:row r="1357">
      <x:c r="A1357" s="206" t="str">
        <x:v>DEC-01353</x:v>
      </x:c>
      <x:c r="B1357" s="207" t="str">
        <x:v>Material master</x:v>
      </x:c>
      <x:c r="C1357" s="207" t="str">
        <x:v>MAT-DRAFT-0629</x:v>
      </x:c>
      <x:c r="D1357" s="207" t="str">
        <x:v>Unlinked</x:v>
      </x:c>
      <x:c r="E1357" s="207" t="str">
        <x:v>2 строк; 19500.00 руб.; 16A-007</x:v>
      </x:c>
      <x:c r="F1357" s="207" t="str">
        <x:v>Подтвердить карточку, UOM, состав, цвет, поставщика и правила объединения</x:v>
      </x:c>
      <x:c r="G1357" s="207" t="str">
        <x:v>Закупки + склад</x:v>
      </x:c>
      <x:c r="H1357" s="207" t="str">
        <x:v>Высокий</x:v>
      </x:c>
      <x:c r="I1357" s="207" t="str">
        <x:v>Material aging; BOM; procurement; actual usage</x:v>
      </x:c>
      <x:c r="J1357" s="207" t="str">
        <x:v>Остатки ткани 31.05.2026</x:v>
      </x:c>
      <x:c r="K1357" s="207" t="str"/>
      <x:c r="L1357" s="207" t="str"/>
      <x:c r="M1357" s="207" t="str">
        <x:v>Не рассмотрено</x:v>
      </x:c>
      <x:c r="N1357" s="207" t="str"/>
      <x:c r="O1357" s="207" t="str">
        <x:v>17</x:v>
      </x:c>
      <x:c r="P1357" s="207" t="n">
        <x:v>3</x:v>
      </x:c>
      <x:c r="Q1357" s="208" t="str">
        <x:v>Wave 2 (31–60 дней)</x:v>
      </x:c>
    </x:row>
    <x:row r="1358">
      <x:c r="A1358" s="206" t="str">
        <x:v>DEC-01354</x:v>
      </x:c>
      <x:c r="B1358" s="207" t="str">
        <x:v>Material master</x:v>
      </x:c>
      <x:c r="C1358" s="207" t="str">
        <x:v>MAT-DRAFT-0630</x:v>
      </x:c>
      <x:c r="D1358" s="207" t="str">
        <x:v>Unlinked</x:v>
      </x:c>
      <x:c r="E1358" s="207" t="str">
        <x:v>1 строк; 12500.00 руб.; 16A-004</x:v>
      </x:c>
      <x:c r="F1358" s="207" t="str">
        <x:v>Подтвердить карточку, UOM, состав, цвет, поставщика и правила объединения</x:v>
      </x:c>
      <x:c r="G1358" s="207" t="str">
        <x:v>Закупки + склад</x:v>
      </x:c>
      <x:c r="H1358" s="207" t="str">
        <x:v>Высокий</x:v>
      </x:c>
      <x:c r="I1358" s="207" t="str">
        <x:v>Material aging; BOM; procurement; actual usage</x:v>
      </x:c>
      <x:c r="J1358" s="207" t="str">
        <x:v>Остатки ткани 31.05.2026</x:v>
      </x:c>
      <x:c r="K1358" s="207" t="str"/>
      <x:c r="L1358" s="207" t="str"/>
      <x:c r="M1358" s="207" t="str">
        <x:v>Не рассмотрено</x:v>
      </x:c>
      <x:c r="N1358" s="207" t="str"/>
      <x:c r="O1358" s="207" t="str">
        <x:v>17</x:v>
      </x:c>
      <x:c r="P1358" s="207" t="n">
        <x:v>3</x:v>
      </x:c>
      <x:c r="Q1358" s="208" t="str">
        <x:v>Wave 2 (31–60 дней)</x:v>
      </x:c>
    </x:row>
    <x:row r="1359">
      <x:c r="A1359" s="206" t="str">
        <x:v>DEC-01355</x:v>
      </x:c>
      <x:c r="B1359" s="207" t="str">
        <x:v>Material master</x:v>
      </x:c>
      <x:c r="C1359" s="207" t="str">
        <x:v>MAT-DRAFT-0631</x:v>
      </x:c>
      <x:c r="D1359" s="207" t="str">
        <x:v>Unlinked</x:v>
      </x:c>
      <x:c r="E1359" s="207" t="str">
        <x:v>1 строк; 21875.00 руб.; 16A-003</x:v>
      </x:c>
      <x:c r="F1359" s="207" t="str">
        <x:v>Подтвердить карточку, UOM, состав, цвет, поставщика и правила объединения</x:v>
      </x:c>
      <x:c r="G1359" s="207" t="str">
        <x:v>Закупки + склад</x:v>
      </x:c>
      <x:c r="H1359" s="207" t="str">
        <x:v>Высокий</x:v>
      </x:c>
      <x:c r="I1359" s="207" t="str">
        <x:v>Material aging; BOM; procurement; actual usage</x:v>
      </x:c>
      <x:c r="J1359" s="207" t="str">
        <x:v>Остатки ткани 31.05.2026</x:v>
      </x:c>
      <x:c r="K1359" s="207" t="str"/>
      <x:c r="L1359" s="207" t="str"/>
      <x:c r="M1359" s="207" t="str">
        <x:v>Не рассмотрено</x:v>
      </x:c>
      <x:c r="N1359" s="207" t="str"/>
      <x:c r="O1359" s="207" t="str">
        <x:v>17</x:v>
      </x:c>
      <x:c r="P1359" s="207" t="n">
        <x:v>3</x:v>
      </x:c>
      <x:c r="Q1359" s="208" t="str">
        <x:v>Wave 2 (31–60 дней)</x:v>
      </x:c>
    </x:row>
    <x:row r="1360">
      <x:c r="A1360" s="206" t="str">
        <x:v>DEC-01356</x:v>
      </x:c>
      <x:c r="B1360" s="207" t="str">
        <x:v>Material master</x:v>
      </x:c>
      <x:c r="C1360" s="207" t="str">
        <x:v>MAT-DRAFT-0632</x:v>
      </x:c>
      <x:c r="D1360" s="207" t="str">
        <x:v>Unlinked</x:v>
      </x:c>
      <x:c r="E1360" s="207" t="str">
        <x:v>1 строк; 7000.00 руб.; 16A-006</x:v>
      </x:c>
      <x:c r="F1360" s="207" t="str">
        <x:v>Подтвердить карточку, UOM, состав, цвет, поставщика и правила объединения</x:v>
      </x:c>
      <x:c r="G1360" s="207" t="str">
        <x:v>Закупки + склад</x:v>
      </x:c>
      <x:c r="H1360" s="207" t="str">
        <x:v>Средний</x:v>
      </x:c>
      <x:c r="I1360" s="207" t="str">
        <x:v>Material aging; BOM; procurement; actual usage</x:v>
      </x:c>
      <x:c r="J1360" s="207" t="str">
        <x:v>Остатки ткани 31.05.2026</x:v>
      </x:c>
      <x:c r="K1360" s="207" t="str"/>
      <x:c r="L1360" s="207" t="str"/>
      <x:c r="M1360" s="207" t="str">
        <x:v>Не рассмотрено</x:v>
      </x:c>
      <x:c r="N1360" s="207" t="str"/>
      <x:c r="O1360" s="207" t="str">
        <x:v>17</x:v>
      </x:c>
      <x:c r="P1360" s="207" t="n">
        <x:v>2</x:v>
      </x:c>
      <x:c r="Q1360" s="208" t="str">
        <x:v>Wave 3 (61–90 дней)</x:v>
      </x:c>
    </x:row>
    <x:row r="1361">
      <x:c r="A1361" s="206" t="str">
        <x:v>DEC-01357</x:v>
      </x:c>
      <x:c r="B1361" s="207" t="str">
        <x:v>Material master</x:v>
      </x:c>
      <x:c r="C1361" s="207" t="str">
        <x:v>MAT-DRAFT-0634</x:v>
      </x:c>
      <x:c r="D1361" s="207" t="str">
        <x:v>Unlinked</x:v>
      </x:c>
      <x:c r="E1361" s="207" t="str">
        <x:v>1 строк; 3100.00 руб.; 17A-043</x:v>
      </x:c>
      <x:c r="F1361" s="207" t="str">
        <x:v>Подтвердить карточку, UOM, состав, цвет, поставщика и правила объединения</x:v>
      </x:c>
      <x:c r="G1361" s="207" t="str">
        <x:v>Закупки + склад</x:v>
      </x:c>
      <x:c r="H1361" s="207" t="str">
        <x:v>Средний</x:v>
      </x:c>
      <x:c r="I1361" s="207" t="str">
        <x:v>Material aging; BOM; procurement; actual usage</x:v>
      </x:c>
      <x:c r="J1361" s="207" t="str">
        <x:v>Остатки ткани 31.05.2026</x:v>
      </x:c>
      <x:c r="K1361" s="207" t="str"/>
      <x:c r="L1361" s="207" t="str"/>
      <x:c r="M1361" s="207" t="str">
        <x:v>Не рассмотрено</x:v>
      </x:c>
      <x:c r="N1361" s="207" t="str"/>
      <x:c r="O1361" s="207" t="str">
        <x:v>17</x:v>
      </x:c>
      <x:c r="P1361" s="207" t="n">
        <x:v>2</x:v>
      </x:c>
      <x:c r="Q1361" s="208" t="str">
        <x:v>Wave 3 (61–90 дней)</x:v>
      </x:c>
    </x:row>
    <x:row r="1362">
      <x:c r="A1362" s="206" t="str">
        <x:v>DEC-01358</x:v>
      </x:c>
      <x:c r="B1362" s="207" t="str">
        <x:v>Material master</x:v>
      </x:c>
      <x:c r="C1362" s="207" t="str">
        <x:v>MAT-DRAFT-0635</x:v>
      </x:c>
      <x:c r="D1362" s="207" t="str">
        <x:v>Unlinked</x:v>
      </x:c>
      <x:c r="E1362" s="207" t="str">
        <x:v>1 строк; 18600.00 руб.; 17A-039</x:v>
      </x:c>
      <x:c r="F1362" s="207" t="str">
        <x:v>Подтвердить карточку, UOM, состав, цвет, поставщика и правила объединения</x:v>
      </x:c>
      <x:c r="G1362" s="207" t="str">
        <x:v>Закупки + склад</x:v>
      </x:c>
      <x:c r="H1362" s="207" t="str">
        <x:v>Высокий</x:v>
      </x:c>
      <x:c r="I1362" s="207" t="str">
        <x:v>Material aging; BOM; procurement; actual usage</x:v>
      </x:c>
      <x:c r="J1362" s="207" t="str">
        <x:v>Остатки ткани 31.05.2026</x:v>
      </x:c>
      <x:c r="K1362" s="207" t="str"/>
      <x:c r="L1362" s="207" t="str"/>
      <x:c r="M1362" s="207" t="str">
        <x:v>Не рассмотрено</x:v>
      </x:c>
      <x:c r="N1362" s="207" t="str"/>
      <x:c r="O1362" s="207" t="str">
        <x:v>17</x:v>
      </x:c>
      <x:c r="P1362" s="207" t="n">
        <x:v>3</x:v>
      </x:c>
      <x:c r="Q1362" s="208" t="str">
        <x:v>Wave 2 (31–60 дней)</x:v>
      </x:c>
    </x:row>
    <x:row r="1363">
      <x:c r="A1363" s="206" t="str">
        <x:v>DEC-01359</x:v>
      </x:c>
      <x:c r="B1363" s="207" t="str">
        <x:v>Material master</x:v>
      </x:c>
      <x:c r="C1363" s="207" t="str">
        <x:v>MAT-DRAFT-0636</x:v>
      </x:c>
      <x:c r="D1363" s="207" t="str">
        <x:v>Unlinked</x:v>
      </x:c>
      <x:c r="E1363" s="207" t="str">
        <x:v>2 строк; 43400.00 руб.; 17A-036</x:v>
      </x:c>
      <x:c r="F1363" s="207" t="str">
        <x:v>Подтвердить карточку, UOM, состав, цвет, поставщика и правила объединения</x:v>
      </x:c>
      <x:c r="G1363" s="207" t="str">
        <x:v>Закупки + склад</x:v>
      </x:c>
      <x:c r="H1363" s="207" t="str">
        <x:v>Высокий</x:v>
      </x:c>
      <x:c r="I1363" s="207" t="str">
        <x:v>Material aging; BOM; procurement; actual usage</x:v>
      </x:c>
      <x:c r="J1363" s="207" t="str">
        <x:v>Остатки ткани 31.05.2026</x:v>
      </x:c>
      <x:c r="K1363" s="207" t="str"/>
      <x:c r="L1363" s="207" t="str"/>
      <x:c r="M1363" s="207" t="str">
        <x:v>Не рассмотрено</x:v>
      </x:c>
      <x:c r="N1363" s="207" t="str"/>
      <x:c r="O1363" s="207" t="str">
        <x:v>17</x:v>
      </x:c>
      <x:c r="P1363" s="207" t="n">
        <x:v>3</x:v>
      </x:c>
      <x:c r="Q1363" s="208" t="str">
        <x:v>Wave 2 (31–60 дней)</x:v>
      </x:c>
    </x:row>
    <x:row r="1364">
      <x:c r="A1364" s="206" t="str">
        <x:v>DEC-01360</x:v>
      </x:c>
      <x:c r="B1364" s="207" t="str">
        <x:v>Material master</x:v>
      </x:c>
      <x:c r="C1364" s="207" t="str">
        <x:v>MAT-DRAFT-0637</x:v>
      </x:c>
      <x:c r="D1364" s="207" t="str">
        <x:v>Unlinked</x:v>
      </x:c>
      <x:c r="E1364" s="207" t="str">
        <x:v>1 строк; 10850.00 руб.; 17A-040</x:v>
      </x:c>
      <x:c r="F1364" s="207" t="str">
        <x:v>Подтвердить карточку, UOM, состав, цвет, поставщика и правила объединения</x:v>
      </x:c>
      <x:c r="G1364" s="207" t="str">
        <x:v>Закупки + склад</x:v>
      </x:c>
      <x:c r="H1364" s="207" t="str">
        <x:v>Высокий</x:v>
      </x:c>
      <x:c r="I1364" s="207" t="str">
        <x:v>Material aging; BOM; procurement; actual usage</x:v>
      </x:c>
      <x:c r="J1364" s="207" t="str">
        <x:v>Остатки ткани 31.05.2026</x:v>
      </x:c>
      <x:c r="K1364" s="207" t="str"/>
      <x:c r="L1364" s="207" t="str"/>
      <x:c r="M1364" s="207" t="str">
        <x:v>Не рассмотрено</x:v>
      </x:c>
      <x:c r="N1364" s="207" t="str"/>
      <x:c r="O1364" s="207" t="str">
        <x:v>17</x:v>
      </x:c>
      <x:c r="P1364" s="207" t="n">
        <x:v>3</x:v>
      </x:c>
      <x:c r="Q1364" s="208" t="str">
        <x:v>Wave 2 (31–60 дней)</x:v>
      </x:c>
    </x:row>
    <x:row r="1365">
      <x:c r="A1365" s="206" t="str">
        <x:v>DEC-01361</x:v>
      </x:c>
      <x:c r="B1365" s="207" t="str">
        <x:v>Material master</x:v>
      </x:c>
      <x:c r="C1365" s="207" t="str">
        <x:v>MAT-DRAFT-0638</x:v>
      </x:c>
      <x:c r="D1365" s="207" t="str">
        <x:v>Unlinked</x:v>
      </x:c>
      <x:c r="E1365" s="207" t="str">
        <x:v>1 строк; 21700.00 руб.; 17A-038</x:v>
      </x:c>
      <x:c r="F1365" s="207" t="str">
        <x:v>Подтвердить карточку, UOM, состав, цвет, поставщика и правила объединения</x:v>
      </x:c>
      <x:c r="G1365" s="207" t="str">
        <x:v>Закупки + склад</x:v>
      </x:c>
      <x:c r="H1365" s="207" t="str">
        <x:v>Высокий</x:v>
      </x:c>
      <x:c r="I1365" s="207" t="str">
        <x:v>Material aging; BOM; procurement; actual usage</x:v>
      </x:c>
      <x:c r="J1365" s="207" t="str">
        <x:v>Остатки ткани 31.05.2026</x:v>
      </x:c>
      <x:c r="K1365" s="207" t="str"/>
      <x:c r="L1365" s="207" t="str"/>
      <x:c r="M1365" s="207" t="str">
        <x:v>Не рассмотрено</x:v>
      </x:c>
      <x:c r="N1365" s="207" t="str"/>
      <x:c r="O1365" s="207" t="str">
        <x:v>17</x:v>
      </x:c>
      <x:c r="P1365" s="207" t="n">
        <x:v>3</x:v>
      </x:c>
      <x:c r="Q1365" s="208" t="str">
        <x:v>Wave 2 (31–60 дней)</x:v>
      </x:c>
    </x:row>
    <x:row r="1366">
      <x:c r="A1366" s="206" t="str">
        <x:v>DEC-01362</x:v>
      </x:c>
      <x:c r="B1366" s="207" t="str">
        <x:v>Material master</x:v>
      </x:c>
      <x:c r="C1366" s="207" t="str">
        <x:v>MAT-DRAFT-0639</x:v>
      </x:c>
      <x:c r="D1366" s="207" t="str">
        <x:v>Unlinked</x:v>
      </x:c>
      <x:c r="E1366" s="207" t="str">
        <x:v>1 строк; 74200.00 руб.; 17A-046</x:v>
      </x:c>
      <x:c r="F1366" s="207" t="str">
        <x:v>Подтвердить карточку, UOM, состав, цвет, поставщика и правила объединения</x:v>
      </x:c>
      <x:c r="G1366" s="207" t="str">
        <x:v>Закупки + склад</x:v>
      </x:c>
      <x:c r="H1366" s="207" t="str">
        <x:v>Высокий</x:v>
      </x:c>
      <x:c r="I1366" s="207" t="str">
        <x:v>Material aging; BOM; procurement; actual usage</x:v>
      </x:c>
      <x:c r="J1366" s="207" t="str">
        <x:v>Остатки ткани 31.05.2026</x:v>
      </x:c>
      <x:c r="K1366" s="207" t="str"/>
      <x:c r="L1366" s="207" t="str"/>
      <x:c r="M1366" s="207" t="str">
        <x:v>Не рассмотрено</x:v>
      </x:c>
      <x:c r="N1366" s="207" t="str"/>
      <x:c r="O1366" s="207" t="str">
        <x:v>17</x:v>
      </x:c>
      <x:c r="P1366" s="207" t="n">
        <x:v>3</x:v>
      </x:c>
      <x:c r="Q1366" s="208" t="str">
        <x:v>Wave 2 (31–60 дней)</x:v>
      </x:c>
    </x:row>
    <x:row r="1367">
      <x:c r="A1367" s="206" t="str">
        <x:v>DEC-01363</x:v>
      </x:c>
      <x:c r="B1367" s="207" t="str">
        <x:v>Material master</x:v>
      </x:c>
      <x:c r="C1367" s="207" t="str">
        <x:v>MAT-DRAFT-0640</x:v>
      </x:c>
      <x:c r="D1367" s="207" t="str">
        <x:v>Unlinked</x:v>
      </x:c>
      <x:c r="E1367" s="207" t="str">
        <x:v>1 строк; 26680.00 руб.; 17A-045</x:v>
      </x:c>
      <x:c r="F1367" s="207" t="str">
        <x:v>Подтвердить карточку, UOM, состав, цвет, поставщика и правила объединения</x:v>
      </x:c>
      <x:c r="G1367" s="207" t="str">
        <x:v>Закупки + склад</x:v>
      </x:c>
      <x:c r="H1367" s="207" t="str">
        <x:v>Высокий</x:v>
      </x:c>
      <x:c r="I1367" s="207" t="str">
        <x:v>Material aging; BOM; procurement; actual usage</x:v>
      </x:c>
      <x:c r="J1367" s="207" t="str">
        <x:v>Остатки ткани 31.05.2026</x:v>
      </x:c>
      <x:c r="K1367" s="207" t="str"/>
      <x:c r="L1367" s="207" t="str"/>
      <x:c r="M1367" s="207" t="str">
        <x:v>Не рассмотрено</x:v>
      </x:c>
      <x:c r="N1367" s="207" t="str"/>
      <x:c r="O1367" s="207" t="str">
        <x:v>17</x:v>
      </x:c>
      <x:c r="P1367" s="207" t="n">
        <x:v>3</x:v>
      </x:c>
      <x:c r="Q1367" s="208" t="str">
        <x:v>Wave 2 (31–60 дней)</x:v>
      </x:c>
    </x:row>
    <x:row r="1368">
      <x:c r="A1368" s="206" t="str">
        <x:v>DEC-01364</x:v>
      </x:c>
      <x:c r="B1368" s="207" t="str">
        <x:v>Material master</x:v>
      </x:c>
      <x:c r="C1368" s="207" t="str">
        <x:v>MAT-DRAFT-0647</x:v>
      </x:c>
      <x:c r="D1368" s="207" t="str">
        <x:v>Unlinked</x:v>
      </x:c>
      <x:c r="E1368" s="207" t="str">
        <x:v>1 строк; 15750.00 руб.; 16-028</x:v>
      </x:c>
      <x:c r="F1368" s="207" t="str">
        <x:v>Подтвердить карточку, UOM, состав, цвет, поставщика и правила объединения</x:v>
      </x:c>
      <x:c r="G1368" s="207" t="str">
        <x:v>Закупки + склад</x:v>
      </x:c>
      <x:c r="H1368" s="207" t="str">
        <x:v>Высокий</x:v>
      </x:c>
      <x:c r="I1368" s="207" t="str">
        <x:v>Material aging; BOM; procurement; actual usage</x:v>
      </x:c>
      <x:c r="J1368" s="207" t="str">
        <x:v>Остатки ткани 31.05.2026</x:v>
      </x:c>
      <x:c r="K1368" s="207" t="str"/>
      <x:c r="L1368" s="207" t="str"/>
      <x:c r="M1368" s="207" t="str">
        <x:v>Не рассмотрено</x:v>
      </x:c>
      <x:c r="N1368" s="207" t="str"/>
      <x:c r="O1368" s="207" t="str">
        <x:v>17</x:v>
      </x:c>
      <x:c r="P1368" s="207" t="n">
        <x:v>3</x:v>
      </x:c>
      <x:c r="Q1368" s="208" t="str">
        <x:v>Wave 2 (31–60 дней)</x:v>
      </x:c>
    </x:row>
    <x:row r="1369">
      <x:c r="A1369" s="206" t="str">
        <x:v>DEC-01365</x:v>
      </x:c>
      <x:c r="B1369" s="207" t="str">
        <x:v>Material master</x:v>
      </x:c>
      <x:c r="C1369" s="207" t="str">
        <x:v>MAT-DRAFT-0648</x:v>
      </x:c>
      <x:c r="D1369" s="207" t="str">
        <x:v>Unlinked</x:v>
      </x:c>
      <x:c r="E1369" s="207" t="str">
        <x:v>1 строк; 99470.00 руб.; 17A-051</x:v>
      </x:c>
      <x:c r="F1369" s="207" t="str">
        <x:v>Подтвердить карточку, UOM, состав, цвет, поставщика и правила объединения</x:v>
      </x:c>
      <x:c r="G1369" s="207" t="str">
        <x:v>Закупки + склад</x:v>
      </x:c>
      <x:c r="H1369" s="207" t="str">
        <x:v>Высокий</x:v>
      </x:c>
      <x:c r="I1369" s="207" t="str">
        <x:v>Material aging; BOM; procurement; actual usage</x:v>
      </x:c>
      <x:c r="J1369" s="207" t="str">
        <x:v>Остатки ткани 31.05.2026</x:v>
      </x:c>
      <x:c r="K1369" s="207" t="str"/>
      <x:c r="L1369" s="207" t="str"/>
      <x:c r="M1369" s="207" t="str">
        <x:v>Не рассмотрено</x:v>
      </x:c>
      <x:c r="N1369" s="207" t="str"/>
      <x:c r="O1369" s="207" t="str">
        <x:v>17</x:v>
      </x:c>
      <x:c r="P1369" s="207" t="n">
        <x:v>3</x:v>
      </x:c>
      <x:c r="Q1369" s="208" t="str">
        <x:v>Wave 2 (31–60 дней)</x:v>
      </x:c>
    </x:row>
    <x:row r="1370">
      <x:c r="A1370" s="206" t="str">
        <x:v>DEC-01366</x:v>
      </x:c>
      <x:c r="B1370" s="207" t="str">
        <x:v>Material master</x:v>
      </x:c>
      <x:c r="C1370" s="207" t="str">
        <x:v>MAT-DRAFT-0649</x:v>
      </x:c>
      <x:c r="D1370" s="207" t="str">
        <x:v>Unlinked</x:v>
      </x:c>
      <x:c r="E1370" s="207" t="str">
        <x:v>2 строк; 172050.00 руб.; 17A-062</x:v>
      </x:c>
      <x:c r="F1370" s="207" t="str">
        <x:v>Подтвердить карточку, UOM, состав, цвет, поставщика и правила объединения</x:v>
      </x:c>
      <x:c r="G1370" s="207" t="str">
        <x:v>Закупки + склад</x:v>
      </x:c>
      <x:c r="H1370" s="207" t="str">
        <x:v>Критический</x:v>
      </x:c>
      <x:c r="I1370" s="207" t="str">
        <x:v>Material aging; BOM; procurement; actual usage</x:v>
      </x:c>
      <x:c r="J1370" s="207" t="str">
        <x:v>Остатки ткани 31.05.2026</x:v>
      </x:c>
      <x:c r="K1370" s="207" t="str"/>
      <x:c r="L1370" s="207" t="str"/>
      <x:c r="M1370" s="207" t="str">
        <x:v>Не рассмотрено</x:v>
      </x:c>
      <x:c r="N1370" s="207" t="str"/>
      <x:c r="O1370" s="207" t="str">
        <x:v>17</x:v>
      </x:c>
      <x:c r="P1370" s="207" t="n">
        <x:v>4</x:v>
      </x:c>
      <x:c r="Q1370" s="208" t="str">
        <x:v>Wave 1 (0–30 дней)</x:v>
      </x:c>
    </x:row>
    <x:row r="1371">
      <x:c r="A1371" s="206" t="str">
        <x:v>DEC-01367</x:v>
      </x:c>
      <x:c r="B1371" s="207" t="str">
        <x:v>Material master</x:v>
      </x:c>
      <x:c r="C1371" s="207" t="str">
        <x:v>MAT-DRAFT-0650</x:v>
      </x:c>
      <x:c r="D1371" s="207" t="str">
        <x:v>Unlinked</x:v>
      </x:c>
      <x:c r="E1371" s="207" t="str">
        <x:v>2 строк; 362100.00 руб.; 17A-061</x:v>
      </x:c>
      <x:c r="F1371" s="207" t="str">
        <x:v>Подтвердить карточку, UOM, состав, цвет, поставщика и правила объединения</x:v>
      </x:c>
      <x:c r="G1371" s="207" t="str">
        <x:v>Закупки + склад</x:v>
      </x:c>
      <x:c r="H1371" s="207" t="str">
        <x:v>Критический</x:v>
      </x:c>
      <x:c r="I1371" s="207" t="str">
        <x:v>Material aging; BOM; procurement; actual usage</x:v>
      </x:c>
      <x:c r="J1371" s="207" t="str">
        <x:v>Остатки ткани 31.05.2026</x:v>
      </x:c>
      <x:c r="K1371" s="207" t="str"/>
      <x:c r="L1371" s="207" t="str"/>
      <x:c r="M1371" s="207" t="str">
        <x:v>Не рассмотрено</x:v>
      </x:c>
      <x:c r="N1371" s="207" t="str"/>
      <x:c r="O1371" s="207" t="str">
        <x:v>17</x:v>
      </x:c>
      <x:c r="P1371" s="207" t="n">
        <x:v>4</x:v>
      </x:c>
      <x:c r="Q1371" s="208" t="str">
        <x:v>Wave 1 (0–30 дней)</x:v>
      </x:c>
    </x:row>
    <x:row r="1372">
      <x:c r="A1372" s="206" t="str">
        <x:v>DEC-01368</x:v>
      </x:c>
      <x:c r="B1372" s="207" t="str">
        <x:v>Material master</x:v>
      </x:c>
      <x:c r="C1372" s="207" t="str">
        <x:v>MAT-DRAFT-0651</x:v>
      </x:c>
      <x:c r="D1372" s="207" t="str">
        <x:v>Unlinked</x:v>
      </x:c>
      <x:c r="E1372" s="207" t="str">
        <x:v>2 строк; 156240.00 руб.; 17A-031</x:v>
      </x:c>
      <x:c r="F1372" s="207" t="str">
        <x:v>Подтвердить карточку, UOM, состав, цвет, поставщика и правила объединения</x:v>
      </x:c>
      <x:c r="G1372" s="207" t="str">
        <x:v>Закупки + склад</x:v>
      </x:c>
      <x:c r="H1372" s="207" t="str">
        <x:v>Критический</x:v>
      </x:c>
      <x:c r="I1372" s="207" t="str">
        <x:v>Material aging; BOM; procurement; actual usage</x:v>
      </x:c>
      <x:c r="J1372" s="207" t="str">
        <x:v>Остатки ткани 31.05.2026</x:v>
      </x:c>
      <x:c r="K1372" s="207" t="str"/>
      <x:c r="L1372" s="207" t="str"/>
      <x:c r="M1372" s="207" t="str">
        <x:v>Не рассмотрено</x:v>
      </x:c>
      <x:c r="N1372" s="207" t="str"/>
      <x:c r="O1372" s="207" t="str">
        <x:v>17</x:v>
      </x:c>
      <x:c r="P1372" s="207" t="n">
        <x:v>4</x:v>
      </x:c>
      <x:c r="Q1372" s="208" t="str">
        <x:v>Wave 1 (0–30 дней)</x:v>
      </x:c>
    </x:row>
    <x:row r="1373">
      <x:c r="A1373" s="206" t="str">
        <x:v>DEC-01369</x:v>
      </x:c>
      <x:c r="B1373" s="207" t="str">
        <x:v>Material master</x:v>
      </x:c>
      <x:c r="C1373" s="207" t="str">
        <x:v>MAT-DRAFT-0652</x:v>
      </x:c>
      <x:c r="D1373" s="207" t="str">
        <x:v>Unlinked</x:v>
      </x:c>
      <x:c r="E1373" s="207" t="str">
        <x:v>1 строк; 14760.00 руб.; 17-011</x:v>
      </x:c>
      <x:c r="F1373" s="207" t="str">
        <x:v>Подтвердить карточку, UOM, состав, цвет, поставщика и правила объединения</x:v>
      </x:c>
      <x:c r="G1373" s="207" t="str">
        <x:v>Закупки + склад</x:v>
      </x:c>
      <x:c r="H1373" s="207" t="str">
        <x:v>Высокий</x:v>
      </x:c>
      <x:c r="I1373" s="207" t="str">
        <x:v>Material aging; BOM; procurement; actual usage</x:v>
      </x:c>
      <x:c r="J1373" s="207" t="str">
        <x:v>Остатки ткани 31.05.2026</x:v>
      </x:c>
      <x:c r="K1373" s="207" t="str"/>
      <x:c r="L1373" s="207" t="str"/>
      <x:c r="M1373" s="207" t="str">
        <x:v>Не рассмотрено</x:v>
      </x:c>
      <x:c r="N1373" s="207" t="str"/>
      <x:c r="O1373" s="207" t="str">
        <x:v>17</x:v>
      </x:c>
      <x:c r="P1373" s="207" t="n">
        <x:v>3</x:v>
      </x:c>
      <x:c r="Q1373" s="208" t="str">
        <x:v>Wave 2 (31–60 дней)</x:v>
      </x:c>
    </x:row>
    <x:row r="1374">
      <x:c r="A1374" s="206" t="str">
        <x:v>DEC-01370</x:v>
      </x:c>
      <x:c r="B1374" s="207" t="str">
        <x:v>Material master</x:v>
      </x:c>
      <x:c r="C1374" s="207" t="str">
        <x:v>MAT-DRAFT-0653</x:v>
      </x:c>
      <x:c r="D1374" s="207" t="str">
        <x:v>Unlinked</x:v>
      </x:c>
      <x:c r="E1374" s="207" t="str">
        <x:v>1 строк; 20400.00 руб.; 17-010</x:v>
      </x:c>
      <x:c r="F1374" s="207" t="str">
        <x:v>Подтвердить карточку, UOM, состав, цвет, поставщика и правила объединения</x:v>
      </x:c>
      <x:c r="G1374" s="207" t="str">
        <x:v>Закупки + склад</x:v>
      </x:c>
      <x:c r="H1374" s="207" t="str">
        <x:v>Высокий</x:v>
      </x:c>
      <x:c r="I1374" s="207" t="str">
        <x:v>Material aging; BOM; procurement; actual usage</x:v>
      </x:c>
      <x:c r="J1374" s="207" t="str">
        <x:v>Остатки ткани 31.05.2026</x:v>
      </x:c>
      <x:c r="K1374" s="207" t="str"/>
      <x:c r="L1374" s="207" t="str"/>
      <x:c r="M1374" s="207" t="str">
        <x:v>Не рассмотрено</x:v>
      </x:c>
      <x:c r="N1374" s="207" t="str"/>
      <x:c r="O1374" s="207" t="str">
        <x:v>17</x:v>
      </x:c>
      <x:c r="P1374" s="207" t="n">
        <x:v>3</x:v>
      </x:c>
      <x:c r="Q1374" s="208" t="str">
        <x:v>Wave 2 (31–60 дней)</x:v>
      </x:c>
    </x:row>
    <x:row r="1375">
      <x:c r="A1375" s="206" t="str">
        <x:v>DEC-01371</x:v>
      </x:c>
      <x:c r="B1375" s="207" t="str">
        <x:v>Material master</x:v>
      </x:c>
      <x:c r="C1375" s="207" t="str">
        <x:v>MAT-DRAFT-0656</x:v>
      </x:c>
      <x:c r="D1375" s="207" t="str">
        <x:v>Несколько кодов; Несколько исходных наименований</x:v>
      </x:c>
      <x:c r="E1375" s="207" t="str">
        <x:v>6 строк; 150000.00 руб.; 16-003; 16-004</x:v>
      </x:c>
      <x:c r="F1375" s="207" t="str">
        <x:v>Подтвердить карточку, UOM, состав, цвет, поставщика и правила объединения</x:v>
      </x:c>
      <x:c r="G1375" s="207" t="str">
        <x:v>Закупки + склад</x:v>
      </x:c>
      <x:c r="H1375" s="207" t="str">
        <x:v>Высокий</x:v>
      </x:c>
      <x:c r="I1375" s="207" t="str">
        <x:v>Material aging; BOM; procurement; actual usage</x:v>
      </x:c>
      <x:c r="J1375" s="207" t="str">
        <x:v>Остатки ткани 31.05.2026</x:v>
      </x:c>
      <x:c r="K1375" s="207" t="str"/>
      <x:c r="L1375" s="207" t="str"/>
      <x:c r="M1375" s="207" t="str">
        <x:v>Не рассмотрено</x:v>
      </x:c>
      <x:c r="N1375" s="207" t="str"/>
      <x:c r="O1375" s="207" t="str">
        <x:v>17</x:v>
      </x:c>
      <x:c r="P1375" s="207" t="n">
        <x:v>3</x:v>
      </x:c>
      <x:c r="Q1375" s="208" t="str">
        <x:v>Wave 2 (31–60 дней)</x:v>
      </x:c>
    </x:row>
    <x:row r="1376">
      <x:c r="A1376" s="206" t="str">
        <x:v>DEC-01372</x:v>
      </x:c>
      <x:c r="B1376" s="207" t="str">
        <x:v>Material master</x:v>
      </x:c>
      <x:c r="C1376" s="207" t="str">
        <x:v>MAT-DRAFT-0657</x:v>
      </x:c>
      <x:c r="D1376" s="207" t="str">
        <x:v>Несколько кодов; Несколько исходных наименований</x:v>
      </x:c>
      <x:c r="E1376" s="207" t="str">
        <x:v>5 строк; 104890.00 руб.; 16-005; 16-006; 16-007</x:v>
      </x:c>
      <x:c r="F1376" s="207" t="str">
        <x:v>Подтвердить карточку, UOM, состав, цвет, поставщика и правила объединения</x:v>
      </x:c>
      <x:c r="G1376" s="207" t="str">
        <x:v>Закупки + склад</x:v>
      </x:c>
      <x:c r="H1376" s="207" t="str">
        <x:v>Высокий</x:v>
      </x:c>
      <x:c r="I1376" s="207" t="str">
        <x:v>Material aging; BOM; procurement; actual usage</x:v>
      </x:c>
      <x:c r="J1376" s="207" t="str">
        <x:v>Остатки ткани 31.05.2026</x:v>
      </x:c>
      <x:c r="K1376" s="207" t="str"/>
      <x:c r="L1376" s="207" t="str"/>
      <x:c r="M1376" s="207" t="str">
        <x:v>Не рассмотрено</x:v>
      </x:c>
      <x:c r="N1376" s="207" t="str"/>
      <x:c r="O1376" s="207" t="str">
        <x:v>17</x:v>
      </x:c>
      <x:c r="P1376" s="207" t="n">
        <x:v>3</x:v>
      </x:c>
      <x:c r="Q1376" s="208" t="str">
        <x:v>Wave 2 (31–60 дней)</x:v>
      </x:c>
    </x:row>
    <x:row r="1377">
      <x:c r="A1377" s="206" t="str">
        <x:v>DEC-01373</x:v>
      </x:c>
      <x:c r="B1377" s="207" t="str">
        <x:v>Material master</x:v>
      </x:c>
      <x:c r="C1377" s="207" t="str">
        <x:v>MAT-DRAFT-0659</x:v>
      </x:c>
      <x:c r="D1377" s="207" t="str">
        <x:v>Unlinked</x:v>
      </x:c>
      <x:c r="E1377" s="207" t="str">
        <x:v>2 строк; 71340.00 руб.; 17A-049</x:v>
      </x:c>
      <x:c r="F1377" s="207" t="str">
        <x:v>Подтвердить карточку, UOM, состав, цвет, поставщика и правила объединения</x:v>
      </x:c>
      <x:c r="G1377" s="207" t="str">
        <x:v>Закупки + склад</x:v>
      </x:c>
      <x:c r="H1377" s="207" t="str">
        <x:v>Высокий</x:v>
      </x:c>
      <x:c r="I1377" s="207" t="str">
        <x:v>Material aging; BOM; procurement; actual usage</x:v>
      </x:c>
      <x:c r="J1377" s="207" t="str">
        <x:v>Остатки ткани 31.05.2026</x:v>
      </x:c>
      <x:c r="K1377" s="207" t="str"/>
      <x:c r="L1377" s="207" t="str"/>
      <x:c r="M1377" s="207" t="str">
        <x:v>Не рассмотрено</x:v>
      </x:c>
      <x:c r="N1377" s="207" t="str"/>
      <x:c r="O1377" s="207" t="str">
        <x:v>17</x:v>
      </x:c>
      <x:c r="P1377" s="207" t="n">
        <x:v>3</x:v>
      </x:c>
      <x:c r="Q1377" s="208" t="str">
        <x:v>Wave 2 (31–60 дней)</x:v>
      </x:c>
    </x:row>
    <x:row r="1378">
      <x:c r="A1378" s="206" t="str">
        <x:v>DEC-01374</x:v>
      </x:c>
      <x:c r="B1378" s="207" t="str">
        <x:v>Material master</x:v>
      </x:c>
      <x:c r="C1378" s="207" t="str">
        <x:v>MAT-DRAFT-0661</x:v>
      </x:c>
      <x:c r="D1378" s="207" t="str">
        <x:v>Несколько кодов; Несколько исходных наименований</x:v>
      </x:c>
      <x:c r="E1378" s="207" t="str">
        <x:v>4 строк; 126650.00 руб.; 16-020; 16-039</x:v>
      </x:c>
      <x:c r="F1378" s="207" t="str">
        <x:v>Подтвердить карточку, UOM, состав, цвет, поставщика и правила объединения</x:v>
      </x:c>
      <x:c r="G1378" s="207" t="str">
        <x:v>Закупки + склад</x:v>
      </x:c>
      <x:c r="H1378" s="207" t="str">
        <x:v>Высокий</x:v>
      </x:c>
      <x:c r="I1378" s="207" t="str">
        <x:v>Material aging; BOM; procurement; actual usage</x:v>
      </x:c>
      <x:c r="J1378" s="207" t="str">
        <x:v>Остатки ткани 31.05.2026</x:v>
      </x:c>
      <x:c r="K1378" s="207" t="str"/>
      <x:c r="L1378" s="207" t="str"/>
      <x:c r="M1378" s="207" t="str">
        <x:v>Не рассмотрено</x:v>
      </x:c>
      <x:c r="N1378" s="207" t="str"/>
      <x:c r="O1378" s="207" t="str">
        <x:v>17</x:v>
      </x:c>
      <x:c r="P1378" s="207" t="n">
        <x:v>3</x:v>
      </x:c>
      <x:c r="Q1378" s="208" t="str">
        <x:v>Wave 2 (31–60 дней)</x:v>
      </x:c>
    </x:row>
    <x:row r="1379">
      <x:c r="A1379" s="206" t="str">
        <x:v>DEC-01375</x:v>
      </x:c>
      <x:c r="B1379" s="207" t="str">
        <x:v>Material master</x:v>
      </x:c>
      <x:c r="C1379" s="207" t="str">
        <x:v>MAT-DRAFT-0663</x:v>
      </x:c>
      <x:c r="D1379" s="207" t="str">
        <x:v>Unlinked</x:v>
      </x:c>
      <x:c r="E1379" s="207" t="str">
        <x:v>2 строк; 118800.00 руб.; 17A-006</x:v>
      </x:c>
      <x:c r="F1379" s="207" t="str">
        <x:v>Подтвердить карточку, UOM, состав, цвет, поставщика и правила объединения</x:v>
      </x:c>
      <x:c r="G1379" s="207" t="str">
        <x:v>Закупки + склад</x:v>
      </x:c>
      <x:c r="H1379" s="207" t="str">
        <x:v>Критический</x:v>
      </x:c>
      <x:c r="I1379" s="207" t="str">
        <x:v>Material aging; BOM; procurement; actual usage</x:v>
      </x:c>
      <x:c r="J1379" s="207" t="str">
        <x:v>Остатки ткани 31.05.2026</x:v>
      </x:c>
      <x:c r="K1379" s="207" t="str"/>
      <x:c r="L1379" s="207" t="str"/>
      <x:c r="M1379" s="207" t="str">
        <x:v>Не рассмотрено</x:v>
      </x:c>
      <x:c r="N1379" s="207" t="str"/>
      <x:c r="O1379" s="207" t="str">
        <x:v>17</x:v>
      </x:c>
      <x:c r="P1379" s="207" t="n">
        <x:v>4</x:v>
      </x:c>
      <x:c r="Q1379" s="208" t="str">
        <x:v>Wave 1 (0–30 дней)</x:v>
      </x:c>
    </x:row>
    <x:row r="1380">
      <x:c r="A1380" s="206" t="str">
        <x:v>DEC-01376</x:v>
      </x:c>
      <x:c r="B1380" s="207" t="str">
        <x:v>Material master</x:v>
      </x:c>
      <x:c r="C1380" s="207" t="str">
        <x:v>MAT-DRAFT-0664</x:v>
      </x:c>
      <x:c r="D1380" s="207" t="str">
        <x:v>Unlinked</x:v>
      </x:c>
      <x:c r="E1380" s="207" t="str">
        <x:v>1 строк; 8370.00 руб.; 17A-027</x:v>
      </x:c>
      <x:c r="F1380" s="207" t="str">
        <x:v>Подтвердить карточку, UOM, состав, цвет, поставщика и правила объединения</x:v>
      </x:c>
      <x:c r="G1380" s="207" t="str">
        <x:v>Закупки + склад</x:v>
      </x:c>
      <x:c r="H1380" s="207" t="str">
        <x:v>Средний</x:v>
      </x:c>
      <x:c r="I1380" s="207" t="str">
        <x:v>Material aging; BOM; procurement; actual usage</x:v>
      </x:c>
      <x:c r="J1380" s="207" t="str">
        <x:v>Остатки ткани 31.05.2026</x:v>
      </x:c>
      <x:c r="K1380" s="207" t="str"/>
      <x:c r="L1380" s="207" t="str"/>
      <x:c r="M1380" s="207" t="str">
        <x:v>Не рассмотрено</x:v>
      </x:c>
      <x:c r="N1380" s="207" t="str"/>
      <x:c r="O1380" s="207" t="str">
        <x:v>17</x:v>
      </x:c>
      <x:c r="P1380" s="207" t="n">
        <x:v>2</x:v>
      </x:c>
      <x:c r="Q1380" s="208" t="str">
        <x:v>Wave 3 (61–90 дней)</x:v>
      </x:c>
    </x:row>
    <x:row r="1381">
      <x:c r="A1381" s="206" t="str">
        <x:v>DEC-01377</x:v>
      </x:c>
      <x:c r="B1381" s="207" t="str">
        <x:v>Material master</x:v>
      </x:c>
      <x:c r="C1381" s="207" t="str">
        <x:v>MAT-DRAFT-0668</x:v>
      </x:c>
      <x:c r="D1381" s="207" t="str">
        <x:v>Unlinked</x:v>
      </x:c>
      <x:c r="E1381" s="207" t="str">
        <x:v>2 строк; 11925.00 руб.; 16-012</x:v>
      </x:c>
      <x:c r="F1381" s="207" t="str">
        <x:v>Подтвердить карточку, UOM, состав, цвет, поставщика и правила объединения</x:v>
      </x:c>
      <x:c r="G1381" s="207" t="str">
        <x:v>Закупки + склад</x:v>
      </x:c>
      <x:c r="H1381" s="207" t="str">
        <x:v>Высокий</x:v>
      </x:c>
      <x:c r="I1381" s="207" t="str">
        <x:v>Material aging; BOM; procurement; actual usage</x:v>
      </x:c>
      <x:c r="J1381" s="207" t="str">
        <x:v>Остатки ткани 31.05.2026</x:v>
      </x:c>
      <x:c r="K1381" s="207" t="str"/>
      <x:c r="L1381" s="207" t="str"/>
      <x:c r="M1381" s="207" t="str">
        <x:v>Не рассмотрено</x:v>
      </x:c>
      <x:c r="N1381" s="207" t="str"/>
      <x:c r="O1381" s="207" t="str">
        <x:v>17</x:v>
      </x:c>
      <x:c r="P1381" s="207" t="n">
        <x:v>3</x:v>
      </x:c>
      <x:c r="Q1381" s="208" t="str">
        <x:v>Wave 2 (31–60 дней)</x:v>
      </x:c>
    </x:row>
    <x:row r="1382">
      <x:c r="A1382" s="206" t="str">
        <x:v>DEC-01378</x:v>
      </x:c>
      <x:c r="B1382" s="207" t="str">
        <x:v>Material master</x:v>
      </x:c>
      <x:c r="C1382" s="207" t="str">
        <x:v>MAT-DRAFT-0671</x:v>
      </x:c>
      <x:c r="D1382" s="207" t="str">
        <x:v>Несколько кодов; Несколько исходных наименований</x:v>
      </x:c>
      <x:c r="E1382" s="207" t="str">
        <x:v>4 строк; 104625.00 руб.; 16-024; 16-026</x:v>
      </x:c>
      <x:c r="F1382" s="207" t="str">
        <x:v>Подтвердить карточку, UOM, состав, цвет, поставщика и правила объединения</x:v>
      </x:c>
      <x:c r="G1382" s="207" t="str">
        <x:v>Закупки + склад</x:v>
      </x:c>
      <x:c r="H1382" s="207" t="str">
        <x:v>Высокий</x:v>
      </x:c>
      <x:c r="I1382" s="207" t="str">
        <x:v>Material aging; BOM; procurement; actual usage</x:v>
      </x:c>
      <x:c r="J1382" s="207" t="str">
        <x:v>Остатки ткани 31.05.2026</x:v>
      </x:c>
      <x:c r="K1382" s="207" t="str"/>
      <x:c r="L1382" s="207" t="str"/>
      <x:c r="M1382" s="207" t="str">
        <x:v>Не рассмотрено</x:v>
      </x:c>
      <x:c r="N1382" s="207" t="str"/>
      <x:c r="O1382" s="207" t="str">
        <x:v>17</x:v>
      </x:c>
      <x:c r="P1382" s="207" t="n">
        <x:v>3</x:v>
      </x:c>
      <x:c r="Q1382" s="208" t="str">
        <x:v>Wave 2 (31–60 дней)</x:v>
      </x:c>
    </x:row>
    <x:row r="1383">
      <x:c r="A1383" s="206" t="str">
        <x:v>DEC-01379</x:v>
      </x:c>
      <x:c r="B1383" s="207" t="str">
        <x:v>Material master</x:v>
      </x:c>
      <x:c r="C1383" s="207" t="str">
        <x:v>MAT-DRAFT-0672</x:v>
      </x:c>
      <x:c r="D1383" s="207" t="str">
        <x:v>Unlinked</x:v>
      </x:c>
      <x:c r="E1383" s="207" t="str">
        <x:v>3 строк; 76966.00 руб.; 17A-048</x:v>
      </x:c>
      <x:c r="F1383" s="207" t="str">
        <x:v>Подтвердить карточку, UOM, состав, цвет, поставщика и правила объединения</x:v>
      </x:c>
      <x:c r="G1383" s="207" t="str">
        <x:v>Закупки + склад</x:v>
      </x:c>
      <x:c r="H1383" s="207" t="str">
        <x:v>Высокий</x:v>
      </x:c>
      <x:c r="I1383" s="207" t="str">
        <x:v>Material aging; BOM; procurement; actual usage</x:v>
      </x:c>
      <x:c r="J1383" s="207" t="str">
        <x:v>Остатки ткани 31.05.2026</x:v>
      </x:c>
      <x:c r="K1383" s="207" t="str"/>
      <x:c r="L1383" s="207" t="str"/>
      <x:c r="M1383" s="207" t="str">
        <x:v>Не рассмотрено</x:v>
      </x:c>
      <x:c r="N1383" s="207" t="str"/>
      <x:c r="O1383" s="207" t="str">
        <x:v>17</x:v>
      </x:c>
      <x:c r="P1383" s="207" t="n">
        <x:v>3</x:v>
      </x:c>
      <x:c r="Q1383" s="208" t="str">
        <x:v>Wave 2 (31–60 дней)</x:v>
      </x:c>
    </x:row>
    <x:row r="1384">
      <x:c r="A1384" s="206" t="str">
        <x:v>DEC-01380</x:v>
      </x:c>
      <x:c r="B1384" s="207" t="str">
        <x:v>Material master</x:v>
      </x:c>
      <x:c r="C1384" s="207" t="str">
        <x:v>MAT-DRAFT-0673</x:v>
      </x:c>
      <x:c r="D1384" s="207" t="str">
        <x:v>Unlinked</x:v>
      </x:c>
      <x:c r="E1384" s="207" t="str">
        <x:v>1 строк; 22000.00 руб.; 16-025</x:v>
      </x:c>
      <x:c r="F1384" s="207" t="str">
        <x:v>Подтвердить карточку, UOM, состав, цвет, поставщика и правила объединения</x:v>
      </x:c>
      <x:c r="G1384" s="207" t="str">
        <x:v>Закупки + склад</x:v>
      </x:c>
      <x:c r="H1384" s="207" t="str">
        <x:v>Высокий</x:v>
      </x:c>
      <x:c r="I1384" s="207" t="str">
        <x:v>Material aging; BOM; procurement; actual usage</x:v>
      </x:c>
      <x:c r="J1384" s="207" t="str">
        <x:v>Остатки ткани 31.05.2026</x:v>
      </x:c>
      <x:c r="K1384" s="207" t="str"/>
      <x:c r="L1384" s="207" t="str"/>
      <x:c r="M1384" s="207" t="str">
        <x:v>Не рассмотрено</x:v>
      </x:c>
      <x:c r="N1384" s="207" t="str"/>
      <x:c r="O1384" s="207" t="str">
        <x:v>17</x:v>
      </x:c>
      <x:c r="P1384" s="207" t="n">
        <x:v>3</x:v>
      </x:c>
      <x:c r="Q1384" s="208" t="str">
        <x:v>Wave 2 (31–60 дней)</x:v>
      </x:c>
    </x:row>
    <x:row r="1385">
      <x:c r="A1385" s="206" t="str">
        <x:v>DEC-01381</x:v>
      </x:c>
      <x:c r="B1385" s="207" t="str">
        <x:v>Material master</x:v>
      </x:c>
      <x:c r="C1385" s="207" t="str">
        <x:v>MAT-DRAFT-0677</x:v>
      </x:c>
      <x:c r="D1385" s="207" t="str">
        <x:v>Unlinked</x:v>
      </x:c>
      <x:c r="E1385" s="207" t="str">
        <x:v>1 строк; 30160.00 руб.; 17A-058</x:v>
      </x:c>
      <x:c r="F1385" s="207" t="str">
        <x:v>Подтвердить карточку, UOM, состав, цвет, поставщика и правила объединения</x:v>
      </x:c>
      <x:c r="G1385" s="207" t="str">
        <x:v>Закупки + склад</x:v>
      </x:c>
      <x:c r="H1385" s="207" t="str">
        <x:v>Высокий</x:v>
      </x:c>
      <x:c r="I1385" s="207" t="str">
        <x:v>Material aging; BOM; procurement; actual usage</x:v>
      </x:c>
      <x:c r="J1385" s="207" t="str">
        <x:v>Остатки ткани 31.05.2026</x:v>
      </x:c>
      <x:c r="K1385" s="207" t="str"/>
      <x:c r="L1385" s="207" t="str"/>
      <x:c r="M1385" s="207" t="str">
        <x:v>Не рассмотрено</x:v>
      </x:c>
      <x:c r="N1385" s="207" t="str"/>
      <x:c r="O1385" s="207" t="str">
        <x:v>17</x:v>
      </x:c>
      <x:c r="P1385" s="207" t="n">
        <x:v>3</x:v>
      </x:c>
      <x:c r="Q1385" s="208" t="str">
        <x:v>Wave 2 (31–60 дней)</x:v>
      </x:c>
    </x:row>
    <x:row r="1386">
      <x:c r="A1386" s="206" t="str">
        <x:v>DEC-01382</x:v>
      </x:c>
      <x:c r="B1386" s="207" t="str">
        <x:v>Material master</x:v>
      </x:c>
      <x:c r="C1386" s="207" t="str">
        <x:v>MAT-DRAFT-0678</x:v>
      </x:c>
      <x:c r="D1386" s="207" t="str">
        <x:v>Unlinked</x:v>
      </x:c>
      <x:c r="E1386" s="207" t="str">
        <x:v>1 строк; 28675.00 руб.; 17A-013</x:v>
      </x:c>
      <x:c r="F1386" s="207" t="str">
        <x:v>Подтвердить карточку, UOM, состав, цвет, поставщика и правила объединения</x:v>
      </x:c>
      <x:c r="G1386" s="207" t="str">
        <x:v>Закупки + склад</x:v>
      </x:c>
      <x:c r="H1386" s="207" t="str">
        <x:v>Высокий</x:v>
      </x:c>
      <x:c r="I1386" s="207" t="str">
        <x:v>Material aging; BOM; procurement; actual usage</x:v>
      </x:c>
      <x:c r="J1386" s="207" t="str">
        <x:v>Остатки ткани 31.05.2026</x:v>
      </x:c>
      <x:c r="K1386" s="207" t="str"/>
      <x:c r="L1386" s="207" t="str"/>
      <x:c r="M1386" s="207" t="str">
        <x:v>Не рассмотрено</x:v>
      </x:c>
      <x:c r="N1386" s="207" t="str"/>
      <x:c r="O1386" s="207" t="str">
        <x:v>17</x:v>
      </x:c>
      <x:c r="P1386" s="207" t="n">
        <x:v>3</x:v>
      </x:c>
      <x:c r="Q1386" s="208" t="str">
        <x:v>Wave 2 (31–60 дней)</x:v>
      </x:c>
    </x:row>
    <x:row r="1387">
      <x:c r="A1387" s="206" t="str">
        <x:v>DEC-01383</x:v>
      </x:c>
      <x:c r="B1387" s="207" t="str">
        <x:v>Material master</x:v>
      </x:c>
      <x:c r="C1387" s="207" t="str">
        <x:v>MAT-DRAFT-0679</x:v>
      </x:c>
      <x:c r="D1387" s="207" t="str">
        <x:v>Unlinked</x:v>
      </x:c>
      <x:c r="E1387" s="207" t="str">
        <x:v>1 строк; 22620.00 руб.; 17A-059</x:v>
      </x:c>
      <x:c r="F1387" s="207" t="str">
        <x:v>Подтвердить карточку, UOM, состав, цвет, поставщика и правила объединения</x:v>
      </x:c>
      <x:c r="G1387" s="207" t="str">
        <x:v>Закупки + склад</x:v>
      </x:c>
      <x:c r="H1387" s="207" t="str">
        <x:v>Высокий</x:v>
      </x:c>
      <x:c r="I1387" s="207" t="str">
        <x:v>Material aging; BOM; procurement; actual usage</x:v>
      </x:c>
      <x:c r="J1387" s="207" t="str">
        <x:v>Остатки ткани 31.05.2026</x:v>
      </x:c>
      <x:c r="K1387" s="207" t="str"/>
      <x:c r="L1387" s="207" t="str"/>
      <x:c r="M1387" s="207" t="str">
        <x:v>Не рассмотрено</x:v>
      </x:c>
      <x:c r="N1387" s="207" t="str"/>
      <x:c r="O1387" s="207" t="str">
        <x:v>17</x:v>
      </x:c>
      <x:c r="P1387" s="207" t="n">
        <x:v>3</x:v>
      </x:c>
      <x:c r="Q1387" s="208" t="str">
        <x:v>Wave 2 (31–60 дней)</x:v>
      </x:c>
    </x:row>
    <x:row r="1388">
      <x:c r="A1388" s="206" t="str">
        <x:v>DEC-01384</x:v>
      </x:c>
      <x:c r="B1388" s="207" t="str">
        <x:v>Material master</x:v>
      </x:c>
      <x:c r="C1388" s="207" t="str">
        <x:v>MAT-DRAFT-0680</x:v>
      </x:c>
      <x:c r="D1388" s="207" t="str">
        <x:v>Unlinked</x:v>
      </x:c>
      <x:c r="E1388" s="207" t="str">
        <x:v>2 строк; 173700.00 руб.; 17A-007</x:v>
      </x:c>
      <x:c r="F1388" s="207" t="str">
        <x:v>Подтвердить карточку, UOM, состав, цвет, поставщика и правила объединения</x:v>
      </x:c>
      <x:c r="G1388" s="207" t="str">
        <x:v>Закупки + склад</x:v>
      </x:c>
      <x:c r="H1388" s="207" t="str">
        <x:v>Критический</x:v>
      </x:c>
      <x:c r="I1388" s="207" t="str">
        <x:v>Material aging; BOM; procurement; actual usage</x:v>
      </x:c>
      <x:c r="J1388" s="207" t="str">
        <x:v>Остатки ткани 31.05.2026</x:v>
      </x:c>
      <x:c r="K1388" s="207" t="str"/>
      <x:c r="L1388" s="207" t="str"/>
      <x:c r="M1388" s="207" t="str">
        <x:v>Не рассмотрено</x:v>
      </x:c>
      <x:c r="N1388" s="207" t="str"/>
      <x:c r="O1388" s="207" t="str">
        <x:v>17</x:v>
      </x:c>
      <x:c r="P1388" s="207" t="n">
        <x:v>4</x:v>
      </x:c>
      <x:c r="Q1388" s="208" t="str">
        <x:v>Wave 1 (0–30 дней)</x:v>
      </x:c>
    </x:row>
    <x:row r="1389">
      <x:c r="A1389" s="206" t="str">
        <x:v>DEC-01385</x:v>
      </x:c>
      <x:c r="B1389" s="207" t="str">
        <x:v>Material master</x:v>
      </x:c>
      <x:c r="C1389" s="207" t="str">
        <x:v>MAT-DRAFT-0681</x:v>
      </x:c>
      <x:c r="D1389" s="207" t="str">
        <x:v>Unlinked</x:v>
      </x:c>
      <x:c r="E1389" s="207" t="str">
        <x:v>3 строк; 255702.00 руб.; 17A-015</x:v>
      </x:c>
      <x:c r="F1389" s="207" t="str">
        <x:v>Подтвердить карточку, UOM, состав, цвет, поставщика и правила объединения</x:v>
      </x:c>
      <x:c r="G1389" s="207" t="str">
        <x:v>Закупки + склад</x:v>
      </x:c>
      <x:c r="H1389" s="207" t="str">
        <x:v>Критический</x:v>
      </x:c>
      <x:c r="I1389" s="207" t="str">
        <x:v>Material aging; BOM; procurement; actual usage</x:v>
      </x:c>
      <x:c r="J1389" s="207" t="str">
        <x:v>Остатки ткани 31.05.2026</x:v>
      </x:c>
      <x:c r="K1389" s="207" t="str"/>
      <x:c r="L1389" s="207" t="str"/>
      <x:c r="M1389" s="207" t="str">
        <x:v>Не рассмотрено</x:v>
      </x:c>
      <x:c r="N1389" s="207" t="str"/>
      <x:c r="O1389" s="207" t="str">
        <x:v>17</x:v>
      </x:c>
      <x:c r="P1389" s="207" t="n">
        <x:v>4</x:v>
      </x:c>
      <x:c r="Q1389" s="208" t="str">
        <x:v>Wave 1 (0–30 дней)</x:v>
      </x:c>
    </x:row>
    <x:row r="1390">
      <x:c r="A1390" s="206" t="str">
        <x:v>DEC-01386</x:v>
      </x:c>
      <x:c r="B1390" s="207" t="str">
        <x:v>Material master</x:v>
      </x:c>
      <x:c r="C1390" s="207" t="str">
        <x:v>MAT-DRAFT-0682</x:v>
      </x:c>
      <x:c r="D1390" s="207" t="str">
        <x:v>Unlinked</x:v>
      </x:c>
      <x:c r="E1390" s="207" t="str">
        <x:v>3 строк; 115130.00 руб.; 17A-010</x:v>
      </x:c>
      <x:c r="F1390" s="207" t="str">
        <x:v>Подтвердить карточку, UOM, состав, цвет, поставщика и правила объединения</x:v>
      </x:c>
      <x:c r="G1390" s="207" t="str">
        <x:v>Закупки + склад</x:v>
      </x:c>
      <x:c r="H1390" s="207" t="str">
        <x:v>Критический</x:v>
      </x:c>
      <x:c r="I1390" s="207" t="str">
        <x:v>Material aging; BOM; procurement; actual usage</x:v>
      </x:c>
      <x:c r="J1390" s="207" t="str">
        <x:v>Остатки ткани 31.05.2026</x:v>
      </x:c>
      <x:c r="K1390" s="207" t="str"/>
      <x:c r="L1390" s="207" t="str"/>
      <x:c r="M1390" s="207" t="str">
        <x:v>Не рассмотрено</x:v>
      </x:c>
      <x:c r="N1390" s="207" t="str"/>
      <x:c r="O1390" s="207" t="str">
        <x:v>17</x:v>
      </x:c>
      <x:c r="P1390" s="207" t="n">
        <x:v>4</x:v>
      </x:c>
      <x:c r="Q1390" s="208" t="str">
        <x:v>Wave 1 (0–30 дней)</x:v>
      </x:c>
    </x:row>
    <x:row r="1391">
      <x:c r="A1391" s="206" t="str">
        <x:v>DEC-01387</x:v>
      </x:c>
      <x:c r="B1391" s="207" t="str">
        <x:v>Material master</x:v>
      </x:c>
      <x:c r="C1391" s="207" t="str">
        <x:v>MAT-DRAFT-0684</x:v>
      </x:c>
      <x:c r="D1391" s="207" t="str">
        <x:v>Unlinked</x:v>
      </x:c>
      <x:c r="E1391" s="207" t="str">
        <x:v>1 строк; 24800.00 руб.; 17A-030</x:v>
      </x:c>
      <x:c r="F1391" s="207" t="str">
        <x:v>Подтвердить карточку, UOM, состав, цвет, поставщика и правила объединения</x:v>
      </x:c>
      <x:c r="G1391" s="207" t="str">
        <x:v>Закупки + склад</x:v>
      </x:c>
      <x:c r="H1391" s="207" t="str">
        <x:v>Высокий</x:v>
      </x:c>
      <x:c r="I1391" s="207" t="str">
        <x:v>Material aging; BOM; procurement; actual usage</x:v>
      </x:c>
      <x:c r="J1391" s="207" t="str">
        <x:v>Остатки ткани 31.05.2026</x:v>
      </x:c>
      <x:c r="K1391" s="207" t="str"/>
      <x:c r="L1391" s="207" t="str"/>
      <x:c r="M1391" s="207" t="str">
        <x:v>Не рассмотрено</x:v>
      </x:c>
      <x:c r="N1391" s="207" t="str"/>
      <x:c r="O1391" s="207" t="str">
        <x:v>17</x:v>
      </x:c>
      <x:c r="P1391" s="207" t="n">
        <x:v>3</x:v>
      </x:c>
      <x:c r="Q1391" s="208" t="str">
        <x:v>Wave 2 (31–60 дней)</x:v>
      </x:c>
    </x:row>
    <x:row r="1392">
      <x:c r="A1392" s="206" t="str">
        <x:v>DEC-01388</x:v>
      </x:c>
      <x:c r="B1392" s="207" t="str">
        <x:v>Material master</x:v>
      </x:c>
      <x:c r="C1392" s="207" t="str">
        <x:v>MAT-DRAFT-0685</x:v>
      </x:c>
      <x:c r="D1392" s="207" t="str">
        <x:v>Unlinked</x:v>
      </x:c>
      <x:c r="E1392" s="207" t="str">
        <x:v>1 строк; 15570.00 руб.; 17A-005</x:v>
      </x:c>
      <x:c r="F1392" s="207" t="str">
        <x:v>Подтвердить карточку, UOM, состав, цвет, поставщика и правила объединения</x:v>
      </x:c>
      <x:c r="G1392" s="207" t="str">
        <x:v>Закупки + склад</x:v>
      </x:c>
      <x:c r="H1392" s="207" t="str">
        <x:v>Высокий</x:v>
      </x:c>
      <x:c r="I1392" s="207" t="str">
        <x:v>Material aging; BOM; procurement; actual usage</x:v>
      </x:c>
      <x:c r="J1392" s="207" t="str">
        <x:v>Остатки ткани 31.05.2026</x:v>
      </x:c>
      <x:c r="K1392" s="207" t="str"/>
      <x:c r="L1392" s="207" t="str"/>
      <x:c r="M1392" s="207" t="str">
        <x:v>Не рассмотрено</x:v>
      </x:c>
      <x:c r="N1392" s="207" t="str"/>
      <x:c r="O1392" s="207" t="str">
        <x:v>17</x:v>
      </x:c>
      <x:c r="P1392" s="207" t="n">
        <x:v>3</x:v>
      </x:c>
      <x:c r="Q1392" s="208" t="str">
        <x:v>Wave 2 (31–60 дней)</x:v>
      </x:c>
    </x:row>
    <x:row r="1393">
      <x:c r="A1393" s="206" t="str">
        <x:v>DEC-01389</x:v>
      </x:c>
      <x:c r="B1393" s="207" t="str">
        <x:v>Material master</x:v>
      </x:c>
      <x:c r="C1393" s="207" t="str">
        <x:v>MAT-DRAFT-0686</x:v>
      </x:c>
      <x:c r="D1393" s="207" t="str">
        <x:v>Unlinked</x:v>
      </x:c>
      <x:c r="E1393" s="207" t="str">
        <x:v>2 строк; 72500.00 руб.; 17A-026</x:v>
      </x:c>
      <x:c r="F1393" s="207" t="str">
        <x:v>Подтвердить карточку, UOM, состав, цвет, поставщика и правила объединения</x:v>
      </x:c>
      <x:c r="G1393" s="207" t="str">
        <x:v>Закупки + склад</x:v>
      </x:c>
      <x:c r="H1393" s="207" t="str">
        <x:v>Высокий</x:v>
      </x:c>
      <x:c r="I1393" s="207" t="str">
        <x:v>Material aging; BOM; procurement; actual usage</x:v>
      </x:c>
      <x:c r="J1393" s="207" t="str">
        <x:v>Остатки ткани 31.05.2026</x:v>
      </x:c>
      <x:c r="K1393" s="207" t="str"/>
      <x:c r="L1393" s="207" t="str"/>
      <x:c r="M1393" s="207" t="str">
        <x:v>Не рассмотрено</x:v>
      </x:c>
      <x:c r="N1393" s="207" t="str"/>
      <x:c r="O1393" s="207" t="str">
        <x:v>17</x:v>
      </x:c>
      <x:c r="P1393" s="207" t="n">
        <x:v>3</x:v>
      </x:c>
      <x:c r="Q1393" s="208" t="str">
        <x:v>Wave 2 (31–60 дней)</x:v>
      </x:c>
    </x:row>
    <x:row r="1394">
      <x:c r="A1394" s="206" t="str">
        <x:v>DEC-01390</x:v>
      </x:c>
      <x:c r="B1394" s="207" t="str">
        <x:v>Material master</x:v>
      </x:c>
      <x:c r="C1394" s="207" t="str">
        <x:v>MAT-DRAFT-0688</x:v>
      </x:c>
      <x:c r="D1394" s="207" t="str">
        <x:v>Unlinked</x:v>
      </x:c>
      <x:c r="E1394" s="207" t="str">
        <x:v>2 строк; 81925.00 руб.; 17A-047</x:v>
      </x:c>
      <x:c r="F1394" s="207" t="str">
        <x:v>Подтвердить карточку, UOM, состав, цвет, поставщика и правила объединения</x:v>
      </x:c>
      <x:c r="G1394" s="207" t="str">
        <x:v>Закупки + склад</x:v>
      </x:c>
      <x:c r="H1394" s="207" t="str">
        <x:v>Высокий</x:v>
      </x:c>
      <x:c r="I1394" s="207" t="str">
        <x:v>Material aging; BOM; procurement; actual usage</x:v>
      </x:c>
      <x:c r="J1394" s="207" t="str">
        <x:v>Остатки ткани 31.05.2026</x:v>
      </x:c>
      <x:c r="K1394" s="207" t="str"/>
      <x:c r="L1394" s="207" t="str"/>
      <x:c r="M1394" s="207" t="str">
        <x:v>Не рассмотрено</x:v>
      </x:c>
      <x:c r="N1394" s="207" t="str"/>
      <x:c r="O1394" s="207" t="str">
        <x:v>17</x:v>
      </x:c>
      <x:c r="P1394" s="207" t="n">
        <x:v>3</x:v>
      </x:c>
      <x:c r="Q1394" s="208" t="str">
        <x:v>Wave 2 (31–60 дней)</x:v>
      </x:c>
    </x:row>
    <x:row r="1395">
      <x:c r="A1395" s="206" t="str">
        <x:v>DEC-01391</x:v>
      </x:c>
      <x:c r="B1395" s="207" t="str">
        <x:v>Material master</x:v>
      </x:c>
      <x:c r="C1395" s="207" t="str">
        <x:v>MAT-DRAFT-0690</x:v>
      </x:c>
      <x:c r="D1395" s="207" t="str">
        <x:v>Unlinked</x:v>
      </x:c>
      <x:c r="E1395" s="207" t="str">
        <x:v>3 строк; 61770.00 руб.; 17A-053</x:v>
      </x:c>
      <x:c r="F1395" s="207" t="str">
        <x:v>Подтвердить карточку, UOM, состав, цвет, поставщика и правила объединения</x:v>
      </x:c>
      <x:c r="G1395" s="207" t="str">
        <x:v>Закупки + склад</x:v>
      </x:c>
      <x:c r="H1395" s="207" t="str">
        <x:v>Высокий</x:v>
      </x:c>
      <x:c r="I1395" s="207" t="str">
        <x:v>Material aging; BOM; procurement; actual usage</x:v>
      </x:c>
      <x:c r="J1395" s="207" t="str">
        <x:v>Остатки ткани 31.05.2026</x:v>
      </x:c>
      <x:c r="K1395" s="207" t="str"/>
      <x:c r="L1395" s="207" t="str"/>
      <x:c r="M1395" s="207" t="str">
        <x:v>Не рассмотрено</x:v>
      </x:c>
      <x:c r="N1395" s="207" t="str"/>
      <x:c r="O1395" s="207" t="str">
        <x:v>17</x:v>
      </x:c>
      <x:c r="P1395" s="207" t="n">
        <x:v>3</x:v>
      </x:c>
      <x:c r="Q1395" s="208" t="str">
        <x:v>Wave 2 (31–60 дней)</x:v>
      </x:c>
    </x:row>
    <x:row r="1396">
      <x:c r="A1396" s="206" t="str">
        <x:v>DEC-01392</x:v>
      </x:c>
      <x:c r="B1396" s="207" t="str">
        <x:v>Material master</x:v>
      </x:c>
      <x:c r="C1396" s="207" t="str">
        <x:v>MAT-DRAFT-0692</x:v>
      </x:c>
      <x:c r="D1396" s="207" t="str">
        <x:v>Unlinked</x:v>
      </x:c>
      <x:c r="E1396" s="207" t="str">
        <x:v>1 строк; 10695.00 руб.; 17A-042</x:v>
      </x:c>
      <x:c r="F1396" s="207" t="str">
        <x:v>Подтвердить карточку, UOM, состав, цвет, поставщика и правила объединения</x:v>
      </x:c>
      <x:c r="G1396" s="207" t="str">
        <x:v>Закупки + склад</x:v>
      </x:c>
      <x:c r="H1396" s="207" t="str">
        <x:v>Высокий</x:v>
      </x:c>
      <x:c r="I1396" s="207" t="str">
        <x:v>Material aging; BOM; procurement; actual usage</x:v>
      </x:c>
      <x:c r="J1396" s="207" t="str">
        <x:v>Остатки ткани 31.05.2026</x:v>
      </x:c>
      <x:c r="K1396" s="207" t="str"/>
      <x:c r="L1396" s="207" t="str"/>
      <x:c r="M1396" s="207" t="str">
        <x:v>Не рассмотрено</x:v>
      </x:c>
      <x:c r="N1396" s="207" t="str"/>
      <x:c r="O1396" s="207" t="str">
        <x:v>17</x:v>
      </x:c>
      <x:c r="P1396" s="207" t="n">
        <x:v>3</x:v>
      </x:c>
      <x:c r="Q1396" s="208" t="str">
        <x:v>Wave 2 (31–60 дней)</x:v>
      </x:c>
    </x:row>
    <x:row r="1397">
      <x:c r="A1397" s="206" t="str">
        <x:v>DEC-01393</x:v>
      </x:c>
      <x:c r="B1397" s="207" t="str">
        <x:v>Material master</x:v>
      </x:c>
      <x:c r="C1397" s="207" t="str">
        <x:v>MAT-DRAFT-0693</x:v>
      </x:c>
      <x:c r="D1397" s="207" t="str">
        <x:v>Unlinked</x:v>
      </x:c>
      <x:c r="E1397" s="207" t="str">
        <x:v>1 строк; 11800.00 руб.; 8-015</x:v>
      </x:c>
      <x:c r="F1397" s="207" t="str">
        <x:v>Подтвердить карточку, UOM, состав, цвет, поставщика и правила объединения</x:v>
      </x:c>
      <x:c r="G1397" s="207" t="str">
        <x:v>Закупки + склад</x:v>
      </x:c>
      <x:c r="H1397" s="207" t="str">
        <x:v>Высокий</x:v>
      </x:c>
      <x:c r="I1397" s="207" t="str">
        <x:v>Material aging; BOM; procurement; actual usage</x:v>
      </x:c>
      <x:c r="J1397" s="207" t="str">
        <x:v>Остатки ткани 31.05.2026</x:v>
      </x:c>
      <x:c r="K1397" s="207" t="str"/>
      <x:c r="L1397" s="207" t="str"/>
      <x:c r="M1397" s="207" t="str">
        <x:v>Не рассмотрено</x:v>
      </x:c>
      <x:c r="N1397" s="207" t="str"/>
      <x:c r="O1397" s="207" t="str">
        <x:v>17</x:v>
      </x:c>
      <x:c r="P1397" s="207" t="n">
        <x:v>3</x:v>
      </x:c>
      <x:c r="Q1397" s="208" t="str">
        <x:v>Wave 2 (31–60 дней)</x:v>
      </x:c>
    </x:row>
    <x:row r="1398">
      <x:c r="A1398" s="206" t="str">
        <x:v>DEC-01394</x:v>
      </x:c>
      <x:c r="B1398" s="207" t="str">
        <x:v>Material master</x:v>
      </x:c>
      <x:c r="C1398" s="207" t="str">
        <x:v>MAT-DRAFT-0694</x:v>
      </x:c>
      <x:c r="D1398" s="207" t="str">
        <x:v>Несколько кодов; Несколько исходных наименований</x:v>
      </x:c>
      <x:c r="E1398" s="207" t="str">
        <x:v>2 строк; 20100.00 руб.; 8-040; 8-041</x:v>
      </x:c>
      <x:c r="F1398" s="207" t="str">
        <x:v>Подтвердить карточку, UOM, состав, цвет, поставщика и правила объединения</x:v>
      </x:c>
      <x:c r="G1398" s="207" t="str">
        <x:v>Закупки + склад</x:v>
      </x:c>
      <x:c r="H1398" s="207" t="str">
        <x:v>Высокий</x:v>
      </x:c>
      <x:c r="I1398" s="207" t="str">
        <x:v>Material aging; BOM; procurement; actual usage</x:v>
      </x:c>
      <x:c r="J1398" s="207" t="str">
        <x:v>Остатки ткани 31.05.2026</x:v>
      </x:c>
      <x:c r="K1398" s="207" t="str"/>
      <x:c r="L1398" s="207" t="str"/>
      <x:c r="M1398" s="207" t="str">
        <x:v>Не рассмотрено</x:v>
      </x:c>
      <x:c r="N1398" s="207" t="str"/>
      <x:c r="O1398" s="207" t="str">
        <x:v>17</x:v>
      </x:c>
      <x:c r="P1398" s="207" t="n">
        <x:v>3</x:v>
      </x:c>
      <x:c r="Q1398" s="208" t="str">
        <x:v>Wave 2 (31–60 дней)</x:v>
      </x:c>
    </x:row>
    <x:row r="1399">
      <x:c r="A1399" s="206" t="str">
        <x:v>DEC-01395</x:v>
      </x:c>
      <x:c r="B1399" s="207" t="str">
        <x:v>Material master</x:v>
      </x:c>
      <x:c r="C1399" s="207" t="str">
        <x:v>MAT-DRAFT-0695</x:v>
      </x:c>
      <x:c r="D1399" s="207" t="str">
        <x:v>Unlinked</x:v>
      </x:c>
      <x:c r="E1399" s="207" t="str">
        <x:v>1 строк; 9000.00 руб.; 8-004</x:v>
      </x:c>
      <x:c r="F1399" s="207" t="str">
        <x:v>Подтвердить карточку, UOM, состав, цвет, поставщика и правила объединения</x:v>
      </x:c>
      <x:c r="G1399" s="207" t="str">
        <x:v>Закупки + склад</x:v>
      </x:c>
      <x:c r="H1399" s="207" t="str">
        <x:v>Средний</x:v>
      </x:c>
      <x:c r="I1399" s="207" t="str">
        <x:v>Material aging; BOM; procurement; actual usage</x:v>
      </x:c>
      <x:c r="J1399" s="207" t="str">
        <x:v>Остатки ткани 31.05.2026</x:v>
      </x:c>
      <x:c r="K1399" s="207" t="str"/>
      <x:c r="L1399" s="207" t="str"/>
      <x:c r="M1399" s="207" t="str">
        <x:v>Не рассмотрено</x:v>
      </x:c>
      <x:c r="N1399" s="207" t="str"/>
      <x:c r="O1399" s="207" t="str">
        <x:v>17</x:v>
      </x:c>
      <x:c r="P1399" s="207" t="n">
        <x:v>2</x:v>
      </x:c>
      <x:c r="Q1399" s="208" t="str">
        <x:v>Wave 3 (61–90 дней)</x:v>
      </x:c>
    </x:row>
    <x:row r="1400">
      <x:c r="A1400" s="206" t="str">
        <x:v>DEC-01396</x:v>
      </x:c>
      <x:c r="B1400" s="207" t="str">
        <x:v>Material master</x:v>
      </x:c>
      <x:c r="C1400" s="207" t="str">
        <x:v>MAT-DRAFT-0696</x:v>
      </x:c>
      <x:c r="D1400" s="207" t="str">
        <x:v>Unlinked</x:v>
      </x:c>
      <x:c r="E1400" s="207" t="str">
        <x:v>1 строк; 13200.00 руб.; 8-006</x:v>
      </x:c>
      <x:c r="F1400" s="207" t="str">
        <x:v>Подтвердить карточку, UOM, состав, цвет, поставщика и правила объединения</x:v>
      </x:c>
      <x:c r="G1400" s="207" t="str">
        <x:v>Закупки + склад</x:v>
      </x:c>
      <x:c r="H1400" s="207" t="str">
        <x:v>Высокий</x:v>
      </x:c>
      <x:c r="I1400" s="207" t="str">
        <x:v>Material aging; BOM; procurement; actual usage</x:v>
      </x:c>
      <x:c r="J1400" s="207" t="str">
        <x:v>Остатки ткани 31.05.2026</x:v>
      </x:c>
      <x:c r="K1400" s="207" t="str"/>
      <x:c r="L1400" s="207" t="str"/>
      <x:c r="M1400" s="207" t="str">
        <x:v>Не рассмотрено</x:v>
      </x:c>
      <x:c r="N1400" s="207" t="str"/>
      <x:c r="O1400" s="207" t="str">
        <x:v>17</x:v>
      </x:c>
      <x:c r="P1400" s="207" t="n">
        <x:v>3</x:v>
      </x:c>
      <x:c r="Q1400" s="208" t="str">
        <x:v>Wave 2 (31–60 дней)</x:v>
      </x:c>
    </x:row>
    <x:row r="1401">
      <x:c r="A1401" s="206" t="str">
        <x:v>DEC-01397</x:v>
      </x:c>
      <x:c r="B1401" s="207" t="str">
        <x:v>Material master</x:v>
      </x:c>
      <x:c r="C1401" s="207" t="str">
        <x:v>MAT-DRAFT-0698</x:v>
      </x:c>
      <x:c r="D1401" s="207" t="str">
        <x:v>Unlinked</x:v>
      </x:c>
      <x:c r="E1401" s="207" t="str">
        <x:v>1 строк; 19400.00 руб.; 8-001</x:v>
      </x:c>
      <x:c r="F1401" s="207" t="str">
        <x:v>Подтвердить карточку, UOM, состав, цвет, поставщика и правила объединения</x:v>
      </x:c>
      <x:c r="G1401" s="207" t="str">
        <x:v>Закупки + склад</x:v>
      </x:c>
      <x:c r="H1401" s="207" t="str">
        <x:v>Высокий</x:v>
      </x:c>
      <x:c r="I1401" s="207" t="str">
        <x:v>Material aging; BOM; procurement; actual usage</x:v>
      </x:c>
      <x:c r="J1401" s="207" t="str">
        <x:v>Остатки ткани 31.05.2026</x:v>
      </x:c>
      <x:c r="K1401" s="207" t="str"/>
      <x:c r="L1401" s="207" t="str"/>
      <x:c r="M1401" s="207" t="str">
        <x:v>Не рассмотрено</x:v>
      </x:c>
      <x:c r="N1401" s="207" t="str"/>
      <x:c r="O1401" s="207" t="str">
        <x:v>17</x:v>
      </x:c>
      <x:c r="P1401" s="207" t="n">
        <x:v>3</x:v>
      </x:c>
      <x:c r="Q1401" s="208" t="str">
        <x:v>Wave 2 (31–60 дней)</x:v>
      </x:c>
    </x:row>
    <x:row r="1402">
      <x:c r="A1402" s="206" t="str">
        <x:v>DEC-01398</x:v>
      </x:c>
      <x:c r="B1402" s="207" t="str">
        <x:v>Material master</x:v>
      </x:c>
      <x:c r="C1402" s="207" t="str">
        <x:v>MAT-DRAFT-0699</x:v>
      </x:c>
      <x:c r="D1402" s="207" t="str">
        <x:v>Unlinked</x:v>
      </x:c>
      <x:c r="E1402" s="207" t="str">
        <x:v>1 строк; 4200.00 руб.; 8-O-006</x:v>
      </x:c>
      <x:c r="F1402" s="207" t="str">
        <x:v>Подтвердить карточку, UOM, состав, цвет, поставщика и правила объединения</x:v>
      </x:c>
      <x:c r="G1402" s="207" t="str">
        <x:v>Закупки + склад</x:v>
      </x:c>
      <x:c r="H1402" s="207" t="str">
        <x:v>Средний</x:v>
      </x:c>
      <x:c r="I1402" s="207" t="str">
        <x:v>Material aging; BOM; procurement; actual usage</x:v>
      </x:c>
      <x:c r="J1402" s="207" t="str">
        <x:v>Остатки ткани 31.05.2026</x:v>
      </x:c>
      <x:c r="K1402" s="207" t="str"/>
      <x:c r="L1402" s="207" t="str"/>
      <x:c r="M1402" s="207" t="str">
        <x:v>Не рассмотрено</x:v>
      </x:c>
      <x:c r="N1402" s="207" t="str"/>
      <x:c r="O1402" s="207" t="str">
        <x:v>17</x:v>
      </x:c>
      <x:c r="P1402" s="207" t="n">
        <x:v>2</x:v>
      </x:c>
      <x:c r="Q1402" s="208" t="str">
        <x:v>Wave 3 (61–90 дней)</x:v>
      </x:c>
    </x:row>
    <x:row r="1403">
      <x:c r="A1403" s="206" t="str">
        <x:v>DEC-01399</x:v>
      </x:c>
      <x:c r="B1403" s="207" t="str">
        <x:v>Material master</x:v>
      </x:c>
      <x:c r="C1403" s="207" t="str">
        <x:v>MAT-DRAFT-0700</x:v>
      </x:c>
      <x:c r="D1403" s="207" t="str">
        <x:v>Unlinked</x:v>
      </x:c>
      <x:c r="E1403" s="207" t="str">
        <x:v>1 строк; 14600.00 руб.; 8-002</x:v>
      </x:c>
      <x:c r="F1403" s="207" t="str">
        <x:v>Подтвердить карточку, UOM, состав, цвет, поставщика и правила объединения</x:v>
      </x:c>
      <x:c r="G1403" s="207" t="str">
        <x:v>Закупки + склад</x:v>
      </x:c>
      <x:c r="H1403" s="207" t="str">
        <x:v>Высокий</x:v>
      </x:c>
      <x:c r="I1403" s="207" t="str">
        <x:v>Material aging; BOM; procurement; actual usage</x:v>
      </x:c>
      <x:c r="J1403" s="207" t="str">
        <x:v>Остатки ткани 31.05.2026</x:v>
      </x:c>
      <x:c r="K1403" s="207" t="str"/>
      <x:c r="L1403" s="207" t="str"/>
      <x:c r="M1403" s="207" t="str">
        <x:v>Не рассмотрено</x:v>
      </x:c>
      <x:c r="N1403" s="207" t="str"/>
      <x:c r="O1403" s="207" t="str">
        <x:v>17</x:v>
      </x:c>
      <x:c r="P1403" s="207" t="n">
        <x:v>3</x:v>
      </x:c>
      <x:c r="Q1403" s="208" t="str">
        <x:v>Wave 2 (31–60 дней)</x:v>
      </x:c>
    </x:row>
    <x:row r="1404">
      <x:c r="A1404" s="206" t="str">
        <x:v>DEC-01400</x:v>
      </x:c>
      <x:c r="B1404" s="207" t="str">
        <x:v>Material master</x:v>
      </x:c>
      <x:c r="C1404" s="207" t="str">
        <x:v>MAT-DRAFT-0701</x:v>
      </x:c>
      <x:c r="D1404" s="207" t="str">
        <x:v>Unlinked</x:v>
      </x:c>
      <x:c r="E1404" s="207" t="str">
        <x:v>1 строк; 6000.00 руб.; 8-O-008</x:v>
      </x:c>
      <x:c r="F1404" s="207" t="str">
        <x:v>Подтвердить карточку, UOM, состав, цвет, поставщика и правила объединения</x:v>
      </x:c>
      <x:c r="G1404" s="207" t="str">
        <x:v>Закупки + склад</x:v>
      </x:c>
      <x:c r="H1404" s="207" t="str">
        <x:v>Средний</x:v>
      </x:c>
      <x:c r="I1404" s="207" t="str">
        <x:v>Material aging; BOM; procurement; actual usage</x:v>
      </x:c>
      <x:c r="J1404" s="207" t="str">
        <x:v>Остатки ткани 31.05.2026</x:v>
      </x:c>
      <x:c r="K1404" s="207" t="str"/>
      <x:c r="L1404" s="207" t="str"/>
      <x:c r="M1404" s="207" t="str">
        <x:v>Не рассмотрено</x:v>
      </x:c>
      <x:c r="N1404" s="207" t="str"/>
      <x:c r="O1404" s="207" t="str">
        <x:v>17</x:v>
      </x:c>
      <x:c r="P1404" s="207" t="n">
        <x:v>2</x:v>
      </x:c>
      <x:c r="Q1404" s="208" t="str">
        <x:v>Wave 3 (61–90 дней)</x:v>
      </x:c>
    </x:row>
    <x:row r="1405">
      <x:c r="A1405" s="206" t="str">
        <x:v>DEC-01401</x:v>
      </x:c>
      <x:c r="B1405" s="207" t="str">
        <x:v>Material master</x:v>
      </x:c>
      <x:c r="C1405" s="207" t="str">
        <x:v>MAT-DRAFT-0702</x:v>
      </x:c>
      <x:c r="D1405" s="207" t="str">
        <x:v>Несколько кодов; Несколько исходных наименований</x:v>
      </x:c>
      <x:c r="E1405" s="207" t="str">
        <x:v>2 строк; 29400.00 руб.; 8-003; 8-019</x:v>
      </x:c>
      <x:c r="F1405" s="207" t="str">
        <x:v>Подтвердить карточку, UOM, состав, цвет, поставщика и правила объединения</x:v>
      </x:c>
      <x:c r="G1405" s="207" t="str">
        <x:v>Закупки + склад</x:v>
      </x:c>
      <x:c r="H1405" s="207" t="str">
        <x:v>Высокий</x:v>
      </x:c>
      <x:c r="I1405" s="207" t="str">
        <x:v>Material aging; BOM; procurement; actual usage</x:v>
      </x:c>
      <x:c r="J1405" s="207" t="str">
        <x:v>Остатки ткани 31.05.2026</x:v>
      </x:c>
      <x:c r="K1405" s="207" t="str"/>
      <x:c r="L1405" s="207" t="str"/>
      <x:c r="M1405" s="207" t="str">
        <x:v>Не рассмотрено</x:v>
      </x:c>
      <x:c r="N1405" s="207" t="str"/>
      <x:c r="O1405" s="207" t="str">
        <x:v>17</x:v>
      </x:c>
      <x:c r="P1405" s="207" t="n">
        <x:v>3</x:v>
      </x:c>
      <x:c r="Q1405" s="208" t="str">
        <x:v>Wave 2 (31–60 дней)</x:v>
      </x:c>
    </x:row>
    <x:row r="1406">
      <x:c r="A1406" s="206" t="str">
        <x:v>DEC-01402</x:v>
      </x:c>
      <x:c r="B1406" s="207" t="str">
        <x:v>Material master</x:v>
      </x:c>
      <x:c r="C1406" s="207" t="str">
        <x:v>MAT-DRAFT-0703</x:v>
      </x:c>
      <x:c r="D1406" s="207" t="str">
        <x:v>Несколько кодов; Несколько исходных наименований</x:v>
      </x:c>
      <x:c r="E1406" s="207" t="str">
        <x:v>2 строк; 18000.00 руб.; 8-009; 8-010</x:v>
      </x:c>
      <x:c r="F1406" s="207" t="str">
        <x:v>Подтвердить карточку, UOM, состав, цвет, поставщика и правила объединения</x:v>
      </x:c>
      <x:c r="G1406" s="207" t="str">
        <x:v>Закупки + склад</x:v>
      </x:c>
      <x:c r="H1406" s="207" t="str">
        <x:v>Высокий</x:v>
      </x:c>
      <x:c r="I1406" s="207" t="str">
        <x:v>Material aging; BOM; procurement; actual usage</x:v>
      </x:c>
      <x:c r="J1406" s="207" t="str">
        <x:v>Остатки ткани 31.05.2026</x:v>
      </x:c>
      <x:c r="K1406" s="207" t="str"/>
      <x:c r="L1406" s="207" t="str"/>
      <x:c r="M1406" s="207" t="str">
        <x:v>Не рассмотрено</x:v>
      </x:c>
      <x:c r="N1406" s="207" t="str"/>
      <x:c r="O1406" s="207" t="str">
        <x:v>17</x:v>
      </x:c>
      <x:c r="P1406" s="207" t="n">
        <x:v>3</x:v>
      </x:c>
      <x:c r="Q1406" s="208" t="str">
        <x:v>Wave 2 (31–60 дней)</x:v>
      </x:c>
    </x:row>
    <x:row r="1407">
      <x:c r="A1407" s="206" t="str">
        <x:v>DEC-01403</x:v>
      </x:c>
      <x:c r="B1407" s="207" t="str">
        <x:v>Material master</x:v>
      </x:c>
      <x:c r="C1407" s="207" t="str">
        <x:v>MAT-DRAFT-0704</x:v>
      </x:c>
      <x:c r="D1407" s="207" t="str">
        <x:v>Unlinked</x:v>
      </x:c>
      <x:c r="E1407" s="207" t="str">
        <x:v>1 строк; 10600.00 руб.; 8-045</x:v>
      </x:c>
      <x:c r="F1407" s="207" t="str">
        <x:v>Подтвердить карточку, UOM, состав, цвет, поставщика и правила объединения</x:v>
      </x:c>
      <x:c r="G1407" s="207" t="str">
        <x:v>Закупки + склад</x:v>
      </x:c>
      <x:c r="H1407" s="207" t="str">
        <x:v>Высокий</x:v>
      </x:c>
      <x:c r="I1407" s="207" t="str">
        <x:v>Material aging; BOM; procurement; actual usage</x:v>
      </x:c>
      <x:c r="J1407" s="207" t="str">
        <x:v>Остатки ткани 31.05.2026</x:v>
      </x:c>
      <x:c r="K1407" s="207" t="str"/>
      <x:c r="L1407" s="207" t="str"/>
      <x:c r="M1407" s="207" t="str">
        <x:v>Не рассмотрено</x:v>
      </x:c>
      <x:c r="N1407" s="207" t="str"/>
      <x:c r="O1407" s="207" t="str">
        <x:v>17</x:v>
      </x:c>
      <x:c r="P1407" s="207" t="n">
        <x:v>3</x:v>
      </x:c>
      <x:c r="Q1407" s="208" t="str">
        <x:v>Wave 2 (31–60 дней)</x:v>
      </x:c>
    </x:row>
    <x:row r="1408">
      <x:c r="A1408" s="206" t="str">
        <x:v>DEC-01404</x:v>
      </x:c>
      <x:c r="B1408" s="207" t="str">
        <x:v>Material master</x:v>
      </x:c>
      <x:c r="C1408" s="207" t="str">
        <x:v>MAT-DRAFT-0705</x:v>
      </x:c>
      <x:c r="D1408" s="207" t="str">
        <x:v>Unlinked</x:v>
      </x:c>
      <x:c r="E1408" s="207" t="str">
        <x:v>1 строк; 12400.00 руб.; 8-020</x:v>
      </x:c>
      <x:c r="F1408" s="207" t="str">
        <x:v>Подтвердить карточку, UOM, состав, цвет, поставщика и правила объединения</x:v>
      </x:c>
      <x:c r="G1408" s="207" t="str">
        <x:v>Закупки + склад</x:v>
      </x:c>
      <x:c r="H1408" s="207" t="str">
        <x:v>Высокий</x:v>
      </x:c>
      <x:c r="I1408" s="207" t="str">
        <x:v>Material aging; BOM; procurement; actual usage</x:v>
      </x:c>
      <x:c r="J1408" s="207" t="str">
        <x:v>Остатки ткани 31.05.2026</x:v>
      </x:c>
      <x:c r="K1408" s="207" t="str"/>
      <x:c r="L1408" s="207" t="str"/>
      <x:c r="M1408" s="207" t="str">
        <x:v>Не рассмотрено</x:v>
      </x:c>
      <x:c r="N1408" s="207" t="str"/>
      <x:c r="O1408" s="207" t="str">
        <x:v>17</x:v>
      </x:c>
      <x:c r="P1408" s="207" t="n">
        <x:v>3</x:v>
      </x:c>
      <x:c r="Q1408" s="208" t="str">
        <x:v>Wave 2 (31–60 дней)</x:v>
      </x:c>
    </x:row>
    <x:row r="1409">
      <x:c r="A1409" s="206" t="str">
        <x:v>DEC-01405</x:v>
      </x:c>
      <x:c r="B1409" s="207" t="str">
        <x:v>Material master</x:v>
      </x:c>
      <x:c r="C1409" s="207" t="str">
        <x:v>MAT-DRAFT-0706</x:v>
      </x:c>
      <x:c r="D1409" s="207" t="str">
        <x:v>Unlinked</x:v>
      </x:c>
      <x:c r="E1409" s="207" t="str">
        <x:v>1 строк; 5000.00 руб.; 8-O-002</x:v>
      </x:c>
      <x:c r="F1409" s="207" t="str">
        <x:v>Подтвердить карточку, UOM, состав, цвет, поставщика и правила объединения</x:v>
      </x:c>
      <x:c r="G1409" s="207" t="str">
        <x:v>Закупки + склад</x:v>
      </x:c>
      <x:c r="H1409" s="207" t="str">
        <x:v>Средний</x:v>
      </x:c>
      <x:c r="I1409" s="207" t="str">
        <x:v>Material aging; BOM; procurement; actual usage</x:v>
      </x:c>
      <x:c r="J1409" s="207" t="str">
        <x:v>Остатки ткани 31.05.2026</x:v>
      </x:c>
      <x:c r="K1409" s="207" t="str"/>
      <x:c r="L1409" s="207" t="str"/>
      <x:c r="M1409" s="207" t="str">
        <x:v>Не рассмотрено</x:v>
      </x:c>
      <x:c r="N1409" s="207" t="str"/>
      <x:c r="O1409" s="207" t="str">
        <x:v>17</x:v>
      </x:c>
      <x:c r="P1409" s="207" t="n">
        <x:v>2</x:v>
      </x:c>
      <x:c r="Q1409" s="208" t="str">
        <x:v>Wave 3 (61–90 дней)</x:v>
      </x:c>
    </x:row>
    <x:row r="1410">
      <x:c r="A1410" s="206" t="str">
        <x:v>DEC-01406</x:v>
      </x:c>
      <x:c r="B1410" s="207" t="str">
        <x:v>Material master</x:v>
      </x:c>
      <x:c r="C1410" s="207" t="str">
        <x:v>MAT-DRAFT-0707</x:v>
      </x:c>
      <x:c r="D1410" s="207" t="str">
        <x:v>Unlinked</x:v>
      </x:c>
      <x:c r="E1410" s="207" t="str">
        <x:v>1 строк; 2000.00 руб.; 8-O-007</x:v>
      </x:c>
      <x:c r="F1410" s="207" t="str">
        <x:v>Подтвердить карточку, UOM, состав, цвет, поставщика и правила объединения</x:v>
      </x:c>
      <x:c r="G1410" s="207" t="str">
        <x:v>Закупки + склад</x:v>
      </x:c>
      <x:c r="H1410" s="207" t="str">
        <x:v>Средний</x:v>
      </x:c>
      <x:c r="I1410" s="207" t="str">
        <x:v>Material aging; BOM; procurement; actual usage</x:v>
      </x:c>
      <x:c r="J1410" s="207" t="str">
        <x:v>Остатки ткани 31.05.2026</x:v>
      </x:c>
      <x:c r="K1410" s="207" t="str"/>
      <x:c r="L1410" s="207" t="str"/>
      <x:c r="M1410" s="207" t="str">
        <x:v>Не рассмотрено</x:v>
      </x:c>
      <x:c r="N1410" s="207" t="str"/>
      <x:c r="O1410" s="207" t="str">
        <x:v>17</x:v>
      </x:c>
      <x:c r="P1410" s="207" t="n">
        <x:v>2</x:v>
      </x:c>
      <x:c r="Q1410" s="208" t="str">
        <x:v>Wave 3 (61–90 дней)</x:v>
      </x:c>
    </x:row>
    <x:row r="1411">
      <x:c r="A1411" s="206" t="str">
        <x:v>DEC-01407</x:v>
      </x:c>
      <x:c r="B1411" s="207" t="str">
        <x:v>Material master</x:v>
      </x:c>
      <x:c r="C1411" s="207" t="str">
        <x:v>MAT-DRAFT-0708</x:v>
      </x:c>
      <x:c r="D1411" s="207" t="str">
        <x:v>Unlinked</x:v>
      </x:c>
      <x:c r="E1411" s="207" t="str">
        <x:v>1 строк; 120000.00 руб.; 8-058</x:v>
      </x:c>
      <x:c r="F1411" s="207" t="str">
        <x:v>Подтвердить карточку, UOM, состав, цвет, поставщика и правила объединения</x:v>
      </x:c>
      <x:c r="G1411" s="207" t="str">
        <x:v>Закупки + склад</x:v>
      </x:c>
      <x:c r="H1411" s="207" t="str">
        <x:v>Критический</x:v>
      </x:c>
      <x:c r="I1411" s="207" t="str">
        <x:v>Material aging; BOM; procurement; actual usage</x:v>
      </x:c>
      <x:c r="J1411" s="207" t="str">
        <x:v>Остатки ткани 31.05.2026</x:v>
      </x:c>
      <x:c r="K1411" s="207" t="str"/>
      <x:c r="L1411" s="207" t="str"/>
      <x:c r="M1411" s="207" t="str">
        <x:v>Не рассмотрено</x:v>
      </x:c>
      <x:c r="N1411" s="207" t="str"/>
      <x:c r="O1411" s="207" t="str">
        <x:v>17</x:v>
      </x:c>
      <x:c r="P1411" s="207" t="n">
        <x:v>4</x:v>
      </x:c>
      <x:c r="Q1411" s="208" t="str">
        <x:v>Wave 1 (0–30 дней)</x:v>
      </x:c>
    </x:row>
    <x:row r="1412">
      <x:c r="A1412" s="206" t="str">
        <x:v>DEC-01408</x:v>
      </x:c>
      <x:c r="B1412" s="207" t="str">
        <x:v>Material master</x:v>
      </x:c>
      <x:c r="C1412" s="207" t="str">
        <x:v>MAT-DRAFT-0709</x:v>
      </x:c>
      <x:c r="D1412" s="207" t="str">
        <x:v>Unlinked</x:v>
      </x:c>
      <x:c r="E1412" s="207" t="str">
        <x:v>1 строк; 28750.00 руб.; 8-061</x:v>
      </x:c>
      <x:c r="F1412" s="207" t="str">
        <x:v>Подтвердить карточку, UOM, состав, цвет, поставщика и правила объединения</x:v>
      </x:c>
      <x:c r="G1412" s="207" t="str">
        <x:v>Закупки + склад</x:v>
      </x:c>
      <x:c r="H1412" s="207" t="str">
        <x:v>Высокий</x:v>
      </x:c>
      <x:c r="I1412" s="207" t="str">
        <x:v>Material aging; BOM; procurement; actual usage</x:v>
      </x:c>
      <x:c r="J1412" s="207" t="str">
        <x:v>Остатки ткани 31.05.2026</x:v>
      </x:c>
      <x:c r="K1412" s="207" t="str"/>
      <x:c r="L1412" s="207" t="str"/>
      <x:c r="M1412" s="207" t="str">
        <x:v>Не рассмотрено</x:v>
      </x:c>
      <x:c r="N1412" s="207" t="str"/>
      <x:c r="O1412" s="207" t="str">
        <x:v>17</x:v>
      </x:c>
      <x:c r="P1412" s="207" t="n">
        <x:v>3</x:v>
      </x:c>
      <x:c r="Q1412" s="208" t="str">
        <x:v>Wave 2 (31–60 дней)</x:v>
      </x:c>
    </x:row>
    <x:row r="1413">
      <x:c r="A1413" s="206" t="str">
        <x:v>DEC-01409</x:v>
      </x:c>
      <x:c r="B1413" s="207" t="str">
        <x:v>Material master</x:v>
      </x:c>
      <x:c r="C1413" s="207" t="str">
        <x:v>MAT-DRAFT-0710</x:v>
      </x:c>
      <x:c r="D1413" s="207" t="str">
        <x:v>Несколько кодов; Несколько исходных наименований</x:v>
      </x:c>
      <x:c r="E1413" s="207" t="str">
        <x:v>2 строк; 48000.00 руб.; 8-051; 8-052</x:v>
      </x:c>
      <x:c r="F1413" s="207" t="str">
        <x:v>Подтвердить карточку, UOM, состав, цвет, поставщика и правила объединения</x:v>
      </x:c>
      <x:c r="G1413" s="207" t="str">
        <x:v>Закупки + склад</x:v>
      </x:c>
      <x:c r="H1413" s="207" t="str">
        <x:v>Высокий</x:v>
      </x:c>
      <x:c r="I1413" s="207" t="str">
        <x:v>Material aging; BOM; procurement; actual usage</x:v>
      </x:c>
      <x:c r="J1413" s="207" t="str">
        <x:v>Остатки ткани 31.05.2026</x:v>
      </x:c>
      <x:c r="K1413" s="207" t="str"/>
      <x:c r="L1413" s="207" t="str"/>
      <x:c r="M1413" s="207" t="str">
        <x:v>Не рассмотрено</x:v>
      </x:c>
      <x:c r="N1413" s="207" t="str"/>
      <x:c r="O1413" s="207" t="str">
        <x:v>17</x:v>
      </x:c>
      <x:c r="P1413" s="207" t="n">
        <x:v>3</x:v>
      </x:c>
      <x:c r="Q1413" s="208" t="str">
        <x:v>Wave 2 (31–60 дней)</x:v>
      </x:c>
    </x:row>
    <x:row r="1414">
      <x:c r="A1414" s="206" t="str">
        <x:v>DEC-01410</x:v>
      </x:c>
      <x:c r="B1414" s="207" t="str">
        <x:v>Material master</x:v>
      </x:c>
      <x:c r="C1414" s="207" t="str">
        <x:v>MAT-DRAFT-0711</x:v>
      </x:c>
      <x:c r="D1414" s="207" t="str">
        <x:v>Unlinked</x:v>
      </x:c>
      <x:c r="E1414" s="207" t="str">
        <x:v>1 строк; 40500.00 руб.; 8-060</x:v>
      </x:c>
      <x:c r="F1414" s="207" t="str">
        <x:v>Подтвердить карточку, UOM, состав, цвет, поставщика и правила объединения</x:v>
      </x:c>
      <x:c r="G1414" s="207" t="str">
        <x:v>Закупки + склад</x:v>
      </x:c>
      <x:c r="H1414" s="207" t="str">
        <x:v>Высокий</x:v>
      </x:c>
      <x:c r="I1414" s="207" t="str">
        <x:v>Material aging; BOM; procurement; actual usage</x:v>
      </x:c>
      <x:c r="J1414" s="207" t="str">
        <x:v>Остатки ткани 31.05.2026</x:v>
      </x:c>
      <x:c r="K1414" s="207" t="str"/>
      <x:c r="L1414" s="207" t="str"/>
      <x:c r="M1414" s="207" t="str">
        <x:v>Не рассмотрено</x:v>
      </x:c>
      <x:c r="N1414" s="207" t="str"/>
      <x:c r="O1414" s="207" t="str">
        <x:v>17</x:v>
      </x:c>
      <x:c r="P1414" s="207" t="n">
        <x:v>3</x:v>
      </x:c>
      <x:c r="Q1414" s="208" t="str">
        <x:v>Wave 2 (31–60 дней)</x:v>
      </x:c>
    </x:row>
    <x:row r="1415">
      <x:c r="A1415" s="206" t="str">
        <x:v>DEC-01411</x:v>
      </x:c>
      <x:c r="B1415" s="207" t="str">
        <x:v>Material master</x:v>
      </x:c>
      <x:c r="C1415" s="207" t="str">
        <x:v>MAT-DRAFT-0712</x:v>
      </x:c>
      <x:c r="D1415" s="207" t="str">
        <x:v>Unlinked</x:v>
      </x:c>
      <x:c r="E1415" s="207" t="str">
        <x:v>1 строк; 23750.00 руб.; 8-057</x:v>
      </x:c>
      <x:c r="F1415" s="207" t="str">
        <x:v>Подтвердить карточку, UOM, состав, цвет, поставщика и правила объединения</x:v>
      </x:c>
      <x:c r="G1415" s="207" t="str">
        <x:v>Закупки + склад</x:v>
      </x:c>
      <x:c r="H1415" s="207" t="str">
        <x:v>Высокий</x:v>
      </x:c>
      <x:c r="I1415" s="207" t="str">
        <x:v>Material aging; BOM; procurement; actual usage</x:v>
      </x:c>
      <x:c r="J1415" s="207" t="str">
        <x:v>Остатки ткани 31.05.2026</x:v>
      </x:c>
      <x:c r="K1415" s="207" t="str"/>
      <x:c r="L1415" s="207" t="str"/>
      <x:c r="M1415" s="207" t="str">
        <x:v>Не рассмотрено</x:v>
      </x:c>
      <x:c r="N1415" s="207" t="str"/>
      <x:c r="O1415" s="207" t="str">
        <x:v>17</x:v>
      </x:c>
      <x:c r="P1415" s="207" t="n">
        <x:v>3</x:v>
      </x:c>
      <x:c r="Q1415" s="208" t="str">
        <x:v>Wave 2 (31–60 дней)</x:v>
      </x:c>
    </x:row>
    <x:row r="1416">
      <x:c r="A1416" s="206" t="str">
        <x:v>DEC-01412</x:v>
      </x:c>
      <x:c r="B1416" s="207" t="str">
        <x:v>Material master</x:v>
      </x:c>
      <x:c r="C1416" s="207" t="str">
        <x:v>MAT-DRAFT-0713</x:v>
      </x:c>
      <x:c r="D1416" s="207" t="str">
        <x:v>Несколько кодов; Несколько исходных наименований</x:v>
      </x:c>
      <x:c r="E1416" s="207" t="str">
        <x:v>3 строк; 58750.00 руб.; 8-053; 8-054</x:v>
      </x:c>
      <x:c r="F1416" s="207" t="str">
        <x:v>Подтвердить карточку, UOM, состав, цвет, поставщика и правила объединения</x:v>
      </x:c>
      <x:c r="G1416" s="207" t="str">
        <x:v>Закупки + склад</x:v>
      </x:c>
      <x:c r="H1416" s="207" t="str">
        <x:v>Высокий</x:v>
      </x:c>
      <x:c r="I1416" s="207" t="str">
        <x:v>Material aging; BOM; procurement; actual usage</x:v>
      </x:c>
      <x:c r="J1416" s="207" t="str">
        <x:v>Остатки ткани 31.05.2026</x:v>
      </x:c>
      <x:c r="K1416" s="207" t="str"/>
      <x:c r="L1416" s="207" t="str"/>
      <x:c r="M1416" s="207" t="str">
        <x:v>Не рассмотрено</x:v>
      </x:c>
      <x:c r="N1416" s="207" t="str"/>
      <x:c r="O1416" s="207" t="str">
        <x:v>17</x:v>
      </x:c>
      <x:c r="P1416" s="207" t="n">
        <x:v>3</x:v>
      </x:c>
      <x:c r="Q1416" s="208" t="str">
        <x:v>Wave 2 (31–60 дней)</x:v>
      </x:c>
    </x:row>
    <x:row r="1417">
      <x:c r="A1417" s="206" t="str">
        <x:v>DEC-01413</x:v>
      </x:c>
      <x:c r="B1417" s="207" t="str">
        <x:v>Material master</x:v>
      </x:c>
      <x:c r="C1417" s="207" t="str">
        <x:v>MAT-DRAFT-0716</x:v>
      </x:c>
      <x:c r="D1417" s="207" t="str">
        <x:v>Unlinked</x:v>
      </x:c>
      <x:c r="E1417" s="207" t="str">
        <x:v>1 строк; 11600.00 руб.; 8-037</x:v>
      </x:c>
      <x:c r="F1417" s="207" t="str">
        <x:v>Подтвердить карточку, UOM, состав, цвет, поставщика и правила объединения</x:v>
      </x:c>
      <x:c r="G1417" s="207" t="str">
        <x:v>Закупки + склад</x:v>
      </x:c>
      <x:c r="H1417" s="207" t="str">
        <x:v>Высокий</x:v>
      </x:c>
      <x:c r="I1417" s="207" t="str">
        <x:v>Material aging; BOM; procurement; actual usage</x:v>
      </x:c>
      <x:c r="J1417" s="207" t="str">
        <x:v>Остатки ткани 31.05.2026</x:v>
      </x:c>
      <x:c r="K1417" s="207" t="str"/>
      <x:c r="L1417" s="207" t="str"/>
      <x:c r="M1417" s="207" t="str">
        <x:v>Не рассмотрено</x:v>
      </x:c>
      <x:c r="N1417" s="207" t="str"/>
      <x:c r="O1417" s="207" t="str">
        <x:v>17</x:v>
      </x:c>
      <x:c r="P1417" s="207" t="n">
        <x:v>3</x:v>
      </x:c>
      <x:c r="Q1417" s="208" t="str">
        <x:v>Wave 2 (31–60 дней)</x:v>
      </x:c>
    </x:row>
    <x:row r="1418">
      <x:c r="A1418" s="206" t="str">
        <x:v>DEC-01414</x:v>
      </x:c>
      <x:c r="B1418" s="207" t="str">
        <x:v>Material master</x:v>
      </x:c>
      <x:c r="C1418" s="207" t="str">
        <x:v>MAT-DRAFT-0717</x:v>
      </x:c>
      <x:c r="D1418" s="207" t="str">
        <x:v>Несколько кодов; Несколько исходных наименований</x:v>
      </x:c>
      <x:c r="E1418" s="207" t="str">
        <x:v>2 строк; 27375.00 руб.; 8-038; 8-062</x:v>
      </x:c>
      <x:c r="F1418" s="207" t="str">
        <x:v>Подтвердить карточку, UOM, состав, цвет, поставщика и правила объединения</x:v>
      </x:c>
      <x:c r="G1418" s="207" t="str">
        <x:v>Закупки + склад</x:v>
      </x:c>
      <x:c r="H1418" s="207" t="str">
        <x:v>Высокий</x:v>
      </x:c>
      <x:c r="I1418" s="207" t="str">
        <x:v>Material aging; BOM; procurement; actual usage</x:v>
      </x:c>
      <x:c r="J1418" s="207" t="str">
        <x:v>Остатки ткани 31.05.2026</x:v>
      </x:c>
      <x:c r="K1418" s="207" t="str"/>
      <x:c r="L1418" s="207" t="str"/>
      <x:c r="M1418" s="207" t="str">
        <x:v>Не рассмотрено</x:v>
      </x:c>
      <x:c r="N1418" s="207" t="str"/>
      <x:c r="O1418" s="207" t="str">
        <x:v>17</x:v>
      </x:c>
      <x:c r="P1418" s="207" t="n">
        <x:v>3</x:v>
      </x:c>
      <x:c r="Q1418" s="208" t="str">
        <x:v>Wave 2 (31–60 дней)</x:v>
      </x:c>
    </x:row>
    <x:row r="1419">
      <x:c r="A1419" s="206" t="str">
        <x:v>DEC-01415</x:v>
      </x:c>
      <x:c r="B1419" s="207" t="str">
        <x:v>Material master</x:v>
      </x:c>
      <x:c r="C1419" s="207" t="str">
        <x:v>MAT-DRAFT-0718</x:v>
      </x:c>
      <x:c r="D1419" s="207" t="str">
        <x:v>Несколько кодов; Несколько исходных наименований</x:v>
      </x:c>
      <x:c r="E1419" s="207" t="str">
        <x:v>3 строк; 51150.00 руб.; 9-009; 9-014; 9-025</x:v>
      </x:c>
      <x:c r="F1419" s="207" t="str">
        <x:v>Подтвердить карточку, UOM, состав, цвет, поставщика и правила объединения</x:v>
      </x:c>
      <x:c r="G1419" s="207" t="str">
        <x:v>Закупки + склад</x:v>
      </x:c>
      <x:c r="H1419" s="207" t="str">
        <x:v>Высокий</x:v>
      </x:c>
      <x:c r="I1419" s="207" t="str">
        <x:v>Material aging; BOM; procurement; actual usage</x:v>
      </x:c>
      <x:c r="J1419" s="207" t="str">
        <x:v>Остатки ткани 31.05.2026</x:v>
      </x:c>
      <x:c r="K1419" s="207" t="str"/>
      <x:c r="L1419" s="207" t="str"/>
      <x:c r="M1419" s="207" t="str">
        <x:v>Не рассмотрено</x:v>
      </x:c>
      <x:c r="N1419" s="207" t="str"/>
      <x:c r="O1419" s="207" t="str">
        <x:v>17</x:v>
      </x:c>
      <x:c r="P1419" s="207" t="n">
        <x:v>3</x:v>
      </x:c>
      <x:c r="Q1419" s="208" t="str">
        <x:v>Wave 2 (31–60 дней)</x:v>
      </x:c>
    </x:row>
    <x:row r="1420">
      <x:c r="A1420" s="206" t="str">
        <x:v>DEC-01416</x:v>
      </x:c>
      <x:c r="B1420" s="207" t="str">
        <x:v>Material master</x:v>
      </x:c>
      <x:c r="C1420" s="207" t="str">
        <x:v>MAT-DRAFT-0722</x:v>
      </x:c>
      <x:c r="D1420" s="207" t="str">
        <x:v>Unlinked</x:v>
      </x:c>
      <x:c r="E1420" s="207" t="str">
        <x:v>1 строк; 27600.00 руб.; 9-003</x:v>
      </x:c>
      <x:c r="F1420" s="207" t="str">
        <x:v>Подтвердить карточку, UOM, состав, цвет, поставщика и правила объединения</x:v>
      </x:c>
      <x:c r="G1420" s="207" t="str">
        <x:v>Закупки + склад</x:v>
      </x:c>
      <x:c r="H1420" s="207" t="str">
        <x:v>Высокий</x:v>
      </x:c>
      <x:c r="I1420" s="207" t="str">
        <x:v>Material aging; BOM; procurement; actual usage</x:v>
      </x:c>
      <x:c r="J1420" s="207" t="str">
        <x:v>Остатки ткани 31.05.2026</x:v>
      </x:c>
      <x:c r="K1420" s="207" t="str"/>
      <x:c r="L1420" s="207" t="str"/>
      <x:c r="M1420" s="207" t="str">
        <x:v>Не рассмотрено</x:v>
      </x:c>
      <x:c r="N1420" s="207" t="str"/>
      <x:c r="O1420" s="207" t="str">
        <x:v>17</x:v>
      </x:c>
      <x:c r="P1420" s="207" t="n">
        <x:v>3</x:v>
      </x:c>
      <x:c r="Q1420" s="208" t="str">
        <x:v>Wave 2 (31–60 дней)</x:v>
      </x:c>
    </x:row>
    <x:row r="1421">
      <x:c r="A1421" s="206" t="str">
        <x:v>DEC-01417</x:v>
      </x:c>
      <x:c r="B1421" s="207" t="str">
        <x:v>Material master</x:v>
      </x:c>
      <x:c r="C1421" s="207" t="str">
        <x:v>MAT-DRAFT-0723</x:v>
      </x:c>
      <x:c r="D1421" s="207" t="str">
        <x:v>Несколько кодов; Несколько исходных наименований</x:v>
      </x:c>
      <x:c r="E1421" s="207" t="str">
        <x:v>2 строк; 68400.00 руб.; 9-015; 9-017</x:v>
      </x:c>
      <x:c r="F1421" s="207" t="str">
        <x:v>Подтвердить карточку, UOM, состав, цвет, поставщика и правила объединения</x:v>
      </x:c>
      <x:c r="G1421" s="207" t="str">
        <x:v>Закупки + склад</x:v>
      </x:c>
      <x:c r="H1421" s="207" t="str">
        <x:v>Высокий</x:v>
      </x:c>
      <x:c r="I1421" s="207" t="str">
        <x:v>Material aging; BOM; procurement; actual usage</x:v>
      </x:c>
      <x:c r="J1421" s="207" t="str">
        <x:v>Остатки ткани 31.05.2026</x:v>
      </x:c>
      <x:c r="K1421" s="207" t="str"/>
      <x:c r="L1421" s="207" t="str"/>
      <x:c r="M1421" s="207" t="str">
        <x:v>Не рассмотрено</x:v>
      </x:c>
      <x:c r="N1421" s="207" t="str"/>
      <x:c r="O1421" s="207" t="str">
        <x:v>17</x:v>
      </x:c>
      <x:c r="P1421" s="207" t="n">
        <x:v>3</x:v>
      </x:c>
      <x:c r="Q1421" s="208" t="str">
        <x:v>Wave 2 (31–60 дней)</x:v>
      </x:c>
    </x:row>
    <x:row r="1422">
      <x:c r="A1422" s="206" t="str">
        <x:v>DEC-01418</x:v>
      </x:c>
      <x:c r="B1422" s="207" t="str">
        <x:v>Material master</x:v>
      </x:c>
      <x:c r="C1422" s="207" t="str">
        <x:v>MAT-DRAFT-0724</x:v>
      </x:c>
      <x:c r="D1422" s="207" t="str">
        <x:v>Unlinked</x:v>
      </x:c>
      <x:c r="E1422" s="207" t="str">
        <x:v>1 строк; 4500.00 руб.; 9-O-001</x:v>
      </x:c>
      <x:c r="F1422" s="207" t="str">
        <x:v>Подтвердить карточку, UOM, состав, цвет, поставщика и правила объединения</x:v>
      </x:c>
      <x:c r="G1422" s="207" t="str">
        <x:v>Закупки + склад</x:v>
      </x:c>
      <x:c r="H1422" s="207" t="str">
        <x:v>Средний</x:v>
      </x:c>
      <x:c r="I1422" s="207" t="str">
        <x:v>Material aging; BOM; procurement; actual usage</x:v>
      </x:c>
      <x:c r="J1422" s="207" t="str">
        <x:v>Остатки ткани 31.05.2026</x:v>
      </x:c>
      <x:c r="K1422" s="207" t="str"/>
      <x:c r="L1422" s="207" t="str"/>
      <x:c r="M1422" s="207" t="str">
        <x:v>Не рассмотрено</x:v>
      </x:c>
      <x:c r="N1422" s="207" t="str"/>
      <x:c r="O1422" s="207" t="str">
        <x:v>17</x:v>
      </x:c>
      <x:c r="P1422" s="207" t="n">
        <x:v>2</x:v>
      </x:c>
      <x:c r="Q1422" s="208" t="str">
        <x:v>Wave 3 (61–90 дней)</x:v>
      </x:c>
    </x:row>
    <x:row r="1423">
      <x:c r="A1423" s="206" t="str">
        <x:v>DEC-01419</x:v>
      </x:c>
      <x:c r="B1423" s="207" t="str">
        <x:v>Material master</x:v>
      </x:c>
      <x:c r="C1423" s="207" t="str">
        <x:v>MAT-DRAFT-0726</x:v>
      </x:c>
      <x:c r="D1423" s="207" t="str">
        <x:v>Unlinked</x:v>
      </x:c>
      <x:c r="E1423" s="207" t="str">
        <x:v>1 строк; 9000.00 руб.; 9-O-005</x:v>
      </x:c>
      <x:c r="F1423" s="207" t="str">
        <x:v>Подтвердить карточку, UOM, состав, цвет, поставщика и правила объединения</x:v>
      </x:c>
      <x:c r="G1423" s="207" t="str">
        <x:v>Закупки + склад</x:v>
      </x:c>
      <x:c r="H1423" s="207" t="str">
        <x:v>Средний</x:v>
      </x:c>
      <x:c r="I1423" s="207" t="str">
        <x:v>Material aging; BOM; procurement; actual usage</x:v>
      </x:c>
      <x:c r="J1423" s="207" t="str">
        <x:v>Остатки ткани 31.05.2026</x:v>
      </x:c>
      <x:c r="K1423" s="207" t="str"/>
      <x:c r="L1423" s="207" t="str"/>
      <x:c r="M1423" s="207" t="str">
        <x:v>Не рассмотрено</x:v>
      </x:c>
      <x:c r="N1423" s="207" t="str"/>
      <x:c r="O1423" s="207" t="str">
        <x:v>17</x:v>
      </x:c>
      <x:c r="P1423" s="207" t="n">
        <x:v>2</x:v>
      </x:c>
      <x:c r="Q1423" s="208" t="str">
        <x:v>Wave 3 (61–90 дней)</x:v>
      </x:c>
    </x:row>
    <x:row r="1424">
      <x:c r="A1424" s="206" t="str">
        <x:v>DEC-01420</x:v>
      </x:c>
      <x:c r="B1424" s="207" t="str">
        <x:v>Material master</x:v>
      </x:c>
      <x:c r="C1424" s="207" t="str">
        <x:v>MAT-DRAFT-0727</x:v>
      </x:c>
      <x:c r="D1424" s="207" t="str">
        <x:v>Unlinked</x:v>
      </x:c>
      <x:c r="E1424" s="207" t="str">
        <x:v>1 строк; 8100.00 руб.; 9-O-006</x:v>
      </x:c>
      <x:c r="F1424" s="207" t="str">
        <x:v>Подтвердить карточку, UOM, состав, цвет, поставщика и правила объединения</x:v>
      </x:c>
      <x:c r="G1424" s="207" t="str">
        <x:v>Закупки + склад</x:v>
      </x:c>
      <x:c r="H1424" s="207" t="str">
        <x:v>Средний</x:v>
      </x:c>
      <x:c r="I1424" s="207" t="str">
        <x:v>Material aging; BOM; procurement; actual usage</x:v>
      </x:c>
      <x:c r="J1424" s="207" t="str">
        <x:v>Остатки ткани 31.05.2026</x:v>
      </x:c>
      <x:c r="K1424" s="207" t="str"/>
      <x:c r="L1424" s="207" t="str"/>
      <x:c r="M1424" s="207" t="str">
        <x:v>Не рассмотрено</x:v>
      </x:c>
      <x:c r="N1424" s="207" t="str"/>
      <x:c r="O1424" s="207" t="str">
        <x:v>17</x:v>
      </x:c>
      <x:c r="P1424" s="207" t="n">
        <x:v>2</x:v>
      </x:c>
      <x:c r="Q1424" s="208" t="str">
        <x:v>Wave 3 (61–90 дней)</x:v>
      </x:c>
    </x:row>
    <x:row r="1425">
      <x:c r="A1425" s="206" t="str">
        <x:v>DEC-01421</x:v>
      </x:c>
      <x:c r="B1425" s="207" t="str">
        <x:v>Material master</x:v>
      </x:c>
      <x:c r="C1425" s="207" t="str">
        <x:v>MAT-DRAFT-0728</x:v>
      </x:c>
      <x:c r="D1425" s="207" t="str">
        <x:v>Unlinked</x:v>
      </x:c>
      <x:c r="E1425" s="207" t="str">
        <x:v>1 строк; 48000.00 руб.; 9-013</x:v>
      </x:c>
      <x:c r="F1425" s="207" t="str">
        <x:v>Подтвердить карточку, UOM, состав, цвет, поставщика и правила объединения</x:v>
      </x:c>
      <x:c r="G1425" s="207" t="str">
        <x:v>Закупки + склад</x:v>
      </x:c>
      <x:c r="H1425" s="207" t="str">
        <x:v>Высокий</x:v>
      </x:c>
      <x:c r="I1425" s="207" t="str">
        <x:v>Material aging; BOM; procurement; actual usage</x:v>
      </x:c>
      <x:c r="J1425" s="207" t="str">
        <x:v>Остатки ткани 31.05.2026</x:v>
      </x:c>
      <x:c r="K1425" s="207" t="str"/>
      <x:c r="L1425" s="207" t="str"/>
      <x:c r="M1425" s="207" t="str">
        <x:v>Не рассмотрено</x:v>
      </x:c>
      <x:c r="N1425" s="207" t="str"/>
      <x:c r="O1425" s="207" t="str">
        <x:v>17</x:v>
      </x:c>
      <x:c r="P1425" s="207" t="n">
        <x:v>3</x:v>
      </x:c>
      <x:c r="Q1425" s="208" t="str">
        <x:v>Wave 2 (31–60 дней)</x:v>
      </x:c>
    </x:row>
    <x:row r="1426">
      <x:c r="A1426" s="206" t="str">
        <x:v>DEC-01422</x:v>
      </x:c>
      <x:c r="B1426" s="207" t="str">
        <x:v>Material master</x:v>
      </x:c>
      <x:c r="C1426" s="207" t="str">
        <x:v>MAT-DRAFT-0729</x:v>
      </x:c>
      <x:c r="D1426" s="207" t="str">
        <x:v>Unlinked</x:v>
      </x:c>
      <x:c r="E1426" s="207" t="str">
        <x:v>1 строк; 9750.00 руб.; 9-024</x:v>
      </x:c>
      <x:c r="F1426" s="207" t="str">
        <x:v>Подтвердить карточку, UOM, состав, цвет, поставщика и правила объединения</x:v>
      </x:c>
      <x:c r="G1426" s="207" t="str">
        <x:v>Закупки + склад</x:v>
      </x:c>
      <x:c r="H1426" s="207" t="str">
        <x:v>Средний</x:v>
      </x:c>
      <x:c r="I1426" s="207" t="str">
        <x:v>Material aging; BOM; procurement; actual usage</x:v>
      </x:c>
      <x:c r="J1426" s="207" t="str">
        <x:v>Остатки ткани 31.05.2026</x:v>
      </x:c>
      <x:c r="K1426" s="207" t="str"/>
      <x:c r="L1426" s="207" t="str"/>
      <x:c r="M1426" s="207" t="str">
        <x:v>Не рассмотрено</x:v>
      </x:c>
      <x:c r="N1426" s="207" t="str"/>
      <x:c r="O1426" s="207" t="str">
        <x:v>17</x:v>
      </x:c>
      <x:c r="P1426" s="207" t="n">
        <x:v>2</x:v>
      </x:c>
      <x:c r="Q1426" s="208" t="str">
        <x:v>Wave 3 (61–90 дней)</x:v>
      </x:c>
    </x:row>
    <x:row r="1427">
      <x:c r="A1427" s="206" t="str">
        <x:v>DEC-01423</x:v>
      </x:c>
      <x:c r="B1427" s="207" t="str">
        <x:v>Material master</x:v>
      </x:c>
      <x:c r="C1427" s="207" t="str">
        <x:v>MAT-DRAFT-0730</x:v>
      </x:c>
      <x:c r="D1427" s="207" t="str">
        <x:v>Unlinked</x:v>
      </x:c>
      <x:c r="E1427" s="207" t="str">
        <x:v>1 строк; 10200.00 руб.; 9-007</x:v>
      </x:c>
      <x:c r="F1427" s="207" t="str">
        <x:v>Подтвердить карточку, UOM, состав, цвет, поставщика и правила объединения</x:v>
      </x:c>
      <x:c r="G1427" s="207" t="str">
        <x:v>Закупки + склад</x:v>
      </x:c>
      <x:c r="H1427" s="207" t="str">
        <x:v>Высокий</x:v>
      </x:c>
      <x:c r="I1427" s="207" t="str">
        <x:v>Material aging; BOM; procurement; actual usage</x:v>
      </x:c>
      <x:c r="J1427" s="207" t="str">
        <x:v>Остатки ткани 31.05.2026</x:v>
      </x:c>
      <x:c r="K1427" s="207" t="str"/>
      <x:c r="L1427" s="207" t="str"/>
      <x:c r="M1427" s="207" t="str">
        <x:v>Не рассмотрено</x:v>
      </x:c>
      <x:c r="N1427" s="207" t="str"/>
      <x:c r="O1427" s="207" t="str">
        <x:v>17</x:v>
      </x:c>
      <x:c r="P1427" s="207" t="n">
        <x:v>3</x:v>
      </x:c>
      <x:c r="Q1427" s="208" t="str">
        <x:v>Wave 2 (31–60 дней)</x:v>
      </x:c>
    </x:row>
    <x:row r="1428">
      <x:c r="A1428" s="206" t="str">
        <x:v>DEC-01424</x:v>
      </x:c>
      <x:c r="B1428" s="207" t="str">
        <x:v>Material master</x:v>
      </x:c>
      <x:c r="C1428" s="207" t="str">
        <x:v>MAT-DRAFT-0731</x:v>
      </x:c>
      <x:c r="D1428" s="207" t="str">
        <x:v>Unlinked</x:v>
      </x:c>
      <x:c r="E1428" s="207" t="str">
        <x:v>1 строк; 7650.00 руб.; 9-O-002</x:v>
      </x:c>
      <x:c r="F1428" s="207" t="str">
        <x:v>Подтвердить карточку, UOM, состав, цвет, поставщика и правила объединения</x:v>
      </x:c>
      <x:c r="G1428" s="207" t="str">
        <x:v>Закупки + склад</x:v>
      </x:c>
      <x:c r="H1428" s="207" t="str">
        <x:v>Средний</x:v>
      </x:c>
      <x:c r="I1428" s="207" t="str">
        <x:v>Material aging; BOM; procurement; actual usage</x:v>
      </x:c>
      <x:c r="J1428" s="207" t="str">
        <x:v>Остатки ткани 31.05.2026</x:v>
      </x:c>
      <x:c r="K1428" s="207" t="str"/>
      <x:c r="L1428" s="207" t="str"/>
      <x:c r="M1428" s="207" t="str">
        <x:v>Не рассмотрено</x:v>
      </x:c>
      <x:c r="N1428" s="207" t="str"/>
      <x:c r="O1428" s="207" t="str">
        <x:v>17</x:v>
      </x:c>
      <x:c r="P1428" s="207" t="n">
        <x:v>2</x:v>
      </x:c>
      <x:c r="Q1428" s="208" t="str">
        <x:v>Wave 3 (61–90 дней)</x:v>
      </x:c>
    </x:row>
    <x:row r="1429">
      <x:c r="A1429" s="206" t="str">
        <x:v>DEC-01425</x:v>
      </x:c>
      <x:c r="B1429" s="207" t="str">
        <x:v>Material master</x:v>
      </x:c>
      <x:c r="C1429" s="207" t="str">
        <x:v>MAT-DRAFT-0733</x:v>
      </x:c>
      <x:c r="D1429" s="207" t="str">
        <x:v>Unlinked</x:v>
      </x:c>
      <x:c r="E1429" s="207" t="str">
        <x:v>1 строк; 15300.00 руб.; 9-002</x:v>
      </x:c>
      <x:c r="F1429" s="207" t="str">
        <x:v>Подтвердить карточку, UOM, состав, цвет, поставщика и правила объединения</x:v>
      </x:c>
      <x:c r="G1429" s="207" t="str">
        <x:v>Закупки + склад</x:v>
      </x:c>
      <x:c r="H1429" s="207" t="str">
        <x:v>Высокий</x:v>
      </x:c>
      <x:c r="I1429" s="207" t="str">
        <x:v>Material aging; BOM; procurement; actual usage</x:v>
      </x:c>
      <x:c r="J1429" s="207" t="str">
        <x:v>Остатки ткани 31.05.2026</x:v>
      </x:c>
      <x:c r="K1429" s="207" t="str"/>
      <x:c r="L1429" s="207" t="str"/>
      <x:c r="M1429" s="207" t="str">
        <x:v>Не рассмотрено</x:v>
      </x:c>
      <x:c r="N1429" s="207" t="str"/>
      <x:c r="O1429" s="207" t="str">
        <x:v>17</x:v>
      </x:c>
      <x:c r="P1429" s="207" t="n">
        <x:v>3</x:v>
      </x:c>
      <x:c r="Q1429" s="208" t="str">
        <x:v>Wave 2 (31–60 дней)</x:v>
      </x:c>
    </x:row>
    <x:row r="1430">
      <x:c r="A1430" s="206" t="str">
        <x:v>DEC-01426</x:v>
      </x:c>
      <x:c r="B1430" s="207" t="str">
        <x:v>Material master</x:v>
      </x:c>
      <x:c r="C1430" s="207" t="str">
        <x:v>MAT-DRAFT-0734</x:v>
      </x:c>
      <x:c r="D1430" s="207" t="str">
        <x:v>Несколько кодов; Несколько исходных наименований</x:v>
      </x:c>
      <x:c r="E1430" s="207" t="str">
        <x:v>3 строк; 53700.00 руб.; 9-005; 9-020; 9-021</x:v>
      </x:c>
      <x:c r="F1430" s="207" t="str">
        <x:v>Подтвердить карточку, UOM, состав, цвет, поставщика и правила объединения</x:v>
      </x:c>
      <x:c r="G1430" s="207" t="str">
        <x:v>Закупки + склад</x:v>
      </x:c>
      <x:c r="H1430" s="207" t="str">
        <x:v>Высокий</x:v>
      </x:c>
      <x:c r="I1430" s="207" t="str">
        <x:v>Material aging; BOM; procurement; actual usage</x:v>
      </x:c>
      <x:c r="J1430" s="207" t="str">
        <x:v>Остатки ткани 31.05.2026</x:v>
      </x:c>
      <x:c r="K1430" s="207" t="str"/>
      <x:c r="L1430" s="207" t="str"/>
      <x:c r="M1430" s="207" t="str">
        <x:v>Не рассмотрено</x:v>
      </x:c>
      <x:c r="N1430" s="207" t="str"/>
      <x:c r="O1430" s="207" t="str">
        <x:v>17</x:v>
      </x:c>
      <x:c r="P1430" s="207" t="n">
        <x:v>3</x:v>
      </x:c>
      <x:c r="Q1430" s="208" t="str">
        <x:v>Wave 2 (31–60 дней)</x:v>
      </x:c>
    </x:row>
    <x:row r="1431">
      <x:c r="A1431" s="206" t="str">
        <x:v>DEC-01427</x:v>
      </x:c>
      <x:c r="B1431" s="207" t="str">
        <x:v>Material master</x:v>
      </x:c>
      <x:c r="C1431" s="207" t="str">
        <x:v>MAT-DRAFT-0735</x:v>
      </x:c>
      <x:c r="D1431" s="207" t="str">
        <x:v>Unlinked</x:v>
      </x:c>
      <x:c r="E1431" s="207" t="str">
        <x:v>1 строк; 41100.00 руб.; 9-018</x:v>
      </x:c>
      <x:c r="F1431" s="207" t="str">
        <x:v>Подтвердить карточку, UOM, состав, цвет, поставщика и правила объединения</x:v>
      </x:c>
      <x:c r="G1431" s="207" t="str">
        <x:v>Закупки + склад</x:v>
      </x:c>
      <x:c r="H1431" s="207" t="str">
        <x:v>Высокий</x:v>
      </x:c>
      <x:c r="I1431" s="207" t="str">
        <x:v>Material aging; BOM; procurement; actual usage</x:v>
      </x:c>
      <x:c r="J1431" s="207" t="str">
        <x:v>Остатки ткани 31.05.2026</x:v>
      </x:c>
      <x:c r="K1431" s="207" t="str"/>
      <x:c r="L1431" s="207" t="str"/>
      <x:c r="M1431" s="207" t="str">
        <x:v>Не рассмотрено</x:v>
      </x:c>
      <x:c r="N1431" s="207" t="str"/>
      <x:c r="O1431" s="207" t="str">
        <x:v>17</x:v>
      </x:c>
      <x:c r="P1431" s="207" t="n">
        <x:v>3</x:v>
      </x:c>
      <x:c r="Q1431" s="208" t="str">
        <x:v>Wave 2 (31–60 дней)</x:v>
      </x:c>
    </x:row>
    <x:row r="1432">
      <x:c r="A1432" s="206" t="str">
        <x:v>DEC-01428</x:v>
      </x:c>
      <x:c r="B1432" s="207" t="str">
        <x:v>Material master</x:v>
      </x:c>
      <x:c r="C1432" s="207" t="str">
        <x:v>MAT-DRAFT-0738</x:v>
      </x:c>
      <x:c r="D1432" s="207" t="str">
        <x:v>Unlinked</x:v>
      </x:c>
      <x:c r="E1432" s="207" t="str">
        <x:v>1 строк; 19500.00 руб.; 9-019</x:v>
      </x:c>
      <x:c r="F1432" s="207" t="str">
        <x:v>Подтвердить карточку, UOM, состав, цвет, поставщика и правила объединения</x:v>
      </x:c>
      <x:c r="G1432" s="207" t="str">
        <x:v>Закупки + склад</x:v>
      </x:c>
      <x:c r="H1432" s="207" t="str">
        <x:v>Высокий</x:v>
      </x:c>
      <x:c r="I1432" s="207" t="str">
        <x:v>Material aging; BOM; procurement; actual usage</x:v>
      </x:c>
      <x:c r="J1432" s="207" t="str">
        <x:v>Остатки ткани 31.05.2026</x:v>
      </x:c>
      <x:c r="K1432" s="207" t="str"/>
      <x:c r="L1432" s="207" t="str"/>
      <x:c r="M1432" s="207" t="str">
        <x:v>Не рассмотрено</x:v>
      </x:c>
      <x:c r="N1432" s="207" t="str"/>
      <x:c r="O1432" s="207" t="str">
        <x:v>17</x:v>
      </x:c>
      <x:c r="P1432" s="207" t="n">
        <x:v>3</x:v>
      </x:c>
      <x:c r="Q1432" s="208" t="str">
        <x:v>Wave 2 (31–60 дней)</x:v>
      </x:c>
    </x:row>
    <x:row r="1433">
      <x:c r="A1433" s="206" t="str">
        <x:v>DEC-01429</x:v>
      </x:c>
      <x:c r="B1433" s="207" t="str">
        <x:v>Material master</x:v>
      </x:c>
      <x:c r="C1433" s="207" t="str">
        <x:v>MAT-DRAFT-0740</x:v>
      </x:c>
      <x:c r="D1433" s="207" t="str">
        <x:v>Unlinked</x:v>
      </x:c>
      <x:c r="E1433" s="207" t="str">
        <x:v>1 строк; 8800.00 руб.; 8-017</x:v>
      </x:c>
      <x:c r="F1433" s="207" t="str">
        <x:v>Подтвердить карточку, UOM, состав, цвет, поставщика и правила объединения</x:v>
      </x:c>
      <x:c r="G1433" s="207" t="str">
        <x:v>Закупки + склад</x:v>
      </x:c>
      <x:c r="H1433" s="207" t="str">
        <x:v>Средний</x:v>
      </x:c>
      <x:c r="I1433" s="207" t="str">
        <x:v>Material aging; BOM; procurement; actual usage</x:v>
      </x:c>
      <x:c r="J1433" s="207" t="str">
        <x:v>Остатки ткани 31.05.2026</x:v>
      </x:c>
      <x:c r="K1433" s="207" t="str"/>
      <x:c r="L1433" s="207" t="str"/>
      <x:c r="M1433" s="207" t="str">
        <x:v>Не рассмотрено</x:v>
      </x:c>
      <x:c r="N1433" s="207" t="str"/>
      <x:c r="O1433" s="207" t="str">
        <x:v>17</x:v>
      </x:c>
      <x:c r="P1433" s="207" t="n">
        <x:v>2</x:v>
      </x:c>
      <x:c r="Q1433" s="208" t="str">
        <x:v>Wave 3 (61–90 дней)</x:v>
      </x:c>
    </x:row>
    <x:row r="1434">
      <x:c r="A1434" s="206" t="str">
        <x:v>DEC-01430</x:v>
      </x:c>
      <x:c r="B1434" s="207" t="str">
        <x:v>Material master</x:v>
      </x:c>
      <x:c r="C1434" s="207" t="str">
        <x:v>MAT-DRAFT-0741</x:v>
      </x:c>
      <x:c r="D1434" s="207" t="str">
        <x:v>Unlinked</x:v>
      </x:c>
      <x:c r="E1434" s="207" t="str">
        <x:v>1 строк; 21000.00 руб.; 8-018</x:v>
      </x:c>
      <x:c r="F1434" s="207" t="str">
        <x:v>Подтвердить карточку, UOM, состав, цвет, поставщика и правила объединения</x:v>
      </x:c>
      <x:c r="G1434" s="207" t="str">
        <x:v>Закупки + склад</x:v>
      </x:c>
      <x:c r="H1434" s="207" t="str">
        <x:v>Высокий</x:v>
      </x:c>
      <x:c r="I1434" s="207" t="str">
        <x:v>Material aging; BOM; procurement; actual usage</x:v>
      </x:c>
      <x:c r="J1434" s="207" t="str">
        <x:v>Остатки ткани 31.05.2026</x:v>
      </x:c>
      <x:c r="K1434" s="207" t="str"/>
      <x:c r="L1434" s="207" t="str"/>
      <x:c r="M1434" s="207" t="str">
        <x:v>Не рассмотрено</x:v>
      </x:c>
      <x:c r="N1434" s="207" t="str"/>
      <x:c r="O1434" s="207" t="str">
        <x:v>17</x:v>
      </x:c>
      <x:c r="P1434" s="207" t="n">
        <x:v>3</x:v>
      </x:c>
      <x:c r="Q1434" s="208" t="str">
        <x:v>Wave 2 (31–60 дней)</x:v>
      </x:c>
    </x:row>
    <x:row r="1435">
      <x:c r="A1435" s="206" t="str">
        <x:v>DEC-01431</x:v>
      </x:c>
      <x:c r="B1435" s="207" t="str">
        <x:v>Material master</x:v>
      </x:c>
      <x:c r="C1435" s="207" t="str">
        <x:v>MAT-DRAFT-0743</x:v>
      </x:c>
      <x:c r="D1435" s="207" t="str">
        <x:v>Unlinked</x:v>
      </x:c>
      <x:c r="E1435" s="207" t="str">
        <x:v>1 строк; 12800.00 руб.; 8-035</x:v>
      </x:c>
      <x:c r="F1435" s="207" t="str">
        <x:v>Подтвердить карточку, UOM, состав, цвет, поставщика и правила объединения</x:v>
      </x:c>
      <x:c r="G1435" s="207" t="str">
        <x:v>Закупки + склад</x:v>
      </x:c>
      <x:c r="H1435" s="207" t="str">
        <x:v>Высокий</x:v>
      </x:c>
      <x:c r="I1435" s="207" t="str">
        <x:v>Material aging; BOM; procurement; actual usage</x:v>
      </x:c>
      <x:c r="J1435" s="207" t="str">
        <x:v>Остатки ткани 31.05.2026</x:v>
      </x:c>
      <x:c r="K1435" s="207" t="str"/>
      <x:c r="L1435" s="207" t="str"/>
      <x:c r="M1435" s="207" t="str">
        <x:v>Не рассмотрено</x:v>
      </x:c>
      <x:c r="N1435" s="207" t="str"/>
      <x:c r="O1435" s="207" t="str">
        <x:v>17</x:v>
      </x:c>
      <x:c r="P1435" s="207" t="n">
        <x:v>3</x:v>
      </x:c>
      <x:c r="Q1435" s="208" t="str">
        <x:v>Wave 2 (31–60 дней)</x:v>
      </x:c>
    </x:row>
    <x:row r="1436">
      <x:c r="A1436" s="206" t="str">
        <x:v>DEC-01432</x:v>
      </x:c>
      <x:c r="B1436" s="207" t="str">
        <x:v>Material master</x:v>
      </x:c>
      <x:c r="C1436" s="207" t="str">
        <x:v>MAT-DRAFT-0744</x:v>
      </x:c>
      <x:c r="D1436" s="207" t="str">
        <x:v>Unlinked</x:v>
      </x:c>
      <x:c r="E1436" s="207" t="str">
        <x:v>1 строк; 5200.00 руб.; 8-O-009</x:v>
      </x:c>
      <x:c r="F1436" s="207" t="str">
        <x:v>Подтвердить карточку, UOM, состав, цвет, поставщика и правила объединения</x:v>
      </x:c>
      <x:c r="G1436" s="207" t="str">
        <x:v>Закупки + склад</x:v>
      </x:c>
      <x:c r="H1436" s="207" t="str">
        <x:v>Средний</x:v>
      </x:c>
      <x:c r="I1436" s="207" t="str">
        <x:v>Material aging; BOM; procurement; actual usage</x:v>
      </x:c>
      <x:c r="J1436" s="207" t="str">
        <x:v>Остатки ткани 31.05.2026</x:v>
      </x:c>
      <x:c r="K1436" s="207" t="str"/>
      <x:c r="L1436" s="207" t="str"/>
      <x:c r="M1436" s="207" t="str">
        <x:v>Не рассмотрено</x:v>
      </x:c>
      <x:c r="N1436" s="207" t="str"/>
      <x:c r="O1436" s="207" t="str">
        <x:v>17</x:v>
      </x:c>
      <x:c r="P1436" s="207" t="n">
        <x:v>2</x:v>
      </x:c>
      <x:c r="Q1436" s="208" t="str">
        <x:v>Wave 3 (61–90 дней)</x:v>
      </x:c>
    </x:row>
    <x:row r="1437">
      <x:c r="A1437" s="206" t="str">
        <x:v>DEC-01433</x:v>
      </x:c>
      <x:c r="B1437" s="207" t="str">
        <x:v>Material master</x:v>
      </x:c>
      <x:c r="C1437" s="207" t="str">
        <x:v>MAT-DRAFT-0745</x:v>
      </x:c>
      <x:c r="D1437" s="207" t="str">
        <x:v>Unlinked</x:v>
      </x:c>
      <x:c r="E1437" s="207" t="str">
        <x:v>1 строк; 5200.00 руб.; 8-O-011</x:v>
      </x:c>
      <x:c r="F1437" s="207" t="str">
        <x:v>Подтвердить карточку, UOM, состав, цвет, поставщика и правила объединения</x:v>
      </x:c>
      <x:c r="G1437" s="207" t="str">
        <x:v>Закупки + склад</x:v>
      </x:c>
      <x:c r="H1437" s="207" t="str">
        <x:v>Средний</x:v>
      </x:c>
      <x:c r="I1437" s="207" t="str">
        <x:v>Material aging; BOM; procurement; actual usage</x:v>
      </x:c>
      <x:c r="J1437" s="207" t="str">
        <x:v>Остатки ткани 31.05.2026</x:v>
      </x:c>
      <x:c r="K1437" s="207" t="str"/>
      <x:c r="L1437" s="207" t="str"/>
      <x:c r="M1437" s="207" t="str">
        <x:v>Не рассмотрено</x:v>
      </x:c>
      <x:c r="N1437" s="207" t="str"/>
      <x:c r="O1437" s="207" t="str">
        <x:v>17</x:v>
      </x:c>
      <x:c r="P1437" s="207" t="n">
        <x:v>2</x:v>
      </x:c>
      <x:c r="Q1437" s="208" t="str">
        <x:v>Wave 3 (61–90 дней)</x:v>
      </x:c>
    </x:row>
    <x:row r="1438">
      <x:c r="A1438" s="206" t="str">
        <x:v>DEC-01434</x:v>
      </x:c>
      <x:c r="B1438" s="207" t="str">
        <x:v>Material master</x:v>
      </x:c>
      <x:c r="C1438" s="207" t="str">
        <x:v>MAT-DRAFT-0746</x:v>
      </x:c>
      <x:c r="D1438" s="207" t="str">
        <x:v>Несколько кодов; Несколько исходных наименований</x:v>
      </x:c>
      <x:c r="E1438" s="207" t="str">
        <x:v>2 строк; 17300.00 руб.; 8-007; 8-013</x:v>
      </x:c>
      <x:c r="F1438" s="207" t="str">
        <x:v>Подтвердить карточку, UOM, состав, цвет, поставщика и правила объединения</x:v>
      </x:c>
      <x:c r="G1438" s="207" t="str">
        <x:v>Закупки + склад</x:v>
      </x:c>
      <x:c r="H1438" s="207" t="str">
        <x:v>Высокий</x:v>
      </x:c>
      <x:c r="I1438" s="207" t="str">
        <x:v>Material aging; BOM; procurement; actual usage</x:v>
      </x:c>
      <x:c r="J1438" s="207" t="str">
        <x:v>Остатки ткани 31.05.2026</x:v>
      </x:c>
      <x:c r="K1438" s="207" t="str"/>
      <x:c r="L1438" s="207" t="str"/>
      <x:c r="M1438" s="207" t="str">
        <x:v>Не рассмотрено</x:v>
      </x:c>
      <x:c r="N1438" s="207" t="str"/>
      <x:c r="O1438" s="207" t="str">
        <x:v>17</x:v>
      </x:c>
      <x:c r="P1438" s="207" t="n">
        <x:v>3</x:v>
      </x:c>
      <x:c r="Q1438" s="208" t="str">
        <x:v>Wave 2 (31–60 дней)</x:v>
      </x:c>
    </x:row>
    <x:row r="1439">
      <x:c r="A1439" s="206" t="str">
        <x:v>DEC-01435</x:v>
      </x:c>
      <x:c r="B1439" s="207" t="str">
        <x:v>Material master</x:v>
      </x:c>
      <x:c r="C1439" s="207" t="str">
        <x:v>MAT-DRAFT-0747</x:v>
      </x:c>
      <x:c r="D1439" s="207" t="str">
        <x:v>Unlinked</x:v>
      </x:c>
      <x:c r="E1439" s="207" t="str">
        <x:v>1 строк; 4000.00 руб.; 8-O-004</x:v>
      </x:c>
      <x:c r="F1439" s="207" t="str">
        <x:v>Подтвердить карточку, UOM, состав, цвет, поставщика и правила объединения</x:v>
      </x:c>
      <x:c r="G1439" s="207" t="str">
        <x:v>Закупки + склад</x:v>
      </x:c>
      <x:c r="H1439" s="207" t="str">
        <x:v>Средний</x:v>
      </x:c>
      <x:c r="I1439" s="207" t="str">
        <x:v>Material aging; BOM; procurement; actual usage</x:v>
      </x:c>
      <x:c r="J1439" s="207" t="str">
        <x:v>Остатки ткани 31.05.2026</x:v>
      </x:c>
      <x:c r="K1439" s="207" t="str"/>
      <x:c r="L1439" s="207" t="str"/>
      <x:c r="M1439" s="207" t="str">
        <x:v>Не рассмотрено</x:v>
      </x:c>
      <x:c r="N1439" s="207" t="str"/>
      <x:c r="O1439" s="207" t="str">
        <x:v>17</x:v>
      </x:c>
      <x:c r="P1439" s="207" t="n">
        <x:v>2</x:v>
      </x:c>
      <x:c r="Q1439" s="208" t="str">
        <x:v>Wave 3 (61–90 дней)</x:v>
      </x:c>
    </x:row>
    <x:row r="1440">
      <x:c r="A1440" s="206" t="str">
        <x:v>DEC-01436</x:v>
      </x:c>
      <x:c r="B1440" s="207" t="str">
        <x:v>Material master</x:v>
      </x:c>
      <x:c r="C1440" s="207" t="str">
        <x:v>MAT-DRAFT-0748</x:v>
      </x:c>
      <x:c r="D1440" s="207" t="str">
        <x:v>Unlinked</x:v>
      </x:c>
      <x:c r="E1440" s="207" t="str">
        <x:v>1 строк; 11520.00 руб.; 8-014</x:v>
      </x:c>
      <x:c r="F1440" s="207" t="str">
        <x:v>Подтвердить карточку, UOM, состав, цвет, поставщика и правила объединения</x:v>
      </x:c>
      <x:c r="G1440" s="207" t="str">
        <x:v>Закупки + склад</x:v>
      </x:c>
      <x:c r="H1440" s="207" t="str">
        <x:v>Высокий</x:v>
      </x:c>
      <x:c r="I1440" s="207" t="str">
        <x:v>Material aging; BOM; procurement; actual usage</x:v>
      </x:c>
      <x:c r="J1440" s="207" t="str">
        <x:v>Остатки ткани 31.05.2026</x:v>
      </x:c>
      <x:c r="K1440" s="207" t="str"/>
      <x:c r="L1440" s="207" t="str"/>
      <x:c r="M1440" s="207" t="str">
        <x:v>Не рассмотрено</x:v>
      </x:c>
      <x:c r="N1440" s="207" t="str"/>
      <x:c r="O1440" s="207" t="str">
        <x:v>17</x:v>
      </x:c>
      <x:c r="P1440" s="207" t="n">
        <x:v>3</x:v>
      </x:c>
      <x:c r="Q1440" s="208" t="str">
        <x:v>Wave 2 (31–60 дней)</x:v>
      </x:c>
    </x:row>
    <x:row r="1441">
      <x:c r="A1441" s="206" t="str">
        <x:v>DEC-01437</x:v>
      </x:c>
      <x:c r="B1441" s="207" t="str">
        <x:v>Material master</x:v>
      </x:c>
      <x:c r="C1441" s="207" t="str">
        <x:v>MAT-DRAFT-0749</x:v>
      </x:c>
      <x:c r="D1441" s="207" t="str">
        <x:v>Unlinked</x:v>
      </x:c>
      <x:c r="E1441" s="207" t="str">
        <x:v>1 строк; 4000.00 руб.; 8-O-003</x:v>
      </x:c>
      <x:c r="F1441" s="207" t="str">
        <x:v>Подтвердить карточку, UOM, состав, цвет, поставщика и правила объединения</x:v>
      </x:c>
      <x:c r="G1441" s="207" t="str">
        <x:v>Закупки + склад</x:v>
      </x:c>
      <x:c r="H1441" s="207" t="str">
        <x:v>Средний</x:v>
      </x:c>
      <x:c r="I1441" s="207" t="str">
        <x:v>Material aging; BOM; procurement; actual usage</x:v>
      </x:c>
      <x:c r="J1441" s="207" t="str">
        <x:v>Остатки ткани 31.05.2026</x:v>
      </x:c>
      <x:c r="K1441" s="207" t="str"/>
      <x:c r="L1441" s="207" t="str"/>
      <x:c r="M1441" s="207" t="str">
        <x:v>Не рассмотрено</x:v>
      </x:c>
      <x:c r="N1441" s="207" t="str"/>
      <x:c r="O1441" s="207" t="str">
        <x:v>17</x:v>
      </x:c>
      <x:c r="P1441" s="207" t="n">
        <x:v>2</x:v>
      </x:c>
      <x:c r="Q1441" s="208" t="str">
        <x:v>Wave 3 (61–90 дней)</x:v>
      </x:c>
    </x:row>
    <x:row r="1442">
      <x:c r="A1442" s="206" t="str">
        <x:v>DEC-01438</x:v>
      </x:c>
      <x:c r="B1442" s="207" t="str">
        <x:v>Material master</x:v>
      </x:c>
      <x:c r="C1442" s="207" t="str">
        <x:v>MAT-DRAFT-0750</x:v>
      </x:c>
      <x:c r="D1442" s="207" t="str">
        <x:v>Unlinked</x:v>
      </x:c>
      <x:c r="E1442" s="207" t="str">
        <x:v>1 строк; 28200.00 руб.; 8-034</x:v>
      </x:c>
      <x:c r="F1442" s="207" t="str">
        <x:v>Подтвердить карточку, UOM, состав, цвет, поставщика и правила объединения</x:v>
      </x:c>
      <x:c r="G1442" s="207" t="str">
        <x:v>Закупки + склад</x:v>
      </x:c>
      <x:c r="H1442" s="207" t="str">
        <x:v>Высокий</x:v>
      </x:c>
      <x:c r="I1442" s="207" t="str">
        <x:v>Material aging; BOM; procurement; actual usage</x:v>
      </x:c>
      <x:c r="J1442" s="207" t="str">
        <x:v>Остатки ткани 31.05.2026</x:v>
      </x:c>
      <x:c r="K1442" s="207" t="str"/>
      <x:c r="L1442" s="207" t="str"/>
      <x:c r="M1442" s="207" t="str">
        <x:v>Не рассмотрено</x:v>
      </x:c>
      <x:c r="N1442" s="207" t="str"/>
      <x:c r="O1442" s="207" t="str">
        <x:v>17</x:v>
      </x:c>
      <x:c r="P1442" s="207" t="n">
        <x:v>3</x:v>
      </x:c>
      <x:c r="Q1442" s="208" t="str">
        <x:v>Wave 2 (31–60 дней)</x:v>
      </x:c>
    </x:row>
    <x:row r="1443">
      <x:c r="A1443" s="206" t="str">
        <x:v>DEC-01439</x:v>
      </x:c>
      <x:c r="B1443" s="207" t="str">
        <x:v>Material master</x:v>
      </x:c>
      <x:c r="C1443" s="207" t="str">
        <x:v>MAT-DRAFT-0751</x:v>
      </x:c>
      <x:c r="D1443" s="207" t="str">
        <x:v>Unlinked</x:v>
      </x:c>
      <x:c r="E1443" s="207" t="str">
        <x:v>1 строк; 9400.00 руб.; 8-030</x:v>
      </x:c>
      <x:c r="F1443" s="207" t="str">
        <x:v>Подтвердить карточку, UOM, состав, цвет, поставщика и правила объединения</x:v>
      </x:c>
      <x:c r="G1443" s="207" t="str">
        <x:v>Закупки + склад</x:v>
      </x:c>
      <x:c r="H1443" s="207" t="str">
        <x:v>Средний</x:v>
      </x:c>
      <x:c r="I1443" s="207" t="str">
        <x:v>Material aging; BOM; procurement; actual usage</x:v>
      </x:c>
      <x:c r="J1443" s="207" t="str">
        <x:v>Остатки ткани 31.05.2026</x:v>
      </x:c>
      <x:c r="K1443" s="207" t="str"/>
      <x:c r="L1443" s="207" t="str"/>
      <x:c r="M1443" s="207" t="str">
        <x:v>Не рассмотрено</x:v>
      </x:c>
      <x:c r="N1443" s="207" t="str"/>
      <x:c r="O1443" s="207" t="str">
        <x:v>17</x:v>
      </x:c>
      <x:c r="P1443" s="207" t="n">
        <x:v>2</x:v>
      </x:c>
      <x:c r="Q1443" s="208" t="str">
        <x:v>Wave 3 (61–90 дней)</x:v>
      </x:c>
    </x:row>
    <x:row r="1444">
      <x:c r="A1444" s="206" t="str">
        <x:v>DEC-01440</x:v>
      </x:c>
      <x:c r="B1444" s="207" t="str">
        <x:v>Material master</x:v>
      </x:c>
      <x:c r="C1444" s="207" t="str">
        <x:v>MAT-DRAFT-0752</x:v>
      </x:c>
      <x:c r="D1444" s="207" t="str">
        <x:v>Несколько кодов; Несколько исходных наименований</x:v>
      </x:c>
      <x:c r="E1444" s="207" t="str">
        <x:v>3 строк; 39000.00 руб.; 8-046; 8-049; 8-050</x:v>
      </x:c>
      <x:c r="F1444" s="207" t="str">
        <x:v>Подтвердить карточку, UOM, состав, цвет, поставщика и правила объединения</x:v>
      </x:c>
      <x:c r="G1444" s="207" t="str">
        <x:v>Закупки + склад</x:v>
      </x:c>
      <x:c r="H1444" s="207" t="str">
        <x:v>Высокий</x:v>
      </x:c>
      <x:c r="I1444" s="207" t="str">
        <x:v>Material aging; BOM; procurement; actual usage</x:v>
      </x:c>
      <x:c r="J1444" s="207" t="str">
        <x:v>Остатки ткани 31.05.2026</x:v>
      </x:c>
      <x:c r="K1444" s="207" t="str"/>
      <x:c r="L1444" s="207" t="str"/>
      <x:c r="M1444" s="207" t="str">
        <x:v>Не рассмотрено</x:v>
      </x:c>
      <x:c r="N1444" s="207" t="str"/>
      <x:c r="O1444" s="207" t="str">
        <x:v>17</x:v>
      </x:c>
      <x:c r="P1444" s="207" t="n">
        <x:v>3</x:v>
      </x:c>
      <x:c r="Q1444" s="208" t="str">
        <x:v>Wave 2 (31–60 дней)</x:v>
      </x:c>
    </x:row>
    <x:row r="1445">
      <x:c r="A1445" s="206" t="str">
        <x:v>DEC-01441</x:v>
      </x:c>
      <x:c r="B1445" s="207" t="str">
        <x:v>Material master</x:v>
      </x:c>
      <x:c r="C1445" s="207" t="str">
        <x:v>MAT-DRAFT-0753</x:v>
      </x:c>
      <x:c r="D1445" s="207" t="str">
        <x:v>Unlinked</x:v>
      </x:c>
      <x:c r="E1445" s="207" t="str">
        <x:v>1 строк; 2000.00 руб.; 8-O-005</x:v>
      </x:c>
      <x:c r="F1445" s="207" t="str">
        <x:v>Подтвердить карточку, UOM, состав, цвет, поставщика и правила объединения</x:v>
      </x:c>
      <x:c r="G1445" s="207" t="str">
        <x:v>Закупки + склад</x:v>
      </x:c>
      <x:c r="H1445" s="207" t="str">
        <x:v>Средний</x:v>
      </x:c>
      <x:c r="I1445" s="207" t="str">
        <x:v>Material aging; BOM; procurement; actual usage</x:v>
      </x:c>
      <x:c r="J1445" s="207" t="str">
        <x:v>Остатки ткани 31.05.2026</x:v>
      </x:c>
      <x:c r="K1445" s="207" t="str"/>
      <x:c r="L1445" s="207" t="str"/>
      <x:c r="M1445" s="207" t="str">
        <x:v>Не рассмотрено</x:v>
      </x:c>
      <x:c r="N1445" s="207" t="str"/>
      <x:c r="O1445" s="207" t="str">
        <x:v>17</x:v>
      </x:c>
      <x:c r="P1445" s="207" t="n">
        <x:v>2</x:v>
      </x:c>
      <x:c r="Q1445" s="208" t="str">
        <x:v>Wave 3 (61–90 дней)</x:v>
      </x:c>
    </x:row>
    <x:row r="1446">
      <x:c r="A1446" s="206" t="str">
        <x:v>DEC-01442</x:v>
      </x:c>
      <x:c r="B1446" s="207" t="str">
        <x:v>Material master</x:v>
      </x:c>
      <x:c r="C1446" s="207" t="str">
        <x:v>MAT-DRAFT-0754</x:v>
      </x:c>
      <x:c r="D1446" s="207" t="str">
        <x:v>Unlinked</x:v>
      </x:c>
      <x:c r="E1446" s="207" t="str">
        <x:v>1 строк; 4000.00 руб.; 8-O-013</x:v>
      </x:c>
      <x:c r="F1446" s="207" t="str">
        <x:v>Подтвердить карточку, UOM, состав, цвет, поставщика и правила объединения</x:v>
      </x:c>
      <x:c r="G1446" s="207" t="str">
        <x:v>Закупки + склад</x:v>
      </x:c>
      <x:c r="H1446" s="207" t="str">
        <x:v>Средний</x:v>
      </x:c>
      <x:c r="I1446" s="207" t="str">
        <x:v>Material aging; BOM; procurement; actual usage</x:v>
      </x:c>
      <x:c r="J1446" s="207" t="str">
        <x:v>Остатки ткани 31.05.2026</x:v>
      </x:c>
      <x:c r="K1446" s="207" t="str"/>
      <x:c r="L1446" s="207" t="str"/>
      <x:c r="M1446" s="207" t="str">
        <x:v>Не рассмотрено</x:v>
      </x:c>
      <x:c r="N1446" s="207" t="str"/>
      <x:c r="O1446" s="207" t="str">
        <x:v>17</x:v>
      </x:c>
      <x:c r="P1446" s="207" t="n">
        <x:v>2</x:v>
      </x:c>
      <x:c r="Q1446" s="208" t="str">
        <x:v>Wave 3 (61–90 дней)</x:v>
      </x:c>
    </x:row>
    <x:row r="1447">
      <x:c r="A1447" s="206" t="str">
        <x:v>DEC-01443</x:v>
      </x:c>
      <x:c r="B1447" s="207" t="str">
        <x:v>Material master</x:v>
      </x:c>
      <x:c r="C1447" s="207" t="str">
        <x:v>MAT-DRAFT-0755</x:v>
      </x:c>
      <x:c r="D1447" s="207" t="str">
        <x:v>Unlinked</x:v>
      </x:c>
      <x:c r="E1447" s="207" t="str">
        <x:v>1 строк; 7200.00 руб.; 8-O-014</x:v>
      </x:c>
      <x:c r="F1447" s="207" t="str">
        <x:v>Подтвердить карточку, UOM, состав, цвет, поставщика и правила объединения</x:v>
      </x:c>
      <x:c r="G1447" s="207" t="str">
        <x:v>Закупки + склад</x:v>
      </x:c>
      <x:c r="H1447" s="207" t="str">
        <x:v>Средний</x:v>
      </x:c>
      <x:c r="I1447" s="207" t="str">
        <x:v>Material aging; BOM; procurement; actual usage</x:v>
      </x:c>
      <x:c r="J1447" s="207" t="str">
        <x:v>Остатки ткани 31.05.2026</x:v>
      </x:c>
      <x:c r="K1447" s="207" t="str"/>
      <x:c r="L1447" s="207" t="str"/>
      <x:c r="M1447" s="207" t="str">
        <x:v>Не рассмотрено</x:v>
      </x:c>
      <x:c r="N1447" s="207" t="str"/>
      <x:c r="O1447" s="207" t="str">
        <x:v>17</x:v>
      </x:c>
      <x:c r="P1447" s="207" t="n">
        <x:v>2</x:v>
      </x:c>
      <x:c r="Q1447" s="208" t="str">
        <x:v>Wave 3 (61–90 дней)</x:v>
      </x:c>
    </x:row>
    <x:row r="1448">
      <x:c r="A1448" s="206" t="str">
        <x:v>DEC-01444</x:v>
      </x:c>
      <x:c r="B1448" s="207" t="str">
        <x:v>Material master</x:v>
      </x:c>
      <x:c r="C1448" s="207" t="str">
        <x:v>MAT-DRAFT-0756</x:v>
      </x:c>
      <x:c r="D1448" s="207" t="str">
        <x:v>Unlinked</x:v>
      </x:c>
      <x:c r="E1448" s="207" t="str">
        <x:v>1 строк; 26900.00 руб.; 8-070</x:v>
      </x:c>
      <x:c r="F1448" s="207" t="str">
        <x:v>Подтвердить карточку, UOM, состав, цвет, поставщика и правила объединения</x:v>
      </x:c>
      <x:c r="G1448" s="207" t="str">
        <x:v>Закупки + склад</x:v>
      </x:c>
      <x:c r="H1448" s="207" t="str">
        <x:v>Высокий</x:v>
      </x:c>
      <x:c r="I1448" s="207" t="str">
        <x:v>Material aging; BOM; procurement; actual usage</x:v>
      </x:c>
      <x:c r="J1448" s="207" t="str">
        <x:v>Остатки ткани 31.05.2026</x:v>
      </x:c>
      <x:c r="K1448" s="207" t="str"/>
      <x:c r="L1448" s="207" t="str"/>
      <x:c r="M1448" s="207" t="str">
        <x:v>Не рассмотрено</x:v>
      </x:c>
      <x:c r="N1448" s="207" t="str"/>
      <x:c r="O1448" s="207" t="str">
        <x:v>17</x:v>
      </x:c>
      <x:c r="P1448" s="207" t="n">
        <x:v>3</x:v>
      </x:c>
      <x:c r="Q1448" s="208" t="str">
        <x:v>Wave 2 (31–60 дней)</x:v>
      </x:c>
    </x:row>
    <x:row r="1449">
      <x:c r="A1449" s="206" t="str">
        <x:v>DEC-01445</x:v>
      </x:c>
      <x:c r="B1449" s="207" t="str">
        <x:v>Material master</x:v>
      </x:c>
      <x:c r="C1449" s="207" t="str">
        <x:v>MAT-DRAFT-0757</x:v>
      </x:c>
      <x:c r="D1449" s="207" t="str">
        <x:v>Несколько кодов; Несколько исходных наименований</x:v>
      </x:c>
      <x:c r="E1449" s="207" t="str">
        <x:v>2 строк; 28400.00 руб.; 8-065; 8-066</x:v>
      </x:c>
      <x:c r="F1449" s="207" t="str">
        <x:v>Подтвердить карточку, UOM, состав, цвет, поставщика и правила объединения</x:v>
      </x:c>
      <x:c r="G1449" s="207" t="str">
        <x:v>Закупки + склад</x:v>
      </x:c>
      <x:c r="H1449" s="207" t="str">
        <x:v>Высокий</x:v>
      </x:c>
      <x:c r="I1449" s="207" t="str">
        <x:v>Material aging; BOM; procurement; actual usage</x:v>
      </x:c>
      <x:c r="J1449" s="207" t="str">
        <x:v>Остатки ткани 31.05.2026</x:v>
      </x:c>
      <x:c r="K1449" s="207" t="str"/>
      <x:c r="L1449" s="207" t="str"/>
      <x:c r="M1449" s="207" t="str">
        <x:v>Не рассмотрено</x:v>
      </x:c>
      <x:c r="N1449" s="207" t="str"/>
      <x:c r="O1449" s="207" t="str">
        <x:v>17</x:v>
      </x:c>
      <x:c r="P1449" s="207" t="n">
        <x:v>3</x:v>
      </x:c>
      <x:c r="Q1449" s="208" t="str">
        <x:v>Wave 2 (31–60 дней)</x:v>
      </x:c>
    </x:row>
    <x:row r="1450">
      <x:c r="A1450" s="206" t="str">
        <x:v>DEC-01446</x:v>
      </x:c>
      <x:c r="B1450" s="207" t="str">
        <x:v>Material master</x:v>
      </x:c>
      <x:c r="C1450" s="207" t="str">
        <x:v>MAT-DRAFT-0758</x:v>
      </x:c>
      <x:c r="D1450" s="207" t="str">
        <x:v>Unlinked</x:v>
      </x:c>
      <x:c r="E1450" s="207" t="str">
        <x:v>1 строк; 8800.00 руб.; 8-064</x:v>
      </x:c>
      <x:c r="F1450" s="207" t="str">
        <x:v>Подтвердить карточку, UOM, состав, цвет, поставщика и правила объединения</x:v>
      </x:c>
      <x:c r="G1450" s="207" t="str">
        <x:v>Закупки + склад</x:v>
      </x:c>
      <x:c r="H1450" s="207" t="str">
        <x:v>Средний</x:v>
      </x:c>
      <x:c r="I1450" s="207" t="str">
        <x:v>Material aging; BOM; procurement; actual usage</x:v>
      </x:c>
      <x:c r="J1450" s="207" t="str">
        <x:v>Остатки ткани 31.05.2026</x:v>
      </x:c>
      <x:c r="K1450" s="207" t="str"/>
      <x:c r="L1450" s="207" t="str"/>
      <x:c r="M1450" s="207" t="str">
        <x:v>Не рассмотрено</x:v>
      </x:c>
      <x:c r="N1450" s="207" t="str"/>
      <x:c r="O1450" s="207" t="str">
        <x:v>17</x:v>
      </x:c>
      <x:c r="P1450" s="207" t="n">
        <x:v>2</x:v>
      </x:c>
      <x:c r="Q1450" s="208" t="str">
        <x:v>Wave 3 (61–90 дней)</x:v>
      </x:c>
    </x:row>
    <x:row r="1451">
      <x:c r="A1451" s="206" t="str">
        <x:v>DEC-01447</x:v>
      </x:c>
      <x:c r="B1451" s="207" t="str">
        <x:v>Material master</x:v>
      </x:c>
      <x:c r="C1451" s="207" t="str">
        <x:v>MAT-DRAFT-0759</x:v>
      </x:c>
      <x:c r="D1451" s="207" t="str">
        <x:v>Unlinked</x:v>
      </x:c>
      <x:c r="E1451" s="207" t="str">
        <x:v>1 строк; 28200.00 руб.; 8-068</x:v>
      </x:c>
      <x:c r="F1451" s="207" t="str">
        <x:v>Подтвердить карточку, UOM, состав, цвет, поставщика и правила объединения</x:v>
      </x:c>
      <x:c r="G1451" s="207" t="str">
        <x:v>Закупки + склад</x:v>
      </x:c>
      <x:c r="H1451" s="207" t="str">
        <x:v>Высокий</x:v>
      </x:c>
      <x:c r="I1451" s="207" t="str">
        <x:v>Material aging; BOM; procurement; actual usage</x:v>
      </x:c>
      <x:c r="J1451" s="207" t="str">
        <x:v>Остатки ткани 31.05.2026</x:v>
      </x:c>
      <x:c r="K1451" s="207" t="str"/>
      <x:c r="L1451" s="207" t="str"/>
      <x:c r="M1451" s="207" t="str">
        <x:v>Не рассмотрено</x:v>
      </x:c>
      <x:c r="N1451" s="207" t="str"/>
      <x:c r="O1451" s="207" t="str">
        <x:v>17</x:v>
      </x:c>
      <x:c r="P1451" s="207" t="n">
        <x:v>3</x:v>
      </x:c>
      <x:c r="Q1451" s="208" t="str">
        <x:v>Wave 2 (31–60 дней)</x:v>
      </x:c>
    </x:row>
    <x:row r="1452">
      <x:c r="A1452" s="206" t="str">
        <x:v>DEC-01448</x:v>
      </x:c>
      <x:c r="B1452" s="207" t="str">
        <x:v>Material master</x:v>
      </x:c>
      <x:c r="C1452" s="207" t="str">
        <x:v>MAT-DRAFT-0760</x:v>
      </x:c>
      <x:c r="D1452" s="207" t="str">
        <x:v>Unlinked</x:v>
      </x:c>
      <x:c r="E1452" s="207" t="str">
        <x:v>1 строк; 23100.00 руб.; 8-069</x:v>
      </x:c>
      <x:c r="F1452" s="207" t="str">
        <x:v>Подтвердить карточку, UOM, состав, цвет, поставщика и правила объединения</x:v>
      </x:c>
      <x:c r="G1452" s="207" t="str">
        <x:v>Закупки + склад</x:v>
      </x:c>
      <x:c r="H1452" s="207" t="str">
        <x:v>Высокий</x:v>
      </x:c>
      <x:c r="I1452" s="207" t="str">
        <x:v>Material aging; BOM; procurement; actual usage</x:v>
      </x:c>
      <x:c r="J1452" s="207" t="str">
        <x:v>Остатки ткани 31.05.2026</x:v>
      </x:c>
      <x:c r="K1452" s="207" t="str"/>
      <x:c r="L1452" s="207" t="str"/>
      <x:c r="M1452" s="207" t="str">
        <x:v>Не рассмотрено</x:v>
      </x:c>
      <x:c r="N1452" s="207" t="str"/>
      <x:c r="O1452" s="207" t="str">
        <x:v>17</x:v>
      </x:c>
      <x:c r="P1452" s="207" t="n">
        <x:v>3</x:v>
      </x:c>
      <x:c r="Q1452" s="208" t="str">
        <x:v>Wave 2 (31–60 дней)</x:v>
      </x:c>
    </x:row>
    <x:row r="1453">
      <x:c r="A1453" s="206" t="str">
        <x:v>DEC-01449</x:v>
      </x:c>
      <x:c r="B1453" s="207" t="str">
        <x:v>Material master</x:v>
      </x:c>
      <x:c r="C1453" s="207" t="str">
        <x:v>MAT-DRAFT-0761</x:v>
      </x:c>
      <x:c r="D1453" s="207" t="str">
        <x:v>Unlinked</x:v>
      </x:c>
      <x:c r="E1453" s="207" t="str">
        <x:v>1 строк; 4000.00 руб.; 8-O-010</x:v>
      </x:c>
      <x:c r="F1453" s="207" t="str">
        <x:v>Подтвердить карточку, UOM, состав, цвет, поставщика и правила объединения</x:v>
      </x:c>
      <x:c r="G1453" s="207" t="str">
        <x:v>Закупки + склад</x:v>
      </x:c>
      <x:c r="H1453" s="207" t="str">
        <x:v>Средний</x:v>
      </x:c>
      <x:c r="I1453" s="207" t="str">
        <x:v>Material aging; BOM; procurement; actual usage</x:v>
      </x:c>
      <x:c r="J1453" s="207" t="str">
        <x:v>Остатки ткани 31.05.2026</x:v>
      </x:c>
      <x:c r="K1453" s="207" t="str"/>
      <x:c r="L1453" s="207" t="str"/>
      <x:c r="M1453" s="207" t="str">
        <x:v>Не рассмотрено</x:v>
      </x:c>
      <x:c r="N1453" s="207" t="str"/>
      <x:c r="O1453" s="207" t="str">
        <x:v>17</x:v>
      </x:c>
      <x:c r="P1453" s="207" t="n">
        <x:v>2</x:v>
      </x:c>
      <x:c r="Q1453" s="208" t="str">
        <x:v>Wave 3 (61–90 дней)</x:v>
      </x:c>
    </x:row>
    <x:row r="1454">
      <x:c r="A1454" s="206" t="str">
        <x:v>DEC-01450</x:v>
      </x:c>
      <x:c r="B1454" s="207" t="str">
        <x:v>Material master</x:v>
      </x:c>
      <x:c r="C1454" s="207" t="str">
        <x:v>MAT-DRAFT-0762</x:v>
      </x:c>
      <x:c r="D1454" s="207" t="str">
        <x:v>Unlinked</x:v>
      </x:c>
      <x:c r="E1454" s="207" t="str">
        <x:v>1 строк; 13600.00 руб.; 8-039</x:v>
      </x:c>
      <x:c r="F1454" s="207" t="str">
        <x:v>Подтвердить карточку, UOM, состав, цвет, поставщика и правила объединения</x:v>
      </x:c>
      <x:c r="G1454" s="207" t="str">
        <x:v>Закупки + склад</x:v>
      </x:c>
      <x:c r="H1454" s="207" t="str">
        <x:v>Высокий</x:v>
      </x:c>
      <x:c r="I1454" s="207" t="str">
        <x:v>Material aging; BOM; procurement; actual usage</x:v>
      </x:c>
      <x:c r="J1454" s="207" t="str">
        <x:v>Остатки ткани 31.05.2026</x:v>
      </x:c>
      <x:c r="K1454" s="207" t="str"/>
      <x:c r="L1454" s="207" t="str"/>
      <x:c r="M1454" s="207" t="str">
        <x:v>Не рассмотрено</x:v>
      </x:c>
      <x:c r="N1454" s="207" t="str"/>
      <x:c r="O1454" s="207" t="str">
        <x:v>17</x:v>
      </x:c>
      <x:c r="P1454" s="207" t="n">
        <x:v>3</x:v>
      </x:c>
      <x:c r="Q1454" s="208" t="str">
        <x:v>Wave 2 (31–60 дней)</x:v>
      </x:c>
    </x:row>
    <x:row r="1455">
      <x:c r="A1455" s="206" t="str">
        <x:v>DEC-01451</x:v>
      </x:c>
      <x:c r="B1455" s="207" t="str">
        <x:v>Material master</x:v>
      </x:c>
      <x:c r="C1455" s="207" t="str">
        <x:v>MAT-DRAFT-0763</x:v>
      </x:c>
      <x:c r="D1455" s="207" t="str">
        <x:v>Unlinked</x:v>
      </x:c>
      <x:c r="E1455" s="207" t="str">
        <x:v>1 строк; 24000.00 руб.; 8-011</x:v>
      </x:c>
      <x:c r="F1455" s="207" t="str">
        <x:v>Подтвердить карточку, UOM, состав, цвет, поставщика и правила объединения</x:v>
      </x:c>
      <x:c r="G1455" s="207" t="str">
        <x:v>Закупки + склад</x:v>
      </x:c>
      <x:c r="H1455" s="207" t="str">
        <x:v>Высокий</x:v>
      </x:c>
      <x:c r="I1455" s="207" t="str">
        <x:v>Material aging; BOM; procurement; actual usage</x:v>
      </x:c>
      <x:c r="J1455" s="207" t="str">
        <x:v>Остатки ткани 31.05.2026</x:v>
      </x:c>
      <x:c r="K1455" s="207" t="str"/>
      <x:c r="L1455" s="207" t="str"/>
      <x:c r="M1455" s="207" t="str">
        <x:v>Не рассмотрено</x:v>
      </x:c>
      <x:c r="N1455" s="207" t="str"/>
      <x:c r="O1455" s="207" t="str">
        <x:v>17</x:v>
      </x:c>
      <x:c r="P1455" s="207" t="n">
        <x:v>3</x:v>
      </x:c>
      <x:c r="Q1455" s="208" t="str">
        <x:v>Wave 2 (31–60 дней)</x:v>
      </x:c>
    </x:row>
    <x:row r="1456">
      <x:c r="A1456" s="206" t="str">
        <x:v>DEC-01452</x:v>
      </x:c>
      <x:c r="B1456" s="207" t="str">
        <x:v>Material master</x:v>
      </x:c>
      <x:c r="C1456" s="207" t="str">
        <x:v>MAT-DRAFT-0764</x:v>
      </x:c>
      <x:c r="D1456" s="207" t="str">
        <x:v>Unlinked</x:v>
      </x:c>
      <x:c r="E1456" s="207" t="str">
        <x:v>1 строк; 37000.00 руб.; 8-063</x:v>
      </x:c>
      <x:c r="F1456" s="207" t="str">
        <x:v>Подтвердить карточку, UOM, состав, цвет, поставщика и правила объединения</x:v>
      </x:c>
      <x:c r="G1456" s="207" t="str">
        <x:v>Закупки + склад</x:v>
      </x:c>
      <x:c r="H1456" s="207" t="str">
        <x:v>Высокий</x:v>
      </x:c>
      <x:c r="I1456" s="207" t="str">
        <x:v>Material aging; BOM; procurement; actual usage</x:v>
      </x:c>
      <x:c r="J1456" s="207" t="str">
        <x:v>Остатки ткани 31.05.2026</x:v>
      </x:c>
      <x:c r="K1456" s="207" t="str"/>
      <x:c r="L1456" s="207" t="str"/>
      <x:c r="M1456" s="207" t="str">
        <x:v>Не рассмотрено</x:v>
      </x:c>
      <x:c r="N1456" s="207" t="str"/>
      <x:c r="O1456" s="207" t="str">
        <x:v>17</x:v>
      </x:c>
      <x:c r="P1456" s="207" t="n">
        <x:v>3</x:v>
      </x:c>
      <x:c r="Q1456" s="208" t="str">
        <x:v>Wave 2 (31–60 дней)</x:v>
      </x:c>
    </x:row>
    <x:row r="1457">
      <x:c r="A1457" s="206" t="str">
        <x:v>DEC-01453</x:v>
      </x:c>
      <x:c r="B1457" s="207" t="str">
        <x:v>Material master</x:v>
      </x:c>
      <x:c r="C1457" s="207" t="str">
        <x:v>MAT-DRAFT-0765</x:v>
      </x:c>
      <x:c r="D1457" s="207" t="str">
        <x:v>Unlinked</x:v>
      </x:c>
      <x:c r="E1457" s="207" t="str">
        <x:v>1 строк; 28000.00 руб.; 8-033</x:v>
      </x:c>
      <x:c r="F1457" s="207" t="str">
        <x:v>Подтвердить карточку, UOM, состав, цвет, поставщика и правила объединения</x:v>
      </x:c>
      <x:c r="G1457" s="207" t="str">
        <x:v>Закупки + склад</x:v>
      </x:c>
      <x:c r="H1457" s="207" t="str">
        <x:v>Высокий</x:v>
      </x:c>
      <x:c r="I1457" s="207" t="str">
        <x:v>Material aging; BOM; procurement; actual usage</x:v>
      </x:c>
      <x:c r="J1457" s="207" t="str">
        <x:v>Остатки ткани 31.05.2026</x:v>
      </x:c>
      <x:c r="K1457" s="207" t="str"/>
      <x:c r="L1457" s="207" t="str"/>
      <x:c r="M1457" s="207" t="str">
        <x:v>Не рассмотрено</x:v>
      </x:c>
      <x:c r="N1457" s="207" t="str"/>
      <x:c r="O1457" s="207" t="str">
        <x:v>17</x:v>
      </x:c>
      <x:c r="P1457" s="207" t="n">
        <x:v>3</x:v>
      </x:c>
      <x:c r="Q1457" s="208" t="str">
        <x:v>Wave 2 (31–60 дней)</x:v>
      </x:c>
    </x:row>
    <x:row r="1458">
      <x:c r="A1458" s="206" t="str">
        <x:v>DEC-01454</x:v>
      </x:c>
      <x:c r="B1458" s="207" t="str">
        <x:v>Material master</x:v>
      </x:c>
      <x:c r="C1458" s="207" t="str">
        <x:v>MAT-DRAFT-0766</x:v>
      </x:c>
      <x:c r="D1458" s="207" t="str">
        <x:v>Unlinked</x:v>
      </x:c>
      <x:c r="E1458" s="207" t="str">
        <x:v>1 строк; 9600.00 руб.; 8-032</x:v>
      </x:c>
      <x:c r="F1458" s="207" t="str">
        <x:v>Подтвердить карточку, UOM, состав, цвет, поставщика и правила объединения</x:v>
      </x:c>
      <x:c r="G1458" s="207" t="str">
        <x:v>Закупки + склад</x:v>
      </x:c>
      <x:c r="H1458" s="207" t="str">
        <x:v>Средний</x:v>
      </x:c>
      <x:c r="I1458" s="207" t="str">
        <x:v>Material aging; BOM; procurement; actual usage</x:v>
      </x:c>
      <x:c r="J1458" s="207" t="str">
        <x:v>Остатки ткани 31.05.2026</x:v>
      </x:c>
      <x:c r="K1458" s="207" t="str"/>
      <x:c r="L1458" s="207" t="str"/>
      <x:c r="M1458" s="207" t="str">
        <x:v>Не рассмотрено</x:v>
      </x:c>
      <x:c r="N1458" s="207" t="str"/>
      <x:c r="O1458" s="207" t="str">
        <x:v>17</x:v>
      </x:c>
      <x:c r="P1458" s="207" t="n">
        <x:v>2</x:v>
      </x:c>
      <x:c r="Q1458" s="208" t="str">
        <x:v>Wave 3 (61–90 дней)</x:v>
      </x:c>
    </x:row>
    <x:row r="1459">
      <x:c r="A1459" s="206" t="str">
        <x:v>DEC-01455</x:v>
      </x:c>
      <x:c r="B1459" s="207" t="str">
        <x:v>Material master</x:v>
      </x:c>
      <x:c r="C1459" s="207" t="str">
        <x:v>MAT-DRAFT-0767</x:v>
      </x:c>
      <x:c r="D1459" s="207" t="str">
        <x:v>Unlinked</x:v>
      </x:c>
      <x:c r="E1459" s="207" t="str">
        <x:v>1 строк; 15200.00 руб.; 8-071</x:v>
      </x:c>
      <x:c r="F1459" s="207" t="str">
        <x:v>Подтвердить карточку, UOM, состав, цвет, поставщика и правила объединения</x:v>
      </x:c>
      <x:c r="G1459" s="207" t="str">
        <x:v>Закупки + склад</x:v>
      </x:c>
      <x:c r="H1459" s="207" t="str">
        <x:v>Высокий</x:v>
      </x:c>
      <x:c r="I1459" s="207" t="str">
        <x:v>Material aging; BOM; procurement; actual usage</x:v>
      </x:c>
      <x:c r="J1459" s="207" t="str">
        <x:v>Остатки ткани 31.05.2026</x:v>
      </x:c>
      <x:c r="K1459" s="207" t="str"/>
      <x:c r="L1459" s="207" t="str"/>
      <x:c r="M1459" s="207" t="str">
        <x:v>Не рассмотрено</x:v>
      </x:c>
      <x:c r="N1459" s="207" t="str"/>
      <x:c r="O1459" s="207" t="str">
        <x:v>17</x:v>
      </x:c>
      <x:c r="P1459" s="207" t="n">
        <x:v>3</x:v>
      </x:c>
      <x:c r="Q1459" s="208" t="str">
        <x:v>Wave 2 (31–60 дней)</x:v>
      </x:c>
    </x:row>
    <x:row r="1460">
      <x:c r="A1460" s="206" t="str">
        <x:v>DEC-01456</x:v>
      </x:c>
      <x:c r="B1460" s="207" t="str">
        <x:v>Material master</x:v>
      </x:c>
      <x:c r="C1460" s="207" t="str">
        <x:v>MAT-DRAFT-0768</x:v>
      </x:c>
      <x:c r="D1460" s="207" t="str">
        <x:v>Unlinked</x:v>
      </x:c>
      <x:c r="E1460" s="207" t="str">
        <x:v>1 строк; 9000.00 руб.; 8-043</x:v>
      </x:c>
      <x:c r="F1460" s="207" t="str">
        <x:v>Подтвердить карточку, UOM, состав, цвет, поставщика и правила объединения</x:v>
      </x:c>
      <x:c r="G1460" s="207" t="str">
        <x:v>Закупки + склад</x:v>
      </x:c>
      <x:c r="H1460" s="207" t="str">
        <x:v>Средний</x:v>
      </x:c>
      <x:c r="I1460" s="207" t="str">
        <x:v>Material aging; BOM; procurement; actual usage</x:v>
      </x:c>
      <x:c r="J1460" s="207" t="str">
        <x:v>Остатки ткани 31.05.2026</x:v>
      </x:c>
      <x:c r="K1460" s="207" t="str"/>
      <x:c r="L1460" s="207" t="str"/>
      <x:c r="M1460" s="207" t="str">
        <x:v>Не рассмотрено</x:v>
      </x:c>
      <x:c r="N1460" s="207" t="str"/>
      <x:c r="O1460" s="207" t="str">
        <x:v>17</x:v>
      </x:c>
      <x:c r="P1460" s="207" t="n">
        <x:v>2</x:v>
      </x:c>
      <x:c r="Q1460" s="208" t="str">
        <x:v>Wave 3 (61–90 дней)</x:v>
      </x:c>
    </x:row>
    <x:row r="1461">
      <x:c r="A1461" s="206" t="str">
        <x:v>DEC-01457</x:v>
      </x:c>
      <x:c r="B1461" s="207" t="str">
        <x:v>Material master</x:v>
      </x:c>
      <x:c r="C1461" s="207" t="str">
        <x:v>MAT-DRAFT-0769</x:v>
      </x:c>
      <x:c r="D1461" s="207" t="str">
        <x:v>Несколько кодов; Несколько исходных наименований</x:v>
      </x:c>
      <x:c r="E1461" s="207" t="str">
        <x:v>3 строк; 49805.00 руб.; 8-047; 8-073; 8-075</x:v>
      </x:c>
      <x:c r="F1461" s="207" t="str">
        <x:v>Подтвердить карточку, UOM, состав, цвет, поставщика и правила объединения</x:v>
      </x:c>
      <x:c r="G1461" s="207" t="str">
        <x:v>Закупки + склад</x:v>
      </x:c>
      <x:c r="H1461" s="207" t="str">
        <x:v>Высокий</x:v>
      </x:c>
      <x:c r="I1461" s="207" t="str">
        <x:v>Material aging; BOM; procurement; actual usage</x:v>
      </x:c>
      <x:c r="J1461" s="207" t="str">
        <x:v>Остатки ткани 31.05.2026</x:v>
      </x:c>
      <x:c r="K1461" s="207" t="str"/>
      <x:c r="L1461" s="207" t="str"/>
      <x:c r="M1461" s="207" t="str">
        <x:v>Не рассмотрено</x:v>
      </x:c>
      <x:c r="N1461" s="207" t="str"/>
      <x:c r="O1461" s="207" t="str">
        <x:v>17</x:v>
      </x:c>
      <x:c r="P1461" s="207" t="n">
        <x:v>3</x:v>
      </x:c>
      <x:c r="Q1461" s="208" t="str">
        <x:v>Wave 2 (31–60 дней)</x:v>
      </x:c>
    </x:row>
    <x:row r="1462">
      <x:c r="A1462" s="206" t="str">
        <x:v>DEC-01458</x:v>
      </x:c>
      <x:c r="B1462" s="207" t="str">
        <x:v>Material master</x:v>
      </x:c>
      <x:c r="C1462" s="207" t="str">
        <x:v>MAT-DRAFT-0770</x:v>
      </x:c>
      <x:c r="D1462" s="207" t="str">
        <x:v>Unlinked</x:v>
      </x:c>
      <x:c r="E1462" s="207" t="str">
        <x:v>1 строк; 3190.00 руб.; 8-O-001</x:v>
      </x:c>
      <x:c r="F1462" s="207" t="str">
        <x:v>Подтвердить карточку, UOM, состав, цвет, поставщика и правила объединения</x:v>
      </x:c>
      <x:c r="G1462" s="207" t="str">
        <x:v>Закупки + склад</x:v>
      </x:c>
      <x:c r="H1462" s="207" t="str">
        <x:v>Средний</x:v>
      </x:c>
      <x:c r="I1462" s="207" t="str">
        <x:v>Material aging; BOM; procurement; actual usage</x:v>
      </x:c>
      <x:c r="J1462" s="207" t="str">
        <x:v>Остатки ткани 31.05.2026</x:v>
      </x:c>
      <x:c r="K1462" s="207" t="str"/>
      <x:c r="L1462" s="207" t="str"/>
      <x:c r="M1462" s="207" t="str">
        <x:v>Не рассмотрено</x:v>
      </x:c>
      <x:c r="N1462" s="207" t="str"/>
      <x:c r="O1462" s="207" t="str">
        <x:v>17</x:v>
      </x:c>
      <x:c r="P1462" s="207" t="n">
        <x:v>2</x:v>
      </x:c>
      <x:c r="Q1462" s="208" t="str">
        <x:v>Wave 3 (61–90 дней)</x:v>
      </x:c>
    </x:row>
    <x:row r="1463">
      <x:c r="A1463" s="206" t="str">
        <x:v>DEC-01459</x:v>
      </x:c>
      <x:c r="B1463" s="207" t="str">
        <x:v>Material master</x:v>
      </x:c>
      <x:c r="C1463" s="207" t="str">
        <x:v>MAT-DRAFT-0771</x:v>
      </x:c>
      <x:c r="D1463" s="207" t="str">
        <x:v>Unlinked</x:v>
      </x:c>
      <x:c r="E1463" s="207" t="str">
        <x:v>1 строк; 3900.00 руб.; 8-O-015</x:v>
      </x:c>
      <x:c r="F1463" s="207" t="str">
        <x:v>Подтвердить карточку, UOM, состав, цвет, поставщика и правила объединения</x:v>
      </x:c>
      <x:c r="G1463" s="207" t="str">
        <x:v>Закупки + склад</x:v>
      </x:c>
      <x:c r="H1463" s="207" t="str">
        <x:v>Средний</x:v>
      </x:c>
      <x:c r="I1463" s="207" t="str">
        <x:v>Material aging; BOM; procurement; actual usage</x:v>
      </x:c>
      <x:c r="J1463" s="207" t="str">
        <x:v>Остатки ткани 31.05.2026</x:v>
      </x:c>
      <x:c r="K1463" s="207" t="str"/>
      <x:c r="L1463" s="207" t="str"/>
      <x:c r="M1463" s="207" t="str">
        <x:v>Не рассмотрено</x:v>
      </x:c>
      <x:c r="N1463" s="207" t="str"/>
      <x:c r="O1463" s="207" t="str">
        <x:v>17</x:v>
      </x:c>
      <x:c r="P1463" s="207" t="n">
        <x:v>2</x:v>
      </x:c>
      <x:c r="Q1463" s="208" t="str">
        <x:v>Wave 3 (61–90 дней)</x:v>
      </x:c>
    </x:row>
    <x:row r="1464">
      <x:c r="A1464" s="206" t="str">
        <x:v>DEC-01460</x:v>
      </x:c>
      <x:c r="B1464" s="207" t="str">
        <x:v>Material master</x:v>
      </x:c>
      <x:c r="C1464" s="207" t="str">
        <x:v>MAT-DRAFT-0772</x:v>
      </x:c>
      <x:c r="D1464" s="207" t="str">
        <x:v>Unlinked</x:v>
      </x:c>
      <x:c r="E1464" s="207" t="str">
        <x:v>1 строк; 6000.00 руб.; 8-O-012</x:v>
      </x:c>
      <x:c r="F1464" s="207" t="str">
        <x:v>Подтвердить карточку, UOM, состав, цвет, поставщика и правила объединения</x:v>
      </x:c>
      <x:c r="G1464" s="207" t="str">
        <x:v>Закупки + склад</x:v>
      </x:c>
      <x:c r="H1464" s="207" t="str">
        <x:v>Средний</x:v>
      </x:c>
      <x:c r="I1464" s="207" t="str">
        <x:v>Material aging; BOM; procurement; actual usage</x:v>
      </x:c>
      <x:c r="J1464" s="207" t="str">
        <x:v>Остатки ткани 31.05.2026</x:v>
      </x:c>
      <x:c r="K1464" s="207" t="str"/>
      <x:c r="L1464" s="207" t="str"/>
      <x:c r="M1464" s="207" t="str">
        <x:v>Не рассмотрено</x:v>
      </x:c>
      <x:c r="N1464" s="207" t="str"/>
      <x:c r="O1464" s="207" t="str">
        <x:v>17</x:v>
      </x:c>
      <x:c r="P1464" s="207" t="n">
        <x:v>2</x:v>
      </x:c>
      <x:c r="Q1464" s="208" t="str">
        <x:v>Wave 3 (61–90 дней)</x:v>
      </x:c>
    </x:row>
    <x:row r="1465">
      <x:c r="A1465" s="206" t="str">
        <x:v>DEC-01461</x:v>
      </x:c>
      <x:c r="B1465" s="207" t="str">
        <x:v>Material master</x:v>
      </x:c>
      <x:c r="C1465" s="207" t="str">
        <x:v>MAT-DRAFT-0773</x:v>
      </x:c>
      <x:c r="D1465" s="207" t="str">
        <x:v>Unlinked</x:v>
      </x:c>
      <x:c r="E1465" s="207" t="str">
        <x:v>1 строк; 9300.00 руб.; 8-008</x:v>
      </x:c>
      <x:c r="F1465" s="207" t="str">
        <x:v>Подтвердить карточку, UOM, состав, цвет, поставщика и правила объединения</x:v>
      </x:c>
      <x:c r="G1465" s="207" t="str">
        <x:v>Закупки + склад</x:v>
      </x:c>
      <x:c r="H1465" s="207" t="str">
        <x:v>Средний</x:v>
      </x:c>
      <x:c r="I1465" s="207" t="str">
        <x:v>Material aging; BOM; procurement; actual usage</x:v>
      </x:c>
      <x:c r="J1465" s="207" t="str">
        <x:v>Остатки ткани 31.05.2026</x:v>
      </x:c>
      <x:c r="K1465" s="207" t="str"/>
      <x:c r="L1465" s="207" t="str"/>
      <x:c r="M1465" s="207" t="str">
        <x:v>Не рассмотрено</x:v>
      </x:c>
      <x:c r="N1465" s="207" t="str"/>
      <x:c r="O1465" s="207" t="str">
        <x:v>17</x:v>
      </x:c>
      <x:c r="P1465" s="207" t="n">
        <x:v>2</x:v>
      </x:c>
      <x:c r="Q1465" s="208" t="str">
        <x:v>Wave 3 (61–90 дней)</x:v>
      </x:c>
    </x:row>
    <x:row r="1466">
      <x:c r="A1466" s="206" t="str">
        <x:v>DEC-01462</x:v>
      </x:c>
      <x:c r="B1466" s="207" t="str">
        <x:v>Material master</x:v>
      </x:c>
      <x:c r="C1466" s="207" t="str">
        <x:v>MAT-DRAFT-0774</x:v>
      </x:c>
      <x:c r="D1466" s="207" t="str">
        <x:v>Unlinked</x:v>
      </x:c>
      <x:c r="E1466" s="207" t="str">
        <x:v>1 строк; 25000.00 руб.; 8-026</x:v>
      </x:c>
      <x:c r="F1466" s="207" t="str">
        <x:v>Подтвердить карточку, UOM, состав, цвет, поставщика и правила объединения</x:v>
      </x:c>
      <x:c r="G1466" s="207" t="str">
        <x:v>Закупки + склад</x:v>
      </x:c>
      <x:c r="H1466" s="207" t="str">
        <x:v>Высокий</x:v>
      </x:c>
      <x:c r="I1466" s="207" t="str">
        <x:v>Material aging; BOM; procurement; actual usage</x:v>
      </x:c>
      <x:c r="J1466" s="207" t="str">
        <x:v>Остатки ткани 31.05.2026</x:v>
      </x:c>
      <x:c r="K1466" s="207" t="str"/>
      <x:c r="L1466" s="207" t="str"/>
      <x:c r="M1466" s="207" t="str">
        <x:v>Не рассмотрено</x:v>
      </x:c>
      <x:c r="N1466" s="207" t="str"/>
      <x:c r="O1466" s="207" t="str">
        <x:v>17</x:v>
      </x:c>
      <x:c r="P1466" s="207" t="n">
        <x:v>3</x:v>
      </x:c>
      <x:c r="Q1466" s="208" t="str">
        <x:v>Wave 2 (31–60 дней)</x:v>
      </x:c>
    </x:row>
    <x:row r="1467">
      <x:c r="A1467" s="206" t="str">
        <x:v>DEC-01463</x:v>
      </x:c>
      <x:c r="B1467" s="207" t="str">
        <x:v>Material master</x:v>
      </x:c>
      <x:c r="C1467" s="207" t="str">
        <x:v>MAT-DRAFT-0775</x:v>
      </x:c>
      <x:c r="D1467" s="207" t="str">
        <x:v>Unlinked</x:v>
      </x:c>
      <x:c r="E1467" s="207" t="str">
        <x:v>1 строк; 16200.00 руб.; 8-024</x:v>
      </x:c>
      <x:c r="F1467" s="207" t="str">
        <x:v>Подтвердить карточку, UOM, состав, цвет, поставщика и правила объединения</x:v>
      </x:c>
      <x:c r="G1467" s="207" t="str">
        <x:v>Закупки + склад</x:v>
      </x:c>
      <x:c r="H1467" s="207" t="str">
        <x:v>Высокий</x:v>
      </x:c>
      <x:c r="I1467" s="207" t="str">
        <x:v>Material aging; BOM; procurement; actual usage</x:v>
      </x:c>
      <x:c r="J1467" s="207" t="str">
        <x:v>Остатки ткани 31.05.2026</x:v>
      </x:c>
      <x:c r="K1467" s="207" t="str"/>
      <x:c r="L1467" s="207" t="str"/>
      <x:c r="M1467" s="207" t="str">
        <x:v>Не рассмотрено</x:v>
      </x:c>
      <x:c r="N1467" s="207" t="str"/>
      <x:c r="O1467" s="207" t="str">
        <x:v>17</x:v>
      </x:c>
      <x:c r="P1467" s="207" t="n">
        <x:v>3</x:v>
      </x:c>
      <x:c r="Q1467" s="208" t="str">
        <x:v>Wave 2 (31–60 дней)</x:v>
      </x:c>
    </x:row>
    <x:row r="1468">
      <x:c r="A1468" s="206" t="str">
        <x:v>DEC-01464</x:v>
      </x:c>
      <x:c r="B1468" s="207" t="str">
        <x:v>Material master</x:v>
      </x:c>
      <x:c r="C1468" s="207" t="str">
        <x:v>MAT-DRAFT-0778</x:v>
      </x:c>
      <x:c r="D1468" s="207" t="str">
        <x:v>Unlinked</x:v>
      </x:c>
      <x:c r="E1468" s="207" t="str">
        <x:v>2 строк; 127237.00 руб.; 19A-019</x:v>
      </x:c>
      <x:c r="F1468" s="207" t="str">
        <x:v>Подтвердить карточку, UOM, состав, цвет, поставщика и правила объединения</x:v>
      </x:c>
      <x:c r="G1468" s="207" t="str">
        <x:v>Закупки + склад</x:v>
      </x:c>
      <x:c r="H1468" s="207" t="str">
        <x:v>Критический</x:v>
      </x:c>
      <x:c r="I1468" s="207" t="str">
        <x:v>Material aging; BOM; procurement; actual usage</x:v>
      </x:c>
      <x:c r="J1468" s="207" t="str">
        <x:v>Остатки ткани 31.05.2026</x:v>
      </x:c>
      <x:c r="K1468" s="207" t="str"/>
      <x:c r="L1468" s="207" t="str"/>
      <x:c r="M1468" s="207" t="str">
        <x:v>Не рассмотрено</x:v>
      </x:c>
      <x:c r="N1468" s="207" t="str"/>
      <x:c r="O1468" s="207" t="str">
        <x:v>17</x:v>
      </x:c>
      <x:c r="P1468" s="207" t="n">
        <x:v>4</x:v>
      </x:c>
      <x:c r="Q1468" s="208" t="str">
        <x:v>Wave 1 (0–30 дней)</x:v>
      </x:c>
    </x:row>
    <x:row r="1469">
      <x:c r="A1469" s="206" t="str">
        <x:v>DEC-01465</x:v>
      </x:c>
      <x:c r="B1469" s="207" t="str">
        <x:v>Material master</x:v>
      </x:c>
      <x:c r="C1469" s="207" t="str">
        <x:v>MAT-DRAFT-0780</x:v>
      </x:c>
      <x:c r="D1469" s="207" t="str">
        <x:v>Unlinked</x:v>
      </x:c>
      <x:c r="E1469" s="207" t="str">
        <x:v>1 строк; 41600.00 руб.; 19-028</x:v>
      </x:c>
      <x:c r="F1469" s="207" t="str">
        <x:v>Подтвердить карточку, UOM, состав, цвет, поставщика и правила объединения</x:v>
      </x:c>
      <x:c r="G1469" s="207" t="str">
        <x:v>Закупки + склад</x:v>
      </x:c>
      <x:c r="H1469" s="207" t="str">
        <x:v>Высокий</x:v>
      </x:c>
      <x:c r="I1469" s="207" t="str">
        <x:v>Material aging; BOM; procurement; actual usage</x:v>
      </x:c>
      <x:c r="J1469" s="207" t="str">
        <x:v>Остатки ткани 31.05.2026</x:v>
      </x:c>
      <x:c r="K1469" s="207" t="str"/>
      <x:c r="L1469" s="207" t="str"/>
      <x:c r="M1469" s="207" t="str">
        <x:v>Не рассмотрено</x:v>
      </x:c>
      <x:c r="N1469" s="207" t="str"/>
      <x:c r="O1469" s="207" t="str">
        <x:v>17</x:v>
      </x:c>
      <x:c r="P1469" s="207" t="n">
        <x:v>3</x:v>
      </x:c>
      <x:c r="Q1469" s="208" t="str">
        <x:v>Wave 2 (31–60 дней)</x:v>
      </x:c>
    </x:row>
    <x:row r="1470">
      <x:c r="A1470" s="206" t="str">
        <x:v>DEC-01466</x:v>
      </x:c>
      <x:c r="B1470" s="207" t="str">
        <x:v>Material master</x:v>
      </x:c>
      <x:c r="C1470" s="207" t="str">
        <x:v>MAT-DRAFT-0782</x:v>
      </x:c>
      <x:c r="D1470" s="207" t="str">
        <x:v>Unlinked</x:v>
      </x:c>
      <x:c r="E1470" s="207" t="str">
        <x:v>2 строк; 15840.00 руб.; 18-012</x:v>
      </x:c>
      <x:c r="F1470" s="207" t="str">
        <x:v>Подтвердить карточку, UOM, состав, цвет, поставщика и правила объединения</x:v>
      </x:c>
      <x:c r="G1470" s="207" t="str">
        <x:v>Закупки + склад</x:v>
      </x:c>
      <x:c r="H1470" s="207" t="str">
        <x:v>Высокий</x:v>
      </x:c>
      <x:c r="I1470" s="207" t="str">
        <x:v>Material aging; BOM; procurement; actual usage</x:v>
      </x:c>
      <x:c r="J1470" s="207" t="str">
        <x:v>Остатки ткани 31.05.2026</x:v>
      </x:c>
      <x:c r="K1470" s="207" t="str"/>
      <x:c r="L1470" s="207" t="str"/>
      <x:c r="M1470" s="207" t="str">
        <x:v>Не рассмотрено</x:v>
      </x:c>
      <x:c r="N1470" s="207" t="str"/>
      <x:c r="O1470" s="207" t="str">
        <x:v>17</x:v>
      </x:c>
      <x:c r="P1470" s="207" t="n">
        <x:v>3</x:v>
      </x:c>
      <x:c r="Q1470" s="208" t="str">
        <x:v>Wave 2 (31–60 дней)</x:v>
      </x:c>
    </x:row>
    <x:row r="1471">
      <x:c r="A1471" s="206" t="str">
        <x:v>DEC-01467</x:v>
      </x:c>
      <x:c r="B1471" s="207" t="str">
        <x:v>Material master</x:v>
      </x:c>
      <x:c r="C1471" s="207" t="str">
        <x:v>MAT-DRAFT-0785</x:v>
      </x:c>
      <x:c r="D1471" s="207" t="str">
        <x:v>Unlinked</x:v>
      </x:c>
      <x:c r="E1471" s="207" t="str">
        <x:v>1 строк; 17500.00 руб.; 19-005</x:v>
      </x:c>
      <x:c r="F1471" s="207" t="str">
        <x:v>Подтвердить карточку, UOM, состав, цвет, поставщика и правила объединения</x:v>
      </x:c>
      <x:c r="G1471" s="207" t="str">
        <x:v>Закупки + склад</x:v>
      </x:c>
      <x:c r="H1471" s="207" t="str">
        <x:v>Высокий</x:v>
      </x:c>
      <x:c r="I1471" s="207" t="str">
        <x:v>Material aging; BOM; procurement; actual usage</x:v>
      </x:c>
      <x:c r="J1471" s="207" t="str">
        <x:v>Остатки ткани 31.05.2026</x:v>
      </x:c>
      <x:c r="K1471" s="207" t="str"/>
      <x:c r="L1471" s="207" t="str"/>
      <x:c r="M1471" s="207" t="str">
        <x:v>Не рассмотрено</x:v>
      </x:c>
      <x:c r="N1471" s="207" t="str"/>
      <x:c r="O1471" s="207" t="str">
        <x:v>17</x:v>
      </x:c>
      <x:c r="P1471" s="207" t="n">
        <x:v>3</x:v>
      </x:c>
      <x:c r="Q1471" s="208" t="str">
        <x:v>Wave 2 (31–60 дней)</x:v>
      </x:c>
    </x:row>
    <x:row r="1472">
      <x:c r="A1472" s="206" t="str">
        <x:v>DEC-01468</x:v>
      </x:c>
      <x:c r="B1472" s="207" t="str">
        <x:v>Material master</x:v>
      </x:c>
      <x:c r="C1472" s="207" t="str">
        <x:v>MAT-DRAFT-0787</x:v>
      </x:c>
      <x:c r="D1472" s="207" t="str">
        <x:v>Unlinked</x:v>
      </x:c>
      <x:c r="E1472" s="207" t="str">
        <x:v>3 строк; 73025.00 руб.; 19A-011</x:v>
      </x:c>
      <x:c r="F1472" s="207" t="str">
        <x:v>Подтвердить карточку, UOM, состав, цвет, поставщика и правила объединения</x:v>
      </x:c>
      <x:c r="G1472" s="207" t="str">
        <x:v>Закупки + склад</x:v>
      </x:c>
      <x:c r="H1472" s="207" t="str">
        <x:v>Высокий</x:v>
      </x:c>
      <x:c r="I1472" s="207" t="str">
        <x:v>Material aging; BOM; procurement; actual usage</x:v>
      </x:c>
      <x:c r="J1472" s="207" t="str">
        <x:v>Остатки ткани 31.05.2026</x:v>
      </x:c>
      <x:c r="K1472" s="207" t="str"/>
      <x:c r="L1472" s="207" t="str"/>
      <x:c r="M1472" s="207" t="str">
        <x:v>Не рассмотрено</x:v>
      </x:c>
      <x:c r="N1472" s="207" t="str"/>
      <x:c r="O1472" s="207" t="str">
        <x:v>17</x:v>
      </x:c>
      <x:c r="P1472" s="207" t="n">
        <x:v>3</x:v>
      </x:c>
      <x:c r="Q1472" s="208" t="str">
        <x:v>Wave 2 (31–60 дней)</x:v>
      </x:c>
    </x:row>
    <x:row r="1473">
      <x:c r="A1473" s="206" t="str">
        <x:v>DEC-01469</x:v>
      </x:c>
      <x:c r="B1473" s="207" t="str">
        <x:v>Material master</x:v>
      </x:c>
      <x:c r="C1473" s="207" t="str">
        <x:v>MAT-DRAFT-0788</x:v>
      </x:c>
      <x:c r="D1473" s="207" t="str">
        <x:v>Unlinked</x:v>
      </x:c>
      <x:c r="E1473" s="207" t="str">
        <x:v>1 строк; 15200.00 руб.; 19-003</x:v>
      </x:c>
      <x:c r="F1473" s="207" t="str">
        <x:v>Подтвердить карточку, UOM, состав, цвет, поставщика и правила объединения</x:v>
      </x:c>
      <x:c r="G1473" s="207" t="str">
        <x:v>Закупки + склад</x:v>
      </x:c>
      <x:c r="H1473" s="207" t="str">
        <x:v>Высокий</x:v>
      </x:c>
      <x:c r="I1473" s="207" t="str">
        <x:v>Material aging; BOM; procurement; actual usage</x:v>
      </x:c>
      <x:c r="J1473" s="207" t="str">
        <x:v>Остатки ткани 31.05.2026</x:v>
      </x:c>
      <x:c r="K1473" s="207" t="str"/>
      <x:c r="L1473" s="207" t="str"/>
      <x:c r="M1473" s="207" t="str">
        <x:v>Не рассмотрено</x:v>
      </x:c>
      <x:c r="N1473" s="207" t="str"/>
      <x:c r="O1473" s="207" t="str">
        <x:v>17</x:v>
      </x:c>
      <x:c r="P1473" s="207" t="n">
        <x:v>3</x:v>
      </x:c>
      <x:c r="Q1473" s="208" t="str">
        <x:v>Wave 2 (31–60 дней)</x:v>
      </x:c>
    </x:row>
    <x:row r="1474">
      <x:c r="A1474" s="206" t="str">
        <x:v>DEC-01470</x:v>
      </x:c>
      <x:c r="B1474" s="207" t="str">
        <x:v>Material master</x:v>
      </x:c>
      <x:c r="C1474" s="207" t="str">
        <x:v>MAT-DRAFT-0789</x:v>
      </x:c>
      <x:c r="D1474" s="207" t="str">
        <x:v>Unlinked</x:v>
      </x:c>
      <x:c r="E1474" s="207" t="str">
        <x:v>1 строк; 128017.50 руб.; 19A-012</x:v>
      </x:c>
      <x:c r="F1474" s="207" t="str">
        <x:v>Подтвердить карточку, UOM, состав, цвет, поставщика и правила объединения</x:v>
      </x:c>
      <x:c r="G1474" s="207" t="str">
        <x:v>Закупки + склад</x:v>
      </x:c>
      <x:c r="H1474" s="207" t="str">
        <x:v>Критический</x:v>
      </x:c>
      <x:c r="I1474" s="207" t="str">
        <x:v>Material aging; BOM; procurement; actual usage</x:v>
      </x:c>
      <x:c r="J1474" s="207" t="str">
        <x:v>Остатки ткани 31.05.2026</x:v>
      </x:c>
      <x:c r="K1474" s="207" t="str"/>
      <x:c r="L1474" s="207" t="str"/>
      <x:c r="M1474" s="207" t="str">
        <x:v>Не рассмотрено</x:v>
      </x:c>
      <x:c r="N1474" s="207" t="str"/>
      <x:c r="O1474" s="207" t="str">
        <x:v>17</x:v>
      </x:c>
      <x:c r="P1474" s="207" t="n">
        <x:v>4</x:v>
      </x:c>
      <x:c r="Q1474" s="208" t="str">
        <x:v>Wave 1 (0–30 дней)</x:v>
      </x:c>
    </x:row>
    <x:row r="1475">
      <x:c r="A1475" s="206" t="str">
        <x:v>DEC-01471</x:v>
      </x:c>
      <x:c r="B1475" s="207" t="str">
        <x:v>Material master</x:v>
      </x:c>
      <x:c r="C1475" s="207" t="str">
        <x:v>MAT-DRAFT-0791</x:v>
      </x:c>
      <x:c r="D1475" s="207" t="str">
        <x:v>Unlinked</x:v>
      </x:c>
      <x:c r="E1475" s="207" t="str">
        <x:v>1 строк; 32200.00 руб.; 19-007</x:v>
      </x:c>
      <x:c r="F1475" s="207" t="str">
        <x:v>Подтвердить карточку, UOM, состав, цвет, поставщика и правила объединения</x:v>
      </x:c>
      <x:c r="G1475" s="207" t="str">
        <x:v>Закупки + склад</x:v>
      </x:c>
      <x:c r="H1475" s="207" t="str">
        <x:v>Высокий</x:v>
      </x:c>
      <x:c r="I1475" s="207" t="str">
        <x:v>Material aging; BOM; procurement; actual usage</x:v>
      </x:c>
      <x:c r="J1475" s="207" t="str">
        <x:v>Остатки ткани 31.05.2026</x:v>
      </x:c>
      <x:c r="K1475" s="207" t="str"/>
      <x:c r="L1475" s="207" t="str"/>
      <x:c r="M1475" s="207" t="str">
        <x:v>Не рассмотрено</x:v>
      </x:c>
      <x:c r="N1475" s="207" t="str"/>
      <x:c r="O1475" s="207" t="str">
        <x:v>17</x:v>
      </x:c>
      <x:c r="P1475" s="207" t="n">
        <x:v>3</x:v>
      </x:c>
      <x:c r="Q1475" s="208" t="str">
        <x:v>Wave 2 (31–60 дней)</x:v>
      </x:c>
    </x:row>
    <x:row r="1476">
      <x:c r="A1476" s="206" t="str">
        <x:v>DEC-01472</x:v>
      </x:c>
      <x:c r="B1476" s="207" t="str">
        <x:v>Material master</x:v>
      </x:c>
      <x:c r="C1476" s="207" t="str">
        <x:v>MAT-DRAFT-0794</x:v>
      </x:c>
      <x:c r="D1476" s="207" t="str">
        <x:v>Unlinked</x:v>
      </x:c>
      <x:c r="E1476" s="207" t="str">
        <x:v>1 строк; 7040.00 руб.; 18-009</x:v>
      </x:c>
      <x:c r="F1476" s="207" t="str">
        <x:v>Подтвердить карточку, UOM, состав, цвет, поставщика и правила объединения</x:v>
      </x:c>
      <x:c r="G1476" s="207" t="str">
        <x:v>Закупки + склад</x:v>
      </x:c>
      <x:c r="H1476" s="207" t="str">
        <x:v>Средний</x:v>
      </x:c>
      <x:c r="I1476" s="207" t="str">
        <x:v>Material aging; BOM; procurement; actual usage</x:v>
      </x:c>
      <x:c r="J1476" s="207" t="str">
        <x:v>Остатки ткани 31.05.2026</x:v>
      </x:c>
      <x:c r="K1476" s="207" t="str"/>
      <x:c r="L1476" s="207" t="str"/>
      <x:c r="M1476" s="207" t="str">
        <x:v>Не рассмотрено</x:v>
      </x:c>
      <x:c r="N1476" s="207" t="str"/>
      <x:c r="O1476" s="207" t="str">
        <x:v>17</x:v>
      </x:c>
      <x:c r="P1476" s="207" t="n">
        <x:v>2</x:v>
      </x:c>
      <x:c r="Q1476" s="208" t="str">
        <x:v>Wave 3 (61–90 дней)</x:v>
      </x:c>
    </x:row>
    <x:row r="1477">
      <x:c r="A1477" s="206" t="str">
        <x:v>DEC-01473</x:v>
      </x:c>
      <x:c r="B1477" s="207" t="str">
        <x:v>Material master</x:v>
      </x:c>
      <x:c r="C1477" s="207" t="str">
        <x:v>MAT-DRAFT-0795</x:v>
      </x:c>
      <x:c r="D1477" s="207" t="str">
        <x:v>Unlinked</x:v>
      </x:c>
      <x:c r="E1477" s="207" t="str">
        <x:v>1 строк; 67850.00 руб.; 19A-006</x:v>
      </x:c>
      <x:c r="F1477" s="207" t="str">
        <x:v>Подтвердить карточку, UOM, состав, цвет, поставщика и правила объединения</x:v>
      </x:c>
      <x:c r="G1477" s="207" t="str">
        <x:v>Закупки + склад</x:v>
      </x:c>
      <x:c r="H1477" s="207" t="str">
        <x:v>Высокий</x:v>
      </x:c>
      <x:c r="I1477" s="207" t="str">
        <x:v>Material aging; BOM; procurement; actual usage</x:v>
      </x:c>
      <x:c r="J1477" s="207" t="str">
        <x:v>Остатки ткани 31.05.2026</x:v>
      </x:c>
      <x:c r="K1477" s="207" t="str"/>
      <x:c r="L1477" s="207" t="str"/>
      <x:c r="M1477" s="207" t="str">
        <x:v>Не рассмотрено</x:v>
      </x:c>
      <x:c r="N1477" s="207" t="str"/>
      <x:c r="O1477" s="207" t="str">
        <x:v>17</x:v>
      </x:c>
      <x:c r="P1477" s="207" t="n">
        <x:v>3</x:v>
      </x:c>
      <x:c r="Q1477" s="208" t="str">
        <x:v>Wave 2 (31–60 дней)</x:v>
      </x:c>
    </x:row>
    <x:row r="1478">
      <x:c r="A1478" s="206" t="str">
        <x:v>DEC-01474</x:v>
      </x:c>
      <x:c r="B1478" s="207" t="str">
        <x:v>Material master</x:v>
      </x:c>
      <x:c r="C1478" s="207" t="str">
        <x:v>MAT-DRAFT-0798</x:v>
      </x:c>
      <x:c r="D1478" s="207" t="str">
        <x:v>Unlinked</x:v>
      </x:c>
      <x:c r="E1478" s="207" t="str">
        <x:v>1 строк; 24288.00 руб.; 18-010</x:v>
      </x:c>
      <x:c r="F1478" s="207" t="str">
        <x:v>Подтвердить карточку, UOM, состав, цвет, поставщика и правила объединения</x:v>
      </x:c>
      <x:c r="G1478" s="207" t="str">
        <x:v>Закупки + склад</x:v>
      </x:c>
      <x:c r="H1478" s="207" t="str">
        <x:v>Высокий</x:v>
      </x:c>
      <x:c r="I1478" s="207" t="str">
        <x:v>Material aging; BOM; procurement; actual usage</x:v>
      </x:c>
      <x:c r="J1478" s="207" t="str">
        <x:v>Остатки ткани 31.05.2026</x:v>
      </x:c>
      <x:c r="K1478" s="207" t="str"/>
      <x:c r="L1478" s="207" t="str"/>
      <x:c r="M1478" s="207" t="str">
        <x:v>Не рассмотрено</x:v>
      </x:c>
      <x:c r="N1478" s="207" t="str"/>
      <x:c r="O1478" s="207" t="str">
        <x:v>17</x:v>
      </x:c>
      <x:c r="P1478" s="207" t="n">
        <x:v>3</x:v>
      </x:c>
      <x:c r="Q1478" s="208" t="str">
        <x:v>Wave 2 (31–60 дней)</x:v>
      </x:c>
    </x:row>
    <x:row r="1479">
      <x:c r="A1479" s="206" t="str">
        <x:v>DEC-01475</x:v>
      </x:c>
      <x:c r="B1479" s="207" t="str">
        <x:v>Material master</x:v>
      </x:c>
      <x:c r="C1479" s="207" t="str">
        <x:v>MAT-DRAFT-0799</x:v>
      </x:c>
      <x:c r="D1479" s="207" t="str">
        <x:v>Unlinked</x:v>
      </x:c>
      <x:c r="E1479" s="207" t="str">
        <x:v>2 строк; 69920.00 руб.; 19A-005</x:v>
      </x:c>
      <x:c r="F1479" s="207" t="str">
        <x:v>Подтвердить карточку, UOM, состав, цвет, поставщика и правила объединения</x:v>
      </x:c>
      <x:c r="G1479" s="207" t="str">
        <x:v>Закупки + склад</x:v>
      </x:c>
      <x:c r="H1479" s="207" t="str">
        <x:v>Высокий</x:v>
      </x:c>
      <x:c r="I1479" s="207" t="str">
        <x:v>Material aging; BOM; procurement; actual usage</x:v>
      </x:c>
      <x:c r="J1479" s="207" t="str">
        <x:v>Остатки ткани 31.05.2026</x:v>
      </x:c>
      <x:c r="K1479" s="207" t="str"/>
      <x:c r="L1479" s="207" t="str"/>
      <x:c r="M1479" s="207" t="str">
        <x:v>Не рассмотрено</x:v>
      </x:c>
      <x:c r="N1479" s="207" t="str"/>
      <x:c r="O1479" s="207" t="str">
        <x:v>17</x:v>
      </x:c>
      <x:c r="P1479" s="207" t="n">
        <x:v>3</x:v>
      </x:c>
      <x:c r="Q1479" s="208" t="str">
        <x:v>Wave 2 (31–60 дней)</x:v>
      </x:c>
    </x:row>
    <x:row r="1480">
      <x:c r="A1480" s="206" t="str">
        <x:v>DEC-01476</x:v>
      </x:c>
      <x:c r="B1480" s="207" t="str">
        <x:v>Material master</x:v>
      </x:c>
      <x:c r="C1480" s="207" t="str">
        <x:v>MAT-DRAFT-0800</x:v>
      </x:c>
      <x:c r="D1480" s="207" t="str">
        <x:v>Unlinked</x:v>
      </x:c>
      <x:c r="E1480" s="207" t="str">
        <x:v>1 строк; 32800.00 руб.; 19-027</x:v>
      </x:c>
      <x:c r="F1480" s="207" t="str">
        <x:v>Подтвердить карточку, UOM, состав, цвет, поставщика и правила объединения</x:v>
      </x:c>
      <x:c r="G1480" s="207" t="str">
        <x:v>Закупки + склад</x:v>
      </x:c>
      <x:c r="H1480" s="207" t="str">
        <x:v>Высокий</x:v>
      </x:c>
      <x:c r="I1480" s="207" t="str">
        <x:v>Material aging; BOM; procurement; actual usage</x:v>
      </x:c>
      <x:c r="J1480" s="207" t="str">
        <x:v>Остатки ткани 31.05.2026</x:v>
      </x:c>
      <x:c r="K1480" s="207" t="str"/>
      <x:c r="L1480" s="207" t="str"/>
      <x:c r="M1480" s="207" t="str">
        <x:v>Не рассмотрено</x:v>
      </x:c>
      <x:c r="N1480" s="207" t="str"/>
      <x:c r="O1480" s="207" t="str">
        <x:v>17</x:v>
      </x:c>
      <x:c r="P1480" s="207" t="n">
        <x:v>3</x:v>
      </x:c>
      <x:c r="Q1480" s="208" t="str">
        <x:v>Wave 2 (31–60 дней)</x:v>
      </x:c>
    </x:row>
    <x:row r="1481">
      <x:c r="A1481" s="206" t="str">
        <x:v>DEC-01477</x:v>
      </x:c>
      <x:c r="B1481" s="207" t="str">
        <x:v>Material master</x:v>
      </x:c>
      <x:c r="C1481" s="207" t="str">
        <x:v>MAT-DRAFT-0801</x:v>
      </x:c>
      <x:c r="D1481" s="207" t="str">
        <x:v>Unlinked</x:v>
      </x:c>
      <x:c r="E1481" s="207" t="str">
        <x:v>1 строк; 8000.00 руб.; 19-009</x:v>
      </x:c>
      <x:c r="F1481" s="207" t="str">
        <x:v>Подтвердить карточку, UOM, состав, цвет, поставщика и правила объединения</x:v>
      </x:c>
      <x:c r="G1481" s="207" t="str">
        <x:v>Закупки + склад</x:v>
      </x:c>
      <x:c r="H1481" s="207" t="str">
        <x:v>Средний</x:v>
      </x:c>
      <x:c r="I1481" s="207" t="str">
        <x:v>Material aging; BOM; procurement; actual usage</x:v>
      </x:c>
      <x:c r="J1481" s="207" t="str">
        <x:v>Остатки ткани 31.05.2026</x:v>
      </x:c>
      <x:c r="K1481" s="207" t="str"/>
      <x:c r="L1481" s="207" t="str"/>
      <x:c r="M1481" s="207" t="str">
        <x:v>Не рассмотрено</x:v>
      </x:c>
      <x:c r="N1481" s="207" t="str"/>
      <x:c r="O1481" s="207" t="str">
        <x:v>17</x:v>
      </x:c>
      <x:c r="P1481" s="207" t="n">
        <x:v>2</x:v>
      </x:c>
      <x:c r="Q1481" s="208" t="str">
        <x:v>Wave 3 (61–90 дней)</x:v>
      </x:c>
    </x:row>
    <x:row r="1482">
      <x:c r="A1482" s="206" t="str">
        <x:v>DEC-01478</x:v>
      </x:c>
      <x:c r="B1482" s="207" t="str">
        <x:v>Material master</x:v>
      </x:c>
      <x:c r="C1482" s="207" t="str">
        <x:v>MAT-DRAFT-0803</x:v>
      </x:c>
      <x:c r="D1482" s="207" t="str">
        <x:v>Несколько кодов; Несколько исходных наименований</x:v>
      </x:c>
      <x:c r="E1482" s="207" t="str">
        <x:v>3 строк; 56700.00 руб.; 18-006; 18-008</x:v>
      </x:c>
      <x:c r="F1482" s="207" t="str">
        <x:v>Подтвердить карточку, UOM, состав, цвет, поставщика и правила объединения</x:v>
      </x:c>
      <x:c r="G1482" s="207" t="str">
        <x:v>Закупки + склад</x:v>
      </x:c>
      <x:c r="H1482" s="207" t="str">
        <x:v>Высокий</x:v>
      </x:c>
      <x:c r="I1482" s="207" t="str">
        <x:v>Material aging; BOM; procurement; actual usage</x:v>
      </x:c>
      <x:c r="J1482" s="207" t="str">
        <x:v>Остатки ткани 31.05.2026</x:v>
      </x:c>
      <x:c r="K1482" s="207" t="str"/>
      <x:c r="L1482" s="207" t="str"/>
      <x:c r="M1482" s="207" t="str">
        <x:v>Не рассмотрено</x:v>
      </x:c>
      <x:c r="N1482" s="207" t="str"/>
      <x:c r="O1482" s="207" t="str">
        <x:v>17</x:v>
      </x:c>
      <x:c r="P1482" s="207" t="n">
        <x:v>3</x:v>
      </x:c>
      <x:c r="Q1482" s="208" t="str">
        <x:v>Wave 2 (31–60 дней)</x:v>
      </x:c>
    </x:row>
    <x:row r="1483">
      <x:c r="A1483" s="206" t="str">
        <x:v>DEC-01479</x:v>
      </x:c>
      <x:c r="B1483" s="207" t="str">
        <x:v>Material master</x:v>
      </x:c>
      <x:c r="C1483" s="207" t="str">
        <x:v>MAT-DRAFT-0804</x:v>
      </x:c>
      <x:c r="D1483" s="207" t="str">
        <x:v>Unlinked</x:v>
      </x:c>
      <x:c r="E1483" s="207" t="str">
        <x:v>1 строк; 9000.00 руб.; 19-025</x:v>
      </x:c>
      <x:c r="F1483" s="207" t="str">
        <x:v>Подтвердить карточку, UOM, состав, цвет, поставщика и правила объединения</x:v>
      </x:c>
      <x:c r="G1483" s="207" t="str">
        <x:v>Закупки + склад</x:v>
      </x:c>
      <x:c r="H1483" s="207" t="str">
        <x:v>Средний</x:v>
      </x:c>
      <x:c r="I1483" s="207" t="str">
        <x:v>Material aging; BOM; procurement; actual usage</x:v>
      </x:c>
      <x:c r="J1483" s="207" t="str">
        <x:v>Остатки ткани 31.05.2026</x:v>
      </x:c>
      <x:c r="K1483" s="207" t="str"/>
      <x:c r="L1483" s="207" t="str"/>
      <x:c r="M1483" s="207" t="str">
        <x:v>Не рассмотрено</x:v>
      </x:c>
      <x:c r="N1483" s="207" t="str"/>
      <x:c r="O1483" s="207" t="str">
        <x:v>17</x:v>
      </x:c>
      <x:c r="P1483" s="207" t="n">
        <x:v>2</x:v>
      </x:c>
      <x:c r="Q1483" s="208" t="str">
        <x:v>Wave 3 (61–90 дней)</x:v>
      </x:c>
    </x:row>
    <x:row r="1484">
      <x:c r="A1484" s="206" t="str">
        <x:v>DEC-01480</x:v>
      </x:c>
      <x:c r="B1484" s="207" t="str">
        <x:v>Material master</x:v>
      </x:c>
      <x:c r="C1484" s="207" t="str">
        <x:v>MAT-DRAFT-0805</x:v>
      </x:c>
      <x:c r="D1484" s="207" t="str">
        <x:v>Unlinked</x:v>
      </x:c>
      <x:c r="E1484" s="207" t="str">
        <x:v>2 строк; 77050.00 руб.; 19A-004</x:v>
      </x:c>
      <x:c r="F1484" s="207" t="str">
        <x:v>Подтвердить карточку, UOM, состав, цвет, поставщика и правила объединения</x:v>
      </x:c>
      <x:c r="G1484" s="207" t="str">
        <x:v>Закупки + склад</x:v>
      </x:c>
      <x:c r="H1484" s="207" t="str">
        <x:v>Высокий</x:v>
      </x:c>
      <x:c r="I1484" s="207" t="str">
        <x:v>Material aging; BOM; procurement; actual usage</x:v>
      </x:c>
      <x:c r="J1484" s="207" t="str">
        <x:v>Остатки ткани 31.05.2026</x:v>
      </x:c>
      <x:c r="K1484" s="207" t="str"/>
      <x:c r="L1484" s="207" t="str"/>
      <x:c r="M1484" s="207" t="str">
        <x:v>Не рассмотрено</x:v>
      </x:c>
      <x:c r="N1484" s="207" t="str"/>
      <x:c r="O1484" s="207" t="str">
        <x:v>17</x:v>
      </x:c>
      <x:c r="P1484" s="207" t="n">
        <x:v>3</x:v>
      </x:c>
      <x:c r="Q1484" s="208" t="str">
        <x:v>Wave 2 (31–60 дней)</x:v>
      </x:c>
    </x:row>
    <x:row r="1485">
      <x:c r="A1485" s="206" t="str">
        <x:v>DEC-01481</x:v>
      </x:c>
      <x:c r="B1485" s="207" t="str">
        <x:v>Material master</x:v>
      </x:c>
      <x:c r="C1485" s="207" t="str">
        <x:v>MAT-DRAFT-0807</x:v>
      </x:c>
      <x:c r="D1485" s="207" t="str">
        <x:v>Unlinked</x:v>
      </x:c>
      <x:c r="E1485" s="207" t="str">
        <x:v>1 строк; 75504.00 руб.; 18-011</x:v>
      </x:c>
      <x:c r="F1485" s="207" t="str">
        <x:v>Подтвердить карточку, UOM, состав, цвет, поставщика и правила объединения</x:v>
      </x:c>
      <x:c r="G1485" s="207" t="str">
        <x:v>Закупки + склад</x:v>
      </x:c>
      <x:c r="H1485" s="207" t="str">
        <x:v>Высокий</x:v>
      </x:c>
      <x:c r="I1485" s="207" t="str">
        <x:v>Material aging; BOM; procurement; actual usage</x:v>
      </x:c>
      <x:c r="J1485" s="207" t="str">
        <x:v>Остатки ткани 31.05.2026</x:v>
      </x:c>
      <x:c r="K1485" s="207" t="str"/>
      <x:c r="L1485" s="207" t="str"/>
      <x:c r="M1485" s="207" t="str">
        <x:v>Не рассмотрено</x:v>
      </x:c>
      <x:c r="N1485" s="207" t="str"/>
      <x:c r="O1485" s="207" t="str">
        <x:v>17</x:v>
      </x:c>
      <x:c r="P1485" s="207" t="n">
        <x:v>3</x:v>
      </x:c>
      <x:c r="Q1485" s="208" t="str">
        <x:v>Wave 2 (31–60 дней)</x:v>
      </x:c>
    </x:row>
    <x:row r="1486">
      <x:c r="A1486" s="206" t="str">
        <x:v>DEC-01482</x:v>
      </x:c>
      <x:c r="B1486" s="207" t="str">
        <x:v>Material master</x:v>
      </x:c>
      <x:c r="C1486" s="207" t="str">
        <x:v>MAT-DRAFT-0809</x:v>
      </x:c>
      <x:c r="D1486" s="207" t="str">
        <x:v>Нет кода</x:v>
      </x:c>
      <x:c r="E1486" s="207" t="str">
        <x:v>2 строк; 8432.58 руб.; </x:v>
      </x:c>
      <x:c r="F1486" s="207" t="str">
        <x:v>Подтвердить карточку, UOM, состав, цвет, поставщика и правила объединения</x:v>
      </x:c>
      <x:c r="G1486" s="207" t="str">
        <x:v>Закупки + склад</x:v>
      </x:c>
      <x:c r="H1486" s="207" t="str">
        <x:v>Средний</x:v>
      </x:c>
      <x:c r="I1486" s="207" t="str">
        <x:v>Material aging; BOM; procurement; actual usage</x:v>
      </x:c>
      <x:c r="J1486" s="207" t="str">
        <x:v>Остатки ткани 31.05.2026</x:v>
      </x:c>
      <x:c r="K1486" s="207" t="str"/>
      <x:c r="L1486" s="207" t="str"/>
      <x:c r="M1486" s="207" t="str">
        <x:v>Не рассмотрено</x:v>
      </x:c>
      <x:c r="N1486" s="207" t="str"/>
      <x:c r="O1486" s="207" t="str">
        <x:v>17</x:v>
      </x:c>
      <x:c r="P1486" s="207" t="n">
        <x:v>2</x:v>
      </x:c>
      <x:c r="Q1486" s="208" t="str">
        <x:v>Wave 3 (61–90 дней)</x:v>
      </x:c>
    </x:row>
    <x:row r="1487">
      <x:c r="A1487" s="206" t="str">
        <x:v>DEC-01483</x:v>
      </x:c>
      <x:c r="B1487" s="207" t="str">
        <x:v>Material master</x:v>
      </x:c>
      <x:c r="C1487" s="207" t="str">
        <x:v>MAT-DRAFT-0810</x:v>
      </x:c>
      <x:c r="D1487" s="207" t="str">
        <x:v>Нет кода</x:v>
      </x:c>
      <x:c r="E1487" s="207" t="str">
        <x:v>1 строк; 23400.00 руб.; </x:v>
      </x:c>
      <x:c r="F1487" s="207" t="str">
        <x:v>Подтвердить карточку, UOM, состав, цвет, поставщика и правила объединения</x:v>
      </x:c>
      <x:c r="G1487" s="207" t="str">
        <x:v>Закупки + склад</x:v>
      </x:c>
      <x:c r="H1487" s="207" t="str">
        <x:v>Высокий</x:v>
      </x:c>
      <x:c r="I1487" s="207" t="str">
        <x:v>Material aging; BOM; procurement; actual usage</x:v>
      </x:c>
      <x:c r="J1487" s="207" t="str">
        <x:v>Остатки ткани 31.05.2026</x:v>
      </x:c>
      <x:c r="K1487" s="207" t="str"/>
      <x:c r="L1487" s="207" t="str"/>
      <x:c r="M1487" s="207" t="str">
        <x:v>Не рассмотрено</x:v>
      </x:c>
      <x:c r="N1487" s="207" t="str"/>
      <x:c r="O1487" s="207" t="str">
        <x:v>17</x:v>
      </x:c>
      <x:c r="P1487" s="207" t="n">
        <x:v>3</x:v>
      </x:c>
      <x:c r="Q1487" s="208" t="str">
        <x:v>Wave 2 (31–60 дней)</x:v>
      </x:c>
    </x:row>
    <x:row r="1488">
      <x:c r="A1488" s="206" t="str">
        <x:v>DEC-01484</x:v>
      </x:c>
      <x:c r="B1488" s="207" t="str">
        <x:v>Material master</x:v>
      </x:c>
      <x:c r="C1488" s="207" t="str">
        <x:v>MAT-DRAFT-0811</x:v>
      </x:c>
      <x:c r="D1488" s="207" t="str">
        <x:v>Нет кода</x:v>
      </x:c>
      <x:c r="E1488" s="207" t="str">
        <x:v>1 строк; 1900.00 руб.; </x:v>
      </x:c>
      <x:c r="F1488" s="207" t="str">
        <x:v>Подтвердить карточку, UOM, состав, цвет, поставщика и правила объединения</x:v>
      </x:c>
      <x:c r="G1488" s="207" t="str">
        <x:v>Закупки + склад</x:v>
      </x:c>
      <x:c r="H1488" s="207" t="str">
        <x:v>Средний</x:v>
      </x:c>
      <x:c r="I1488" s="207" t="str">
        <x:v>Material aging; BOM; procurement; actual usage</x:v>
      </x:c>
      <x:c r="J1488" s="207" t="str">
        <x:v>Остатки ткани 31.05.2026</x:v>
      </x:c>
      <x:c r="K1488" s="207" t="str"/>
      <x:c r="L1488" s="207" t="str"/>
      <x:c r="M1488" s="207" t="str">
        <x:v>Не рассмотрено</x:v>
      </x:c>
      <x:c r="N1488" s="207" t="str"/>
      <x:c r="O1488" s="207" t="str">
        <x:v>17</x:v>
      </x:c>
      <x:c r="P1488" s="207" t="n">
        <x:v>2</x:v>
      </x:c>
      <x:c r="Q1488" s="208" t="str">
        <x:v>Wave 3 (61–90 дней)</x:v>
      </x:c>
    </x:row>
    <x:row r="1489">
      <x:c r="A1489" s="206" t="str">
        <x:v>DEC-01485</x:v>
      </x:c>
      <x:c r="B1489" s="207" t="str">
        <x:v>Material master</x:v>
      </x:c>
      <x:c r="C1489" s="207" t="str">
        <x:v>MAT-DRAFT-0812</x:v>
      </x:c>
      <x:c r="D1489" s="207" t="str">
        <x:v>Нет кода</x:v>
      </x:c>
      <x:c r="E1489" s="207" t="str">
        <x:v>1 строк; 3040.00 руб.; </x:v>
      </x:c>
      <x:c r="F1489" s="207" t="str">
        <x:v>Подтвердить карточку, UOM, состав, цвет, поставщика и правила объединения</x:v>
      </x:c>
      <x:c r="G1489" s="207" t="str">
        <x:v>Закупки + склад</x:v>
      </x:c>
      <x:c r="H1489" s="207" t="str">
        <x:v>Средний</x:v>
      </x:c>
      <x:c r="I1489" s="207" t="str">
        <x:v>Material aging; BOM; procurement; actual usage</x:v>
      </x:c>
      <x:c r="J1489" s="207" t="str">
        <x:v>Остатки ткани 31.05.2026</x:v>
      </x:c>
      <x:c r="K1489" s="207" t="str"/>
      <x:c r="L1489" s="207" t="str"/>
      <x:c r="M1489" s="207" t="str">
        <x:v>Не рассмотрено</x:v>
      </x:c>
      <x:c r="N1489" s="207" t="str"/>
      <x:c r="O1489" s="207" t="str">
        <x:v>17</x:v>
      </x:c>
      <x:c r="P1489" s="207" t="n">
        <x:v>2</x:v>
      </x:c>
      <x:c r="Q1489" s="208" t="str">
        <x:v>Wave 3 (61–90 дней)</x:v>
      </x:c>
    </x:row>
    <x:row r="1490">
      <x:c r="A1490" s="206" t="str">
        <x:v>DEC-01486</x:v>
      </x:c>
      <x:c r="B1490" s="207" t="str">
        <x:v>Material master</x:v>
      </x:c>
      <x:c r="C1490" s="207" t="str">
        <x:v>MAT-DRAFT-0813</x:v>
      </x:c>
      <x:c r="D1490" s="207" t="str">
        <x:v>Нет кода</x:v>
      </x:c>
      <x:c r="E1490" s="207" t="str">
        <x:v>1 строк; 2204.00 руб.; </x:v>
      </x:c>
      <x:c r="F1490" s="207" t="str">
        <x:v>Подтвердить карточку, UOM, состав, цвет, поставщика и правила объединения</x:v>
      </x:c>
      <x:c r="G1490" s="207" t="str">
        <x:v>Закупки + склад</x:v>
      </x:c>
      <x:c r="H1490" s="207" t="str">
        <x:v>Средний</x:v>
      </x:c>
      <x:c r="I1490" s="207" t="str">
        <x:v>Material aging; BOM; procurement; actual usage</x:v>
      </x:c>
      <x:c r="J1490" s="207" t="str">
        <x:v>Остатки ткани 31.05.2026</x:v>
      </x:c>
      <x:c r="K1490" s="207" t="str"/>
      <x:c r="L1490" s="207" t="str"/>
      <x:c r="M1490" s="207" t="str">
        <x:v>Не рассмотрено</x:v>
      </x:c>
      <x:c r="N1490" s="207" t="str"/>
      <x:c r="O1490" s="207" t="str">
        <x:v>17</x:v>
      </x:c>
      <x:c r="P1490" s="207" t="n">
        <x:v>2</x:v>
      </x:c>
      <x:c r="Q1490" s="208" t="str">
        <x:v>Wave 3 (61–90 дней)</x:v>
      </x:c>
    </x:row>
    <x:row r="1491">
      <x:c r="A1491" s="206" t="str">
        <x:v>DEC-01487</x:v>
      </x:c>
      <x:c r="B1491" s="207" t="str">
        <x:v>Material master</x:v>
      </x:c>
      <x:c r="C1491" s="207" t="str">
        <x:v>MAT-DRAFT-0814</x:v>
      </x:c>
      <x:c r="D1491" s="207" t="str">
        <x:v>Нет кода</x:v>
      </x:c>
      <x:c r="E1491" s="207" t="str">
        <x:v>1 строк; 9272.00 руб.; </x:v>
      </x:c>
      <x:c r="F1491" s="207" t="str">
        <x:v>Подтвердить карточку, UOM, состав, цвет, поставщика и правила объединения</x:v>
      </x:c>
      <x:c r="G1491" s="207" t="str">
        <x:v>Закупки + склад</x:v>
      </x:c>
      <x:c r="H1491" s="207" t="str">
        <x:v>Средний</x:v>
      </x:c>
      <x:c r="I1491" s="207" t="str">
        <x:v>Material aging; BOM; procurement; actual usage</x:v>
      </x:c>
      <x:c r="J1491" s="207" t="str">
        <x:v>Остатки ткани 31.05.2026</x:v>
      </x:c>
      <x:c r="K1491" s="207" t="str"/>
      <x:c r="L1491" s="207" t="str"/>
      <x:c r="M1491" s="207" t="str">
        <x:v>Не рассмотрено</x:v>
      </x:c>
      <x:c r="N1491" s="207" t="str"/>
      <x:c r="O1491" s="207" t="str">
        <x:v>17</x:v>
      </x:c>
      <x:c r="P1491" s="207" t="n">
        <x:v>2</x:v>
      </x:c>
      <x:c r="Q1491" s="208" t="str">
        <x:v>Wave 3 (61–90 дней)</x:v>
      </x:c>
    </x:row>
    <x:row r="1492">
      <x:c r="A1492" s="206" t="str">
        <x:v>DEC-01488</x:v>
      </x:c>
      <x:c r="B1492" s="207" t="str">
        <x:v>Material master</x:v>
      </x:c>
      <x:c r="C1492" s="207" t="str">
        <x:v>MAT-DRAFT-0815</x:v>
      </x:c>
      <x:c r="D1492" s="207" t="str">
        <x:v>Нет кода</x:v>
      </x:c>
      <x:c r="E1492" s="207" t="str">
        <x:v>1 строк; 25000.00 руб.; </x:v>
      </x:c>
      <x:c r="F1492" s="207" t="str">
        <x:v>Подтвердить карточку, UOM, состав, цвет, поставщика и правила объединения</x:v>
      </x:c>
      <x:c r="G1492" s="207" t="str">
        <x:v>Закупки + склад</x:v>
      </x:c>
      <x:c r="H1492" s="207" t="str">
        <x:v>Высокий</x:v>
      </x:c>
      <x:c r="I1492" s="207" t="str">
        <x:v>Material aging; BOM; procurement; actual usage</x:v>
      </x:c>
      <x:c r="J1492" s="207" t="str">
        <x:v>Остатки ткани 31.05.2026</x:v>
      </x:c>
      <x:c r="K1492" s="207" t="str"/>
      <x:c r="L1492" s="207" t="str"/>
      <x:c r="M1492" s="207" t="str">
        <x:v>Не рассмотрено</x:v>
      </x:c>
      <x:c r="N1492" s="207" t="str"/>
      <x:c r="O1492" s="207" t="str">
        <x:v>17</x:v>
      </x:c>
      <x:c r="P1492" s="207" t="n">
        <x:v>3</x:v>
      </x:c>
      <x:c r="Q1492" s="208" t="str">
        <x:v>Wave 2 (31–60 дней)</x:v>
      </x:c>
    </x:row>
    <x:row r="1493">
      <x:c r="A1493" s="206" t="str">
        <x:v>DEC-01489</x:v>
      </x:c>
      <x:c r="B1493" s="207" t="str">
        <x:v>Material master</x:v>
      </x:c>
      <x:c r="C1493" s="207" t="str">
        <x:v>MAT-DRAFT-0816</x:v>
      </x:c>
      <x:c r="D1493" s="207" t="str">
        <x:v>Unlinked</x:v>
      </x:c>
      <x:c r="E1493" s="207" t="str">
        <x:v>1 строк; 22050.00 руб.; 18-030</x:v>
      </x:c>
      <x:c r="F1493" s="207" t="str">
        <x:v>Подтвердить карточку, UOM, состав, цвет, поставщика и правила объединения</x:v>
      </x:c>
      <x:c r="G1493" s="207" t="str">
        <x:v>Закупки + склад</x:v>
      </x:c>
      <x:c r="H1493" s="207" t="str">
        <x:v>Высокий</x:v>
      </x:c>
      <x:c r="I1493" s="207" t="str">
        <x:v>Material aging; BOM; procurement; actual usage</x:v>
      </x:c>
      <x:c r="J1493" s="207" t="str">
        <x:v>Остатки ткани 31.05.2026</x:v>
      </x:c>
      <x:c r="K1493" s="207" t="str"/>
      <x:c r="L1493" s="207" t="str"/>
      <x:c r="M1493" s="207" t="str">
        <x:v>Не рассмотрено</x:v>
      </x:c>
      <x:c r="N1493" s="207" t="str"/>
      <x:c r="O1493" s="207" t="str">
        <x:v>17</x:v>
      </x:c>
      <x:c r="P1493" s="207" t="n">
        <x:v>3</x:v>
      </x:c>
      <x:c r="Q1493" s="208" t="str">
        <x:v>Wave 2 (31–60 дней)</x:v>
      </x:c>
    </x:row>
    <x:row r="1494">
      <x:c r="A1494" s="206" t="str">
        <x:v>DEC-01490</x:v>
      </x:c>
      <x:c r="B1494" s="207" t="str">
        <x:v>Material master</x:v>
      </x:c>
      <x:c r="C1494" s="207" t="str">
        <x:v>MAT-DRAFT-0817</x:v>
      </x:c>
      <x:c r="D1494" s="207" t="str">
        <x:v>Unlinked</x:v>
      </x:c>
      <x:c r="E1494" s="207" t="str">
        <x:v>1 строк; 16000.00 руб.; 19-020</x:v>
      </x:c>
      <x:c r="F1494" s="207" t="str">
        <x:v>Подтвердить карточку, UOM, состав, цвет, поставщика и правила объединения</x:v>
      </x:c>
      <x:c r="G1494" s="207" t="str">
        <x:v>Закупки + склад</x:v>
      </x:c>
      <x:c r="H1494" s="207" t="str">
        <x:v>Высокий</x:v>
      </x:c>
      <x:c r="I1494" s="207" t="str">
        <x:v>Material aging; BOM; procurement; actual usage</x:v>
      </x:c>
      <x:c r="J1494" s="207" t="str">
        <x:v>Остатки ткани 31.05.2026</x:v>
      </x:c>
      <x:c r="K1494" s="207" t="str"/>
      <x:c r="L1494" s="207" t="str"/>
      <x:c r="M1494" s="207" t="str">
        <x:v>Не рассмотрено</x:v>
      </x:c>
      <x:c r="N1494" s="207" t="str"/>
      <x:c r="O1494" s="207" t="str">
        <x:v>17</x:v>
      </x:c>
      <x:c r="P1494" s="207" t="n">
        <x:v>3</x:v>
      </x:c>
      <x:c r="Q1494" s="208" t="str">
        <x:v>Wave 2 (31–60 дней)</x:v>
      </x:c>
    </x:row>
    <x:row r="1495">
      <x:c r="A1495" s="206" t="str">
        <x:v>DEC-01491</x:v>
      </x:c>
      <x:c r="B1495" s="207" t="str">
        <x:v>Material master</x:v>
      </x:c>
      <x:c r="C1495" s="207" t="str">
        <x:v>MAT-DRAFT-0818</x:v>
      </x:c>
      <x:c r="D1495" s="207" t="str">
        <x:v>Unlinked</x:v>
      </x:c>
      <x:c r="E1495" s="207" t="str">
        <x:v>2 строк; 116010.00 руб.; 18-036</x:v>
      </x:c>
      <x:c r="F1495" s="207" t="str">
        <x:v>Подтвердить карточку, UOM, состав, цвет, поставщика и правила объединения</x:v>
      </x:c>
      <x:c r="G1495" s="207" t="str">
        <x:v>Закупки + склад</x:v>
      </x:c>
      <x:c r="H1495" s="207" t="str">
        <x:v>Критический</x:v>
      </x:c>
      <x:c r="I1495" s="207" t="str">
        <x:v>Material aging; BOM; procurement; actual usage</x:v>
      </x:c>
      <x:c r="J1495" s="207" t="str">
        <x:v>Остатки ткани 31.05.2026</x:v>
      </x:c>
      <x:c r="K1495" s="207" t="str"/>
      <x:c r="L1495" s="207" t="str"/>
      <x:c r="M1495" s="207" t="str">
        <x:v>Не рассмотрено</x:v>
      </x:c>
      <x:c r="N1495" s="207" t="str"/>
      <x:c r="O1495" s="207" t="str">
        <x:v>17</x:v>
      </x:c>
      <x:c r="P1495" s="207" t="n">
        <x:v>4</x:v>
      </x:c>
      <x:c r="Q1495" s="208" t="str">
        <x:v>Wave 1 (0–30 дней)</x:v>
      </x:c>
    </x:row>
    <x:row r="1496">
      <x:c r="A1496" s="206" t="str">
        <x:v>DEC-01492</x:v>
      </x:c>
      <x:c r="B1496" s="207" t="str">
        <x:v>Material master</x:v>
      </x:c>
      <x:c r="C1496" s="207" t="str">
        <x:v>MAT-DRAFT-0819</x:v>
      </x:c>
      <x:c r="D1496" s="207" t="str">
        <x:v>Unlinked</x:v>
      </x:c>
      <x:c r="E1496" s="207" t="str">
        <x:v>2 строк; 51520.00 руб.; 19A-008</x:v>
      </x:c>
      <x:c r="F1496" s="207" t="str">
        <x:v>Подтвердить карточку, UOM, состав, цвет, поставщика и правила объединения</x:v>
      </x:c>
      <x:c r="G1496" s="207" t="str">
        <x:v>Закупки + склад</x:v>
      </x:c>
      <x:c r="H1496" s="207" t="str">
        <x:v>Высокий</x:v>
      </x:c>
      <x:c r="I1496" s="207" t="str">
        <x:v>Material aging; BOM; procurement; actual usage</x:v>
      </x:c>
      <x:c r="J1496" s="207" t="str">
        <x:v>Остатки ткани 31.05.2026</x:v>
      </x:c>
      <x:c r="K1496" s="207" t="str"/>
      <x:c r="L1496" s="207" t="str"/>
      <x:c r="M1496" s="207" t="str">
        <x:v>Не рассмотрено</x:v>
      </x:c>
      <x:c r="N1496" s="207" t="str"/>
      <x:c r="O1496" s="207" t="str">
        <x:v>17</x:v>
      </x:c>
      <x:c r="P1496" s="207" t="n">
        <x:v>3</x:v>
      </x:c>
      <x:c r="Q1496" s="208" t="str">
        <x:v>Wave 2 (31–60 дней)</x:v>
      </x:c>
    </x:row>
    <x:row r="1497">
      <x:c r="A1497" s="206" t="str">
        <x:v>DEC-01493</x:v>
      </x:c>
      <x:c r="B1497" s="207" t="str">
        <x:v>Material master</x:v>
      </x:c>
      <x:c r="C1497" s="207" t="str">
        <x:v>MAT-DRAFT-0820</x:v>
      </x:c>
      <x:c r="D1497" s="207" t="str">
        <x:v>Нет кода</x:v>
      </x:c>
      <x:c r="E1497" s="207" t="str">
        <x:v>2 строк; 8827.50 руб.; </x:v>
      </x:c>
      <x:c r="F1497" s="207" t="str">
        <x:v>Подтвердить карточку, UOM, состав, цвет, поставщика и правила объединения</x:v>
      </x:c>
      <x:c r="G1497" s="207" t="str">
        <x:v>Закупки + склад</x:v>
      </x:c>
      <x:c r="H1497" s="207" t="str">
        <x:v>Средний</x:v>
      </x:c>
      <x:c r="I1497" s="207" t="str">
        <x:v>Material aging; BOM; procurement; actual usage</x:v>
      </x:c>
      <x:c r="J1497" s="207" t="str">
        <x:v>Остатки ткани 31.05.2026</x:v>
      </x:c>
      <x:c r="K1497" s="207" t="str"/>
      <x:c r="L1497" s="207" t="str"/>
      <x:c r="M1497" s="207" t="str">
        <x:v>Не рассмотрено</x:v>
      </x:c>
      <x:c r="N1497" s="207" t="str"/>
      <x:c r="O1497" s="207" t="str">
        <x:v>17</x:v>
      </x:c>
      <x:c r="P1497" s="207" t="n">
        <x:v>2</x:v>
      </x:c>
      <x:c r="Q1497" s="208" t="str">
        <x:v>Wave 3 (61–90 дней)</x:v>
      </x:c>
    </x:row>
    <x:row r="1498">
      <x:c r="A1498" s="206" t="str">
        <x:v>DEC-01494</x:v>
      </x:c>
      <x:c r="B1498" s="207" t="str">
        <x:v>Material master</x:v>
      </x:c>
      <x:c r="C1498" s="207" t="str">
        <x:v>MAT-DRAFT-0821</x:v>
      </x:c>
      <x:c r="D1498" s="207" t="str">
        <x:v>Unlinked</x:v>
      </x:c>
      <x:c r="E1498" s="207" t="str">
        <x:v>1 строк; 34255.00 руб.; 18-049</x:v>
      </x:c>
      <x:c r="F1498" s="207" t="str">
        <x:v>Подтвердить карточку, UOM, состав, цвет, поставщика и правила объединения</x:v>
      </x:c>
      <x:c r="G1498" s="207" t="str">
        <x:v>Закупки + склад</x:v>
      </x:c>
      <x:c r="H1498" s="207" t="str">
        <x:v>Высокий</x:v>
      </x:c>
      <x:c r="I1498" s="207" t="str">
        <x:v>Material aging; BOM; procurement; actual usage</x:v>
      </x:c>
      <x:c r="J1498" s="207" t="str">
        <x:v>Остатки ткани 31.05.2026</x:v>
      </x:c>
      <x:c r="K1498" s="207" t="str"/>
      <x:c r="L1498" s="207" t="str"/>
      <x:c r="M1498" s="207" t="str">
        <x:v>Не рассмотрено</x:v>
      </x:c>
      <x:c r="N1498" s="207" t="str"/>
      <x:c r="O1498" s="207" t="str">
        <x:v>17</x:v>
      </x:c>
      <x:c r="P1498" s="207" t="n">
        <x:v>3</x:v>
      </x:c>
      <x:c r="Q1498" s="208" t="str">
        <x:v>Wave 2 (31–60 дней)</x:v>
      </x:c>
    </x:row>
    <x:row r="1499">
      <x:c r="A1499" s="206" t="str">
        <x:v>DEC-01495</x:v>
      </x:c>
      <x:c r="B1499" s="207" t="str">
        <x:v>Material master</x:v>
      </x:c>
      <x:c r="C1499" s="207" t="str">
        <x:v>MAT-DRAFT-0822</x:v>
      </x:c>
      <x:c r="D1499" s="207" t="str">
        <x:v>Unlinked</x:v>
      </x:c>
      <x:c r="E1499" s="207" t="str">
        <x:v>1 строк; 17600.00 руб.; 18-014</x:v>
      </x:c>
      <x:c r="F1499" s="207" t="str">
        <x:v>Подтвердить карточку, UOM, состав, цвет, поставщика и правила объединения</x:v>
      </x:c>
      <x:c r="G1499" s="207" t="str">
        <x:v>Закупки + склад</x:v>
      </x:c>
      <x:c r="H1499" s="207" t="str">
        <x:v>Высокий</x:v>
      </x:c>
      <x:c r="I1499" s="207" t="str">
        <x:v>Material aging; BOM; procurement; actual usage</x:v>
      </x:c>
      <x:c r="J1499" s="207" t="str">
        <x:v>Остатки ткани 31.05.2026</x:v>
      </x:c>
      <x:c r="K1499" s="207" t="str"/>
      <x:c r="L1499" s="207" t="str"/>
      <x:c r="M1499" s="207" t="str">
        <x:v>Не рассмотрено</x:v>
      </x:c>
      <x:c r="N1499" s="207" t="str"/>
      <x:c r="O1499" s="207" t="str">
        <x:v>17</x:v>
      </x:c>
      <x:c r="P1499" s="207" t="n">
        <x:v>3</x:v>
      </x:c>
      <x:c r="Q1499" s="208" t="str">
        <x:v>Wave 2 (31–60 дней)</x:v>
      </x:c>
    </x:row>
    <x:row r="1500">
      <x:c r="A1500" s="206" t="str">
        <x:v>DEC-01496</x:v>
      </x:c>
      <x:c r="B1500" s="207" t="str">
        <x:v>Material master</x:v>
      </x:c>
      <x:c r="C1500" s="207" t="str">
        <x:v>MAT-DRAFT-0824</x:v>
      </x:c>
      <x:c r="D1500" s="207" t="str">
        <x:v>Unlinked</x:v>
      </x:c>
      <x:c r="E1500" s="207" t="str">
        <x:v>1 строк; 31460.00 руб.; 18-023</x:v>
      </x:c>
      <x:c r="F1500" s="207" t="str">
        <x:v>Подтвердить карточку, UOM, состав, цвет, поставщика и правила объединения</x:v>
      </x:c>
      <x:c r="G1500" s="207" t="str">
        <x:v>Закупки + склад</x:v>
      </x:c>
      <x:c r="H1500" s="207" t="str">
        <x:v>Высокий</x:v>
      </x:c>
      <x:c r="I1500" s="207" t="str">
        <x:v>Material aging; BOM; procurement; actual usage</x:v>
      </x:c>
      <x:c r="J1500" s="207" t="str">
        <x:v>Остатки ткани 31.05.2026</x:v>
      </x:c>
      <x:c r="K1500" s="207" t="str"/>
      <x:c r="L1500" s="207" t="str"/>
      <x:c r="M1500" s="207" t="str">
        <x:v>Не рассмотрено</x:v>
      </x:c>
      <x:c r="N1500" s="207" t="str"/>
      <x:c r="O1500" s="207" t="str">
        <x:v>17</x:v>
      </x:c>
      <x:c r="P1500" s="207" t="n">
        <x:v>3</x:v>
      </x:c>
      <x:c r="Q1500" s="208" t="str">
        <x:v>Wave 2 (31–60 дней)</x:v>
      </x:c>
    </x:row>
    <x:row r="1501">
      <x:c r="A1501" s="206" t="str">
        <x:v>DEC-01497</x:v>
      </x:c>
      <x:c r="B1501" s="207" t="str">
        <x:v>Material master</x:v>
      </x:c>
      <x:c r="C1501" s="207" t="str">
        <x:v>MAT-DRAFT-0825</x:v>
      </x:c>
      <x:c r="D1501" s="207" t="str">
        <x:v>Unlinked</x:v>
      </x:c>
      <x:c r="E1501" s="207" t="str">
        <x:v>2 строк; 54270.00 руб.; 18-025</x:v>
      </x:c>
      <x:c r="F1501" s="207" t="str">
        <x:v>Подтвердить карточку, UOM, состав, цвет, поставщика и правила объединения</x:v>
      </x:c>
      <x:c r="G1501" s="207" t="str">
        <x:v>Закупки + склад</x:v>
      </x:c>
      <x:c r="H1501" s="207" t="str">
        <x:v>Высокий</x:v>
      </x:c>
      <x:c r="I1501" s="207" t="str">
        <x:v>Material aging; BOM; procurement; actual usage</x:v>
      </x:c>
      <x:c r="J1501" s="207" t="str">
        <x:v>Остатки ткани 31.05.2026</x:v>
      </x:c>
      <x:c r="K1501" s="207" t="str"/>
      <x:c r="L1501" s="207" t="str"/>
      <x:c r="M1501" s="207" t="str">
        <x:v>Не рассмотрено</x:v>
      </x:c>
      <x:c r="N1501" s="207" t="str"/>
      <x:c r="O1501" s="207" t="str">
        <x:v>17</x:v>
      </x:c>
      <x:c r="P1501" s="207" t="n">
        <x:v>3</x:v>
      </x:c>
      <x:c r="Q1501" s="208" t="str">
        <x:v>Wave 2 (31–60 дней)</x:v>
      </x:c>
    </x:row>
    <x:row r="1502">
      <x:c r="A1502" s="206" t="str">
        <x:v>DEC-01498</x:v>
      </x:c>
      <x:c r="B1502" s="207" t="str">
        <x:v>Material master</x:v>
      </x:c>
      <x:c r="C1502" s="207" t="str">
        <x:v>MAT-DRAFT-0826</x:v>
      </x:c>
      <x:c r="D1502" s="207" t="str">
        <x:v>Unlinked</x:v>
      </x:c>
      <x:c r="E1502" s="207" t="str">
        <x:v>1 строк; 33930.00 руб.; 18-029</x:v>
      </x:c>
      <x:c r="F1502" s="207" t="str">
        <x:v>Подтвердить карточку, UOM, состав, цвет, поставщика и правила объединения</x:v>
      </x:c>
      <x:c r="G1502" s="207" t="str">
        <x:v>Закупки + склад</x:v>
      </x:c>
      <x:c r="H1502" s="207" t="str">
        <x:v>Высокий</x:v>
      </x:c>
      <x:c r="I1502" s="207" t="str">
        <x:v>Material aging; BOM; procurement; actual usage</x:v>
      </x:c>
      <x:c r="J1502" s="207" t="str">
        <x:v>Остатки ткани 31.05.2026</x:v>
      </x:c>
      <x:c r="K1502" s="207" t="str"/>
      <x:c r="L1502" s="207" t="str"/>
      <x:c r="M1502" s="207" t="str">
        <x:v>Не рассмотрено</x:v>
      </x:c>
      <x:c r="N1502" s="207" t="str"/>
      <x:c r="O1502" s="207" t="str">
        <x:v>17</x:v>
      </x:c>
      <x:c r="P1502" s="207" t="n">
        <x:v>3</x:v>
      </x:c>
      <x:c r="Q1502" s="208" t="str">
        <x:v>Wave 2 (31–60 дней)</x:v>
      </x:c>
    </x:row>
    <x:row r="1503">
      <x:c r="A1503" s="206" t="str">
        <x:v>DEC-01499</x:v>
      </x:c>
      <x:c r="B1503" s="207" t="str">
        <x:v>Material master</x:v>
      </x:c>
      <x:c r="C1503" s="207" t="str">
        <x:v>MAT-DRAFT-0827</x:v>
      </x:c>
      <x:c r="D1503" s="207" t="str">
        <x:v>Unlinked</x:v>
      </x:c>
      <x:c r="E1503" s="207" t="str">
        <x:v>1 строк; 28875.00 руб.; 18-043</x:v>
      </x:c>
      <x:c r="F1503" s="207" t="str">
        <x:v>Подтвердить карточку, UOM, состав, цвет, поставщика и правила объединения</x:v>
      </x:c>
      <x:c r="G1503" s="207" t="str">
        <x:v>Закупки + склад</x:v>
      </x:c>
      <x:c r="H1503" s="207" t="str">
        <x:v>Высокий</x:v>
      </x:c>
      <x:c r="I1503" s="207" t="str">
        <x:v>Material aging; BOM; procurement; actual usage</x:v>
      </x:c>
      <x:c r="J1503" s="207" t="str">
        <x:v>Остатки ткани 31.05.2026</x:v>
      </x:c>
      <x:c r="K1503" s="207" t="str"/>
      <x:c r="L1503" s="207" t="str"/>
      <x:c r="M1503" s="207" t="str">
        <x:v>Не рассмотрено</x:v>
      </x:c>
      <x:c r="N1503" s="207" t="str"/>
      <x:c r="O1503" s="207" t="str">
        <x:v>17</x:v>
      </x:c>
      <x:c r="P1503" s="207" t="n">
        <x:v>3</x:v>
      </x:c>
      <x:c r="Q1503" s="208" t="str">
        <x:v>Wave 2 (31–60 дней)</x:v>
      </x:c>
    </x:row>
    <x:row r="1504">
      <x:c r="A1504" s="206" t="str">
        <x:v>DEC-01500</x:v>
      </x:c>
      <x:c r="B1504" s="207" t="str">
        <x:v>Material master</x:v>
      </x:c>
      <x:c r="C1504" s="207" t="str">
        <x:v>MAT-DRAFT-0828</x:v>
      </x:c>
      <x:c r="D1504" s="207" t="str">
        <x:v>Unlinked</x:v>
      </x:c>
      <x:c r="E1504" s="207" t="str">
        <x:v>1 строк; 38000.00 руб.; 19-024</x:v>
      </x:c>
      <x:c r="F1504" s="207" t="str">
        <x:v>Подтвердить карточку, UOM, состав, цвет, поставщика и правила объединения</x:v>
      </x:c>
      <x:c r="G1504" s="207" t="str">
        <x:v>Закупки + склад</x:v>
      </x:c>
      <x:c r="H1504" s="207" t="str">
        <x:v>Высокий</x:v>
      </x:c>
      <x:c r="I1504" s="207" t="str">
        <x:v>Material aging; BOM; procurement; actual usage</x:v>
      </x:c>
      <x:c r="J1504" s="207" t="str">
        <x:v>Остатки ткани 31.05.2026</x:v>
      </x:c>
      <x:c r="K1504" s="207" t="str"/>
      <x:c r="L1504" s="207" t="str"/>
      <x:c r="M1504" s="207" t="str">
        <x:v>Не рассмотрено</x:v>
      </x:c>
      <x:c r="N1504" s="207" t="str"/>
      <x:c r="O1504" s="207" t="str">
        <x:v>17</x:v>
      </x:c>
      <x:c r="P1504" s="207" t="n">
        <x:v>3</x:v>
      </x:c>
      <x:c r="Q1504" s="208" t="str">
        <x:v>Wave 2 (31–60 дней)</x:v>
      </x:c>
    </x:row>
    <x:row r="1505">
      <x:c r="A1505" s="206" t="str">
        <x:v>DEC-01501</x:v>
      </x:c>
      <x:c r="B1505" s="207" t="str">
        <x:v>Material master</x:v>
      </x:c>
      <x:c r="C1505" s="207" t="str">
        <x:v>MAT-DRAFT-0830</x:v>
      </x:c>
      <x:c r="D1505" s="207" t="str">
        <x:v>Unlinked</x:v>
      </x:c>
      <x:c r="E1505" s="207" t="str">
        <x:v>1 строк; 11500.00 руб.; 19-019</x:v>
      </x:c>
      <x:c r="F1505" s="207" t="str">
        <x:v>Подтвердить карточку, UOM, состав, цвет, поставщика и правила объединения</x:v>
      </x:c>
      <x:c r="G1505" s="207" t="str">
        <x:v>Закупки + склад</x:v>
      </x:c>
      <x:c r="H1505" s="207" t="str">
        <x:v>Высокий</x:v>
      </x:c>
      <x:c r="I1505" s="207" t="str">
        <x:v>Material aging; BOM; procurement; actual usage</x:v>
      </x:c>
      <x:c r="J1505" s="207" t="str">
        <x:v>Остатки ткани 31.05.2026</x:v>
      </x:c>
      <x:c r="K1505" s="207" t="str"/>
      <x:c r="L1505" s="207" t="str"/>
      <x:c r="M1505" s="207" t="str">
        <x:v>Не рассмотрено</x:v>
      </x:c>
      <x:c r="N1505" s="207" t="str"/>
      <x:c r="O1505" s="207" t="str">
        <x:v>17</x:v>
      </x:c>
      <x:c r="P1505" s="207" t="n">
        <x:v>3</x:v>
      </x:c>
      <x:c r="Q1505" s="208" t="str">
        <x:v>Wave 2 (31–60 дней)</x:v>
      </x:c>
    </x:row>
    <x:row r="1506">
      <x:c r="A1506" s="206" t="str">
        <x:v>DEC-01502</x:v>
      </x:c>
      <x:c r="B1506" s="207" t="str">
        <x:v>Material master</x:v>
      </x:c>
      <x:c r="C1506" s="207" t="str">
        <x:v>MAT-DRAFT-0831</x:v>
      </x:c>
      <x:c r="D1506" s="207" t="str">
        <x:v>Несколько кодов; Несколько исходных наименований</x:v>
      </x:c>
      <x:c r="E1506" s="207" t="str">
        <x:v>3 строк; 83304.00 руб.; 18-032; 18-042; 18-051</x:v>
      </x:c>
      <x:c r="F1506" s="207" t="str">
        <x:v>Подтвердить карточку, UOM, состав, цвет, поставщика и правила объединения</x:v>
      </x:c>
      <x:c r="G1506" s="207" t="str">
        <x:v>Закупки + склад</x:v>
      </x:c>
      <x:c r="H1506" s="207" t="str">
        <x:v>Высокий</x:v>
      </x:c>
      <x:c r="I1506" s="207" t="str">
        <x:v>Material aging; BOM; procurement; actual usage</x:v>
      </x:c>
      <x:c r="J1506" s="207" t="str">
        <x:v>Остатки ткани 31.05.2026</x:v>
      </x:c>
      <x:c r="K1506" s="207" t="str"/>
      <x:c r="L1506" s="207" t="str"/>
      <x:c r="M1506" s="207" t="str">
        <x:v>Не рассмотрено</x:v>
      </x:c>
      <x:c r="N1506" s="207" t="str"/>
      <x:c r="O1506" s="207" t="str">
        <x:v>17</x:v>
      </x:c>
      <x:c r="P1506" s="207" t="n">
        <x:v>3</x:v>
      </x:c>
      <x:c r="Q1506" s="208" t="str">
        <x:v>Wave 2 (31–60 дней)</x:v>
      </x:c>
    </x:row>
    <x:row r="1507">
      <x:c r="A1507" s="206" t="str">
        <x:v>DEC-01503</x:v>
      </x:c>
      <x:c r="B1507" s="207" t="str">
        <x:v>Material master</x:v>
      </x:c>
      <x:c r="C1507" s="207" t="str">
        <x:v>MAT-DRAFT-0832</x:v>
      </x:c>
      <x:c r="D1507" s="207" t="str">
        <x:v>Несколько кодов; Несколько исходных наименований</x:v>
      </x:c>
      <x:c r="E1507" s="207" t="str">
        <x:v>2 строк; 36464.00 руб.; 18-037; 18-041</x:v>
      </x:c>
      <x:c r="F1507" s="207" t="str">
        <x:v>Подтвердить карточку, UOM, состав, цвет, поставщика и правила объединения</x:v>
      </x:c>
      <x:c r="G1507" s="207" t="str">
        <x:v>Закупки + склад</x:v>
      </x:c>
      <x:c r="H1507" s="207" t="str">
        <x:v>Высокий</x:v>
      </x:c>
      <x:c r="I1507" s="207" t="str">
        <x:v>Material aging; BOM; procurement; actual usage</x:v>
      </x:c>
      <x:c r="J1507" s="207" t="str">
        <x:v>Остатки ткани 31.05.2026</x:v>
      </x:c>
      <x:c r="K1507" s="207" t="str"/>
      <x:c r="L1507" s="207" t="str"/>
      <x:c r="M1507" s="207" t="str">
        <x:v>Не рассмотрено</x:v>
      </x:c>
      <x:c r="N1507" s="207" t="str"/>
      <x:c r="O1507" s="207" t="str">
        <x:v>17</x:v>
      </x:c>
      <x:c r="P1507" s="207" t="n">
        <x:v>3</x:v>
      </x:c>
      <x:c r="Q1507" s="208" t="str">
        <x:v>Wave 2 (31–60 дней)</x:v>
      </x:c>
    </x:row>
    <x:row r="1508">
      <x:c r="A1508" s="206" t="str">
        <x:v>DEC-01504</x:v>
      </x:c>
      <x:c r="B1508" s="207" t="str">
        <x:v>Material master</x:v>
      </x:c>
      <x:c r="C1508" s="207" t="str">
        <x:v>MAT-DRAFT-0835</x:v>
      </x:c>
      <x:c r="D1508" s="207" t="str">
        <x:v>Unlinked</x:v>
      </x:c>
      <x:c r="E1508" s="207" t="str">
        <x:v>1 строк; 11700.00 руб.; 18-005</x:v>
      </x:c>
      <x:c r="F1508" s="207" t="str">
        <x:v>Подтвердить карточку, UOM, состав, цвет, поставщика и правила объединения</x:v>
      </x:c>
      <x:c r="G1508" s="207" t="str">
        <x:v>Закупки + склад</x:v>
      </x:c>
      <x:c r="H1508" s="207" t="str">
        <x:v>Высокий</x:v>
      </x:c>
      <x:c r="I1508" s="207" t="str">
        <x:v>Material aging; BOM; procurement; actual usage</x:v>
      </x:c>
      <x:c r="J1508" s="207" t="str">
        <x:v>Остатки ткани 31.05.2026</x:v>
      </x:c>
      <x:c r="K1508" s="207" t="str"/>
      <x:c r="L1508" s="207" t="str"/>
      <x:c r="M1508" s="207" t="str">
        <x:v>Не рассмотрено</x:v>
      </x:c>
      <x:c r="N1508" s="207" t="str"/>
      <x:c r="O1508" s="207" t="str">
        <x:v>17</x:v>
      </x:c>
      <x:c r="P1508" s="207" t="n">
        <x:v>3</x:v>
      </x:c>
      <x:c r="Q1508" s="208" t="str">
        <x:v>Wave 2 (31–60 дней)</x:v>
      </x:c>
    </x:row>
    <x:row r="1509">
      <x:c r="A1509" s="206" t="str">
        <x:v>DEC-01505</x:v>
      </x:c>
      <x:c r="B1509" s="207" t="str">
        <x:v>Material master</x:v>
      </x:c>
      <x:c r="C1509" s="207" t="str">
        <x:v>MAT-DRAFT-0836</x:v>
      </x:c>
      <x:c r="D1509" s="207" t="str">
        <x:v>Unlinked</x:v>
      </x:c>
      <x:c r="E1509" s="207" t="str">
        <x:v>1 строк; 13650.00 руб.; 18-007</x:v>
      </x:c>
      <x:c r="F1509" s="207" t="str">
        <x:v>Подтвердить карточку, UOM, состав, цвет, поставщика и правила объединения</x:v>
      </x:c>
      <x:c r="G1509" s="207" t="str">
        <x:v>Закупки + склад</x:v>
      </x:c>
      <x:c r="H1509" s="207" t="str">
        <x:v>Высокий</x:v>
      </x:c>
      <x:c r="I1509" s="207" t="str">
        <x:v>Material aging; BOM; procurement; actual usage</x:v>
      </x:c>
      <x:c r="J1509" s="207" t="str">
        <x:v>Остатки ткани 31.05.2026</x:v>
      </x:c>
      <x:c r="K1509" s="207" t="str"/>
      <x:c r="L1509" s="207" t="str"/>
      <x:c r="M1509" s="207" t="str">
        <x:v>Не рассмотрено</x:v>
      </x:c>
      <x:c r="N1509" s="207" t="str"/>
      <x:c r="O1509" s="207" t="str">
        <x:v>17</x:v>
      </x:c>
      <x:c r="P1509" s="207" t="n">
        <x:v>3</x:v>
      </x:c>
      <x:c r="Q1509" s="208" t="str">
        <x:v>Wave 2 (31–60 дней)</x:v>
      </x:c>
    </x:row>
    <x:row r="1510">
      <x:c r="A1510" s="206" t="str">
        <x:v>DEC-01506</x:v>
      </x:c>
      <x:c r="B1510" s="207" t="str">
        <x:v>Material master</x:v>
      </x:c>
      <x:c r="C1510" s="207" t="str">
        <x:v>MAT-DRAFT-0839</x:v>
      </x:c>
      <x:c r="D1510" s="207" t="str">
        <x:v>Unlinked</x:v>
      </x:c>
      <x:c r="E1510" s="207" t="str">
        <x:v>1 строк; 20000.00 руб.; 19-013</x:v>
      </x:c>
      <x:c r="F1510" s="207" t="str">
        <x:v>Подтвердить карточку, UOM, состав, цвет, поставщика и правила объединения</x:v>
      </x:c>
      <x:c r="G1510" s="207" t="str">
        <x:v>Закупки + склад</x:v>
      </x:c>
      <x:c r="H1510" s="207" t="str">
        <x:v>Высокий</x:v>
      </x:c>
      <x:c r="I1510" s="207" t="str">
        <x:v>Material aging; BOM; procurement; actual usage</x:v>
      </x:c>
      <x:c r="J1510" s="207" t="str">
        <x:v>Остатки ткани 31.05.2026</x:v>
      </x:c>
      <x:c r="K1510" s="207" t="str"/>
      <x:c r="L1510" s="207" t="str"/>
      <x:c r="M1510" s="207" t="str">
        <x:v>Не рассмотрено</x:v>
      </x:c>
      <x:c r="N1510" s="207" t="str"/>
      <x:c r="O1510" s="207" t="str">
        <x:v>17</x:v>
      </x:c>
      <x:c r="P1510" s="207" t="n">
        <x:v>3</x:v>
      </x:c>
      <x:c r="Q1510" s="208" t="str">
        <x:v>Wave 2 (31–60 дней)</x:v>
      </x:c>
    </x:row>
    <x:row r="1511">
      <x:c r="A1511" s="206" t="str">
        <x:v>DEC-01507</x:v>
      </x:c>
      <x:c r="B1511" s="207" t="str">
        <x:v>Material master</x:v>
      </x:c>
      <x:c r="C1511" s="207" t="str">
        <x:v>MAT-DRAFT-0841</x:v>
      </x:c>
      <x:c r="D1511" s="207" t="str">
        <x:v>Unlinked</x:v>
      </x:c>
      <x:c r="E1511" s="207" t="str">
        <x:v>1 строк; 13000.00 руб.; 19-006</x:v>
      </x:c>
      <x:c r="F1511" s="207" t="str">
        <x:v>Подтвердить карточку, UOM, состав, цвет, поставщика и правила объединения</x:v>
      </x:c>
      <x:c r="G1511" s="207" t="str">
        <x:v>Закупки + склад</x:v>
      </x:c>
      <x:c r="H1511" s="207" t="str">
        <x:v>Высокий</x:v>
      </x:c>
      <x:c r="I1511" s="207" t="str">
        <x:v>Material aging; BOM; procurement; actual usage</x:v>
      </x:c>
      <x:c r="J1511" s="207" t="str">
        <x:v>Остатки ткани 31.05.2026</x:v>
      </x:c>
      <x:c r="K1511" s="207" t="str"/>
      <x:c r="L1511" s="207" t="str"/>
      <x:c r="M1511" s="207" t="str">
        <x:v>Не рассмотрено</x:v>
      </x:c>
      <x:c r="N1511" s="207" t="str"/>
      <x:c r="O1511" s="207" t="str">
        <x:v>17</x:v>
      </x:c>
      <x:c r="P1511" s="207" t="n">
        <x:v>3</x:v>
      </x:c>
      <x:c r="Q1511" s="208" t="str">
        <x:v>Wave 2 (31–60 дней)</x:v>
      </x:c>
    </x:row>
    <x:row r="1512">
      <x:c r="A1512" s="206" t="str">
        <x:v>DEC-01508</x:v>
      </x:c>
      <x:c r="B1512" s="207" t="str">
        <x:v>Material master</x:v>
      </x:c>
      <x:c r="C1512" s="207" t="str">
        <x:v>MAT-DRAFT-0842</x:v>
      </x:c>
      <x:c r="D1512" s="207" t="str">
        <x:v>Unlinked</x:v>
      </x:c>
      <x:c r="E1512" s="207" t="str">
        <x:v>1 строк; 21472.00 руб.; 18-040</x:v>
      </x:c>
      <x:c r="F1512" s="207" t="str">
        <x:v>Подтвердить карточку, UOM, состав, цвет, поставщика и правила объединения</x:v>
      </x:c>
      <x:c r="G1512" s="207" t="str">
        <x:v>Закупки + склад</x:v>
      </x:c>
      <x:c r="H1512" s="207" t="str">
        <x:v>Высокий</x:v>
      </x:c>
      <x:c r="I1512" s="207" t="str">
        <x:v>Material aging; BOM; procurement; actual usage</x:v>
      </x:c>
      <x:c r="J1512" s="207" t="str">
        <x:v>Остатки ткани 31.05.2026</x:v>
      </x:c>
      <x:c r="K1512" s="207" t="str"/>
      <x:c r="L1512" s="207" t="str"/>
      <x:c r="M1512" s="207" t="str">
        <x:v>Не рассмотрено</x:v>
      </x:c>
      <x:c r="N1512" s="207" t="str"/>
      <x:c r="O1512" s="207" t="str">
        <x:v>17</x:v>
      </x:c>
      <x:c r="P1512" s="207" t="n">
        <x:v>3</x:v>
      </x:c>
      <x:c r="Q1512" s="208" t="str">
        <x:v>Wave 2 (31–60 дней)</x:v>
      </x:c>
    </x:row>
    <x:row r="1513">
      <x:c r="A1513" s="206" t="str">
        <x:v>DEC-01509</x:v>
      </x:c>
      <x:c r="B1513" s="207" t="str">
        <x:v>Material master</x:v>
      </x:c>
      <x:c r="C1513" s="207" t="str">
        <x:v>MAT-DRAFT-0843</x:v>
      </x:c>
      <x:c r="D1513" s="207" t="str">
        <x:v>Unlinked</x:v>
      </x:c>
      <x:c r="E1513" s="207" t="str">
        <x:v>1 строк; 11200.00 руб.; 19-029</x:v>
      </x:c>
      <x:c r="F1513" s="207" t="str">
        <x:v>Подтвердить карточку, UOM, состав, цвет, поставщика и правила объединения</x:v>
      </x:c>
      <x:c r="G1513" s="207" t="str">
        <x:v>Закупки + склад</x:v>
      </x:c>
      <x:c r="H1513" s="207" t="str">
        <x:v>Высокий</x:v>
      </x:c>
      <x:c r="I1513" s="207" t="str">
        <x:v>Material aging; BOM; procurement; actual usage</x:v>
      </x:c>
      <x:c r="J1513" s="207" t="str">
        <x:v>Остатки ткани 31.05.2026</x:v>
      </x:c>
      <x:c r="K1513" s="207" t="str"/>
      <x:c r="L1513" s="207" t="str"/>
      <x:c r="M1513" s="207" t="str">
        <x:v>Не рассмотрено</x:v>
      </x:c>
      <x:c r="N1513" s="207" t="str"/>
      <x:c r="O1513" s="207" t="str">
        <x:v>17</x:v>
      </x:c>
      <x:c r="P1513" s="207" t="n">
        <x:v>3</x:v>
      </x:c>
      <x:c r="Q1513" s="208" t="str">
        <x:v>Wave 2 (31–60 дней)</x:v>
      </x:c>
    </x:row>
    <x:row r="1514">
      <x:c r="A1514" s="206" t="str">
        <x:v>DEC-01510</x:v>
      </x:c>
      <x:c r="B1514" s="207" t="str">
        <x:v>Material master</x:v>
      </x:c>
      <x:c r="C1514" s="207" t="str">
        <x:v>MAT-DRAFT-0844</x:v>
      </x:c>
      <x:c r="D1514" s="207" t="str">
        <x:v>Unlinked</x:v>
      </x:c>
      <x:c r="E1514" s="207" t="str">
        <x:v>2 строк; 92690.00 руб.; 19A-014</x:v>
      </x:c>
      <x:c r="F1514" s="207" t="str">
        <x:v>Подтвердить карточку, UOM, состав, цвет, поставщика и правила объединения</x:v>
      </x:c>
      <x:c r="G1514" s="207" t="str">
        <x:v>Закупки + склад</x:v>
      </x:c>
      <x:c r="H1514" s="207" t="str">
        <x:v>Высокий</x:v>
      </x:c>
      <x:c r="I1514" s="207" t="str">
        <x:v>Material aging; BOM; procurement; actual usage</x:v>
      </x:c>
      <x:c r="J1514" s="207" t="str">
        <x:v>Остатки ткани 31.05.2026</x:v>
      </x:c>
      <x:c r="K1514" s="207" t="str"/>
      <x:c r="L1514" s="207" t="str"/>
      <x:c r="M1514" s="207" t="str">
        <x:v>Не рассмотрено</x:v>
      </x:c>
      <x:c r="N1514" s="207" t="str"/>
      <x:c r="O1514" s="207" t="str">
        <x:v>17</x:v>
      </x:c>
      <x:c r="P1514" s="207" t="n">
        <x:v>3</x:v>
      </x:c>
      <x:c r="Q1514" s="208" t="str">
        <x:v>Wave 2 (31–60 дней)</x:v>
      </x:c>
    </x:row>
    <x:row r="1515">
      <x:c r="A1515" s="206" t="str">
        <x:v>DEC-01511</x:v>
      </x:c>
      <x:c r="B1515" s="207" t="str">
        <x:v>Material master</x:v>
      </x:c>
      <x:c r="C1515" s="207" t="str">
        <x:v>MAT-DRAFT-0845</x:v>
      </x:c>
      <x:c r="D1515" s="207" t="str">
        <x:v>Unlinked</x:v>
      </x:c>
      <x:c r="E1515" s="207" t="str">
        <x:v>3 строк; 108330.00 руб.; 19A-017</x:v>
      </x:c>
      <x:c r="F1515" s="207" t="str">
        <x:v>Подтвердить карточку, UOM, состав, цвет, поставщика и правила объединения</x:v>
      </x:c>
      <x:c r="G1515" s="207" t="str">
        <x:v>Закупки + склад</x:v>
      </x:c>
      <x:c r="H1515" s="207" t="str">
        <x:v>Критический</x:v>
      </x:c>
      <x:c r="I1515" s="207" t="str">
        <x:v>Material aging; BOM; procurement; actual usage</x:v>
      </x:c>
      <x:c r="J1515" s="207" t="str">
        <x:v>Остатки ткани 31.05.2026</x:v>
      </x:c>
      <x:c r="K1515" s="207" t="str"/>
      <x:c r="L1515" s="207" t="str"/>
      <x:c r="M1515" s="207" t="str">
        <x:v>Не рассмотрено</x:v>
      </x:c>
      <x:c r="N1515" s="207" t="str"/>
      <x:c r="O1515" s="207" t="str">
        <x:v>17</x:v>
      </x:c>
      <x:c r="P1515" s="207" t="n">
        <x:v>4</x:v>
      </x:c>
      <x:c r="Q1515" s="208" t="str">
        <x:v>Wave 1 (0–30 дней)</x:v>
      </x:c>
    </x:row>
    <x:row r="1516">
      <x:c r="A1516" s="206" t="str">
        <x:v>DEC-01512</x:v>
      </x:c>
      <x:c r="B1516" s="207" t="str">
        <x:v>Material master</x:v>
      </x:c>
      <x:c r="C1516" s="207" t="str">
        <x:v>MAT-DRAFT-0847</x:v>
      </x:c>
      <x:c r="D1516" s="207" t="str">
        <x:v>Несколько кодов; Несколько исходных наименований</x:v>
      </x:c>
      <x:c r="E1516" s="207" t="str">
        <x:v>2 строк; 23328.00 руб.; 18-044; 18-050</x:v>
      </x:c>
      <x:c r="F1516" s="207" t="str">
        <x:v>Подтвердить карточку, UOM, состав, цвет, поставщика и правила объединения</x:v>
      </x:c>
      <x:c r="G1516" s="207" t="str">
        <x:v>Закупки + склад</x:v>
      </x:c>
      <x:c r="H1516" s="207" t="str">
        <x:v>Высокий</x:v>
      </x:c>
      <x:c r="I1516" s="207" t="str">
        <x:v>Material aging; BOM; procurement; actual usage</x:v>
      </x:c>
      <x:c r="J1516" s="207" t="str">
        <x:v>Остатки ткани 31.05.2026</x:v>
      </x:c>
      <x:c r="K1516" s="207" t="str"/>
      <x:c r="L1516" s="207" t="str"/>
      <x:c r="M1516" s="207" t="str">
        <x:v>Не рассмотрено</x:v>
      </x:c>
      <x:c r="N1516" s="207" t="str"/>
      <x:c r="O1516" s="207" t="str">
        <x:v>17</x:v>
      </x:c>
      <x:c r="P1516" s="207" t="n">
        <x:v>3</x:v>
      </x:c>
      <x:c r="Q1516" s="208" t="str">
        <x:v>Wave 2 (31–60 дней)</x:v>
      </x:c>
    </x:row>
    <x:row r="1517">
      <x:c r="A1517" s="206" t="str">
        <x:v>DEC-01513</x:v>
      </x:c>
      <x:c r="B1517" s="207" t="str">
        <x:v>Material master</x:v>
      </x:c>
      <x:c r="C1517" s="207" t="str">
        <x:v>MAT-DRAFT-0848</x:v>
      </x:c>
      <x:c r="D1517" s="207" t="str">
        <x:v>Unlinked</x:v>
      </x:c>
      <x:c r="E1517" s="207" t="str">
        <x:v>1 строк; 57600.00 руб.; 19-018</x:v>
      </x:c>
      <x:c r="F1517" s="207" t="str">
        <x:v>Подтвердить карточку, UOM, состав, цвет, поставщика и правила объединения</x:v>
      </x:c>
      <x:c r="G1517" s="207" t="str">
        <x:v>Закупки + склад</x:v>
      </x:c>
      <x:c r="H1517" s="207" t="str">
        <x:v>Высокий</x:v>
      </x:c>
      <x:c r="I1517" s="207" t="str">
        <x:v>Material aging; BOM; procurement; actual usage</x:v>
      </x:c>
      <x:c r="J1517" s="207" t="str">
        <x:v>Остатки ткани 31.05.2026</x:v>
      </x:c>
      <x:c r="K1517" s="207" t="str"/>
      <x:c r="L1517" s="207" t="str"/>
      <x:c r="M1517" s="207" t="str">
        <x:v>Не рассмотрено</x:v>
      </x:c>
      <x:c r="N1517" s="207" t="str"/>
      <x:c r="O1517" s="207" t="str">
        <x:v>17</x:v>
      </x:c>
      <x:c r="P1517" s="207" t="n">
        <x:v>3</x:v>
      </x:c>
      <x:c r="Q1517" s="208" t="str">
        <x:v>Wave 2 (31–60 дней)</x:v>
      </x:c>
    </x:row>
    <x:row r="1518">
      <x:c r="A1518" s="206" t="str">
        <x:v>DEC-01514</x:v>
      </x:c>
      <x:c r="B1518" s="207" t="str">
        <x:v>Material master</x:v>
      </x:c>
      <x:c r="C1518" s="207" t="str">
        <x:v>MAT-DRAFT-0850</x:v>
      </x:c>
      <x:c r="D1518" s="207" t="str">
        <x:v>Unlinked</x:v>
      </x:c>
      <x:c r="E1518" s="207" t="str">
        <x:v>1 строк; 15000.00 руб.; 19-010</x:v>
      </x:c>
      <x:c r="F1518" s="207" t="str">
        <x:v>Подтвердить карточку, UOM, состав, цвет, поставщика и правила объединения</x:v>
      </x:c>
      <x:c r="G1518" s="207" t="str">
        <x:v>Закупки + склад</x:v>
      </x:c>
      <x:c r="H1518" s="207" t="str">
        <x:v>Высокий</x:v>
      </x:c>
      <x:c r="I1518" s="207" t="str">
        <x:v>Material aging; BOM; procurement; actual usage</x:v>
      </x:c>
      <x:c r="J1518" s="207" t="str">
        <x:v>Остатки ткани 31.05.2026</x:v>
      </x:c>
      <x:c r="K1518" s="207" t="str"/>
      <x:c r="L1518" s="207" t="str"/>
      <x:c r="M1518" s="207" t="str">
        <x:v>Не рассмотрено</x:v>
      </x:c>
      <x:c r="N1518" s="207" t="str"/>
      <x:c r="O1518" s="207" t="str">
        <x:v>17</x:v>
      </x:c>
      <x:c r="P1518" s="207" t="n">
        <x:v>3</x:v>
      </x:c>
      <x:c r="Q1518" s="208" t="str">
        <x:v>Wave 2 (31–60 дней)</x:v>
      </x:c>
    </x:row>
    <x:row r="1519">
      <x:c r="A1519" s="206" t="str">
        <x:v>DEC-01515</x:v>
      </x:c>
      <x:c r="B1519" s="207" t="str">
        <x:v>Material master</x:v>
      </x:c>
      <x:c r="C1519" s="207" t="str">
        <x:v>MAT-DRAFT-0851</x:v>
      </x:c>
      <x:c r="D1519" s="207" t="str">
        <x:v>Unlinked</x:v>
      </x:c>
      <x:c r="E1519" s="207" t="str">
        <x:v>1 строк; 48600.00 руб.; 18-047</x:v>
      </x:c>
      <x:c r="F1519" s="207" t="str">
        <x:v>Подтвердить карточку, UOM, состав, цвет, поставщика и правила объединения</x:v>
      </x:c>
      <x:c r="G1519" s="207" t="str">
        <x:v>Закупки + склад</x:v>
      </x:c>
      <x:c r="H1519" s="207" t="str">
        <x:v>Высокий</x:v>
      </x:c>
      <x:c r="I1519" s="207" t="str">
        <x:v>Material aging; BOM; procurement; actual usage</x:v>
      </x:c>
      <x:c r="J1519" s="207" t="str">
        <x:v>Остатки ткани 31.05.2026</x:v>
      </x:c>
      <x:c r="K1519" s="207" t="str"/>
      <x:c r="L1519" s="207" t="str"/>
      <x:c r="M1519" s="207" t="str">
        <x:v>Не рассмотрено</x:v>
      </x:c>
      <x:c r="N1519" s="207" t="str"/>
      <x:c r="O1519" s="207" t="str">
        <x:v>17</x:v>
      </x:c>
      <x:c r="P1519" s="207" t="n">
        <x:v>3</x:v>
      </x:c>
      <x:c r="Q1519" s="208" t="str">
        <x:v>Wave 2 (31–60 дней)</x:v>
      </x:c>
    </x:row>
    <x:row r="1520">
      <x:c r="A1520" s="206" t="str">
        <x:v>DEC-01516</x:v>
      </x:c>
      <x:c r="B1520" s="207" t="str">
        <x:v>Material master</x:v>
      </x:c>
      <x:c r="C1520" s="207" t="str">
        <x:v>MAT-DRAFT-0852</x:v>
      </x:c>
      <x:c r="D1520" s="207" t="str">
        <x:v>Unlinked</x:v>
      </x:c>
      <x:c r="E1520" s="207" t="str">
        <x:v>1 строк; 76440.00 руб.; 18-019</x:v>
      </x:c>
      <x:c r="F1520" s="207" t="str">
        <x:v>Подтвердить карточку, UOM, состав, цвет, поставщика и правила объединения</x:v>
      </x:c>
      <x:c r="G1520" s="207" t="str">
        <x:v>Закупки + склад</x:v>
      </x:c>
      <x:c r="H1520" s="207" t="str">
        <x:v>Высокий</x:v>
      </x:c>
      <x:c r="I1520" s="207" t="str">
        <x:v>Material aging; BOM; procurement; actual usage</x:v>
      </x:c>
      <x:c r="J1520" s="207" t="str">
        <x:v>Остатки ткани 31.05.2026</x:v>
      </x:c>
      <x:c r="K1520" s="207" t="str"/>
      <x:c r="L1520" s="207" t="str"/>
      <x:c r="M1520" s="207" t="str">
        <x:v>Не рассмотрено</x:v>
      </x:c>
      <x:c r="N1520" s="207" t="str"/>
      <x:c r="O1520" s="207" t="str">
        <x:v>17</x:v>
      </x:c>
      <x:c r="P1520" s="207" t="n">
        <x:v>3</x:v>
      </x:c>
      <x:c r="Q1520" s="208" t="str">
        <x:v>Wave 2 (31–60 дней)</x:v>
      </x:c>
    </x:row>
    <x:row r="1521">
      <x:c r="A1521" s="206" t="str">
        <x:v>DEC-01517</x:v>
      </x:c>
      <x:c r="B1521" s="207" t="str">
        <x:v>Material master</x:v>
      </x:c>
      <x:c r="C1521" s="207" t="str">
        <x:v>MAT-DRAFT-0854</x:v>
      </x:c>
      <x:c r="D1521" s="207" t="str">
        <x:v>Unlinked</x:v>
      </x:c>
      <x:c r="E1521" s="207" t="str">
        <x:v>1 строк; 24816.00 руб.; 18-046</x:v>
      </x:c>
      <x:c r="F1521" s="207" t="str">
        <x:v>Подтвердить карточку, UOM, состав, цвет, поставщика и правила объединения</x:v>
      </x:c>
      <x:c r="G1521" s="207" t="str">
        <x:v>Закупки + склад</x:v>
      </x:c>
      <x:c r="H1521" s="207" t="str">
        <x:v>Высокий</x:v>
      </x:c>
      <x:c r="I1521" s="207" t="str">
        <x:v>Material aging; BOM; procurement; actual usage</x:v>
      </x:c>
      <x:c r="J1521" s="207" t="str">
        <x:v>Остатки ткани 31.05.2026</x:v>
      </x:c>
      <x:c r="K1521" s="207" t="str"/>
      <x:c r="L1521" s="207" t="str"/>
      <x:c r="M1521" s="207" t="str">
        <x:v>Не рассмотрено</x:v>
      </x:c>
      <x:c r="N1521" s="207" t="str"/>
      <x:c r="O1521" s="207" t="str">
        <x:v>17</x:v>
      </x:c>
      <x:c r="P1521" s="207" t="n">
        <x:v>3</x:v>
      </x:c>
      <x:c r="Q1521" s="208" t="str">
        <x:v>Wave 2 (31–60 дней)</x:v>
      </x:c>
    </x:row>
    <x:row r="1522">
      <x:c r="A1522" s="206" t="str">
        <x:v>DEC-01518</x:v>
      </x:c>
      <x:c r="B1522" s="207" t="str">
        <x:v>Material master</x:v>
      </x:c>
      <x:c r="C1522" s="207" t="str">
        <x:v>MAT-DRAFT-0857</x:v>
      </x:c>
      <x:c r="D1522" s="207" t="str">
        <x:v>Unlinked</x:v>
      </x:c>
      <x:c r="E1522" s="207" t="str">
        <x:v>1 строк; 14500.00 руб.; 19-030</x:v>
      </x:c>
      <x:c r="F1522" s="207" t="str">
        <x:v>Подтвердить карточку, UOM, состав, цвет, поставщика и правила объединения</x:v>
      </x:c>
      <x:c r="G1522" s="207" t="str">
        <x:v>Закупки + склад</x:v>
      </x:c>
      <x:c r="H1522" s="207" t="str">
        <x:v>Высокий</x:v>
      </x:c>
      <x:c r="I1522" s="207" t="str">
        <x:v>Material aging; BOM; procurement; actual usage</x:v>
      </x:c>
      <x:c r="J1522" s="207" t="str">
        <x:v>Остатки ткани 31.05.2026</x:v>
      </x:c>
      <x:c r="K1522" s="207" t="str"/>
      <x:c r="L1522" s="207" t="str"/>
      <x:c r="M1522" s="207" t="str">
        <x:v>Не рассмотрено</x:v>
      </x:c>
      <x:c r="N1522" s="207" t="str"/>
      <x:c r="O1522" s="207" t="str">
        <x:v>17</x:v>
      </x:c>
      <x:c r="P1522" s="207" t="n">
        <x:v>3</x:v>
      </x:c>
      <x:c r="Q1522" s="208" t="str">
        <x:v>Wave 2 (31–60 дней)</x:v>
      </x:c>
    </x:row>
    <x:row r="1523">
      <x:c r="A1523" s="206" t="str">
        <x:v>DEC-01519</x:v>
      </x:c>
      <x:c r="B1523" s="207" t="str">
        <x:v>Material master</x:v>
      </x:c>
      <x:c r="C1523" s="207" t="str">
        <x:v>MAT-DRAFT-0858</x:v>
      </x:c>
      <x:c r="D1523" s="207" t="str">
        <x:v>Unlinked</x:v>
      </x:c>
      <x:c r="E1523" s="207" t="str">
        <x:v>1 строк; 42000.00 руб.; 19-022</x:v>
      </x:c>
      <x:c r="F1523" s="207" t="str">
        <x:v>Подтвердить карточку, UOM, состав, цвет, поставщика и правила объединения</x:v>
      </x:c>
      <x:c r="G1523" s="207" t="str">
        <x:v>Закупки + склад</x:v>
      </x:c>
      <x:c r="H1523" s="207" t="str">
        <x:v>Высокий</x:v>
      </x:c>
      <x:c r="I1523" s="207" t="str">
        <x:v>Material aging; BOM; procurement; actual usage</x:v>
      </x:c>
      <x:c r="J1523" s="207" t="str">
        <x:v>Остатки ткани 31.05.2026</x:v>
      </x:c>
      <x:c r="K1523" s="207" t="str"/>
      <x:c r="L1523" s="207" t="str"/>
      <x:c r="M1523" s="207" t="str">
        <x:v>Не рассмотрено</x:v>
      </x:c>
      <x:c r="N1523" s="207" t="str"/>
      <x:c r="O1523" s="207" t="str">
        <x:v>17</x:v>
      </x:c>
      <x:c r="P1523" s="207" t="n">
        <x:v>3</x:v>
      </x:c>
      <x:c r="Q1523" s="208" t="str">
        <x:v>Wave 2 (31–60 дней)</x:v>
      </x:c>
    </x:row>
    <x:row r="1524">
      <x:c r="A1524" s="206" t="str">
        <x:v>DEC-01520</x:v>
      </x:c>
      <x:c r="B1524" s="207" t="str">
        <x:v>Material master</x:v>
      </x:c>
      <x:c r="C1524" s="207" t="str">
        <x:v>MAT-DRAFT-0859</x:v>
      </x:c>
      <x:c r="D1524" s="207" t="str">
        <x:v>Unlinked</x:v>
      </x:c>
      <x:c r="E1524" s="207" t="str">
        <x:v>1 строк; 41200.00 руб.; 19-023</x:v>
      </x:c>
      <x:c r="F1524" s="207" t="str">
        <x:v>Подтвердить карточку, UOM, состав, цвет, поставщика и правила объединения</x:v>
      </x:c>
      <x:c r="G1524" s="207" t="str">
        <x:v>Закупки + склад</x:v>
      </x:c>
      <x:c r="H1524" s="207" t="str">
        <x:v>Высокий</x:v>
      </x:c>
      <x:c r="I1524" s="207" t="str">
        <x:v>Material aging; BOM; procurement; actual usage</x:v>
      </x:c>
      <x:c r="J1524" s="207" t="str">
        <x:v>Остатки ткани 31.05.2026</x:v>
      </x:c>
      <x:c r="K1524" s="207" t="str"/>
      <x:c r="L1524" s="207" t="str"/>
      <x:c r="M1524" s="207" t="str">
        <x:v>Не рассмотрено</x:v>
      </x:c>
      <x:c r="N1524" s="207" t="str"/>
      <x:c r="O1524" s="207" t="str">
        <x:v>17</x:v>
      </x:c>
      <x:c r="P1524" s="207" t="n">
        <x:v>3</x:v>
      </x:c>
      <x:c r="Q1524" s="208" t="str">
        <x:v>Wave 2 (31–60 дней)</x:v>
      </x:c>
    </x:row>
    <x:row r="1525">
      <x:c r="A1525" s="206" t="str">
        <x:v>DEC-01521</x:v>
      </x:c>
      <x:c r="B1525" s="207" t="str">
        <x:v>Material master</x:v>
      </x:c>
      <x:c r="C1525" s="207" t="str">
        <x:v>MAT-DRAFT-0860</x:v>
      </x:c>
      <x:c r="D1525" s="207" t="str">
        <x:v>Unlinked</x:v>
      </x:c>
      <x:c r="E1525" s="207" t="str">
        <x:v>1 строк; 8000.00 руб.; 19-011</x:v>
      </x:c>
      <x:c r="F1525" s="207" t="str">
        <x:v>Подтвердить карточку, UOM, состав, цвет, поставщика и правила объединения</x:v>
      </x:c>
      <x:c r="G1525" s="207" t="str">
        <x:v>Закупки + склад</x:v>
      </x:c>
      <x:c r="H1525" s="207" t="str">
        <x:v>Средний</x:v>
      </x:c>
      <x:c r="I1525" s="207" t="str">
        <x:v>Material aging; BOM; procurement; actual usage</x:v>
      </x:c>
      <x:c r="J1525" s="207" t="str">
        <x:v>Остатки ткани 31.05.2026</x:v>
      </x:c>
      <x:c r="K1525" s="207" t="str"/>
      <x:c r="L1525" s="207" t="str"/>
      <x:c r="M1525" s="207" t="str">
        <x:v>Не рассмотрено</x:v>
      </x:c>
      <x:c r="N1525" s="207" t="str"/>
      <x:c r="O1525" s="207" t="str">
        <x:v>17</x:v>
      </x:c>
      <x:c r="P1525" s="207" t="n">
        <x:v>2</x:v>
      </x:c>
      <x:c r="Q1525" s="208" t="str">
        <x:v>Wave 3 (61–90 дней)</x:v>
      </x:c>
    </x:row>
    <x:row r="1526">
      <x:c r="A1526" s="206" t="str">
        <x:v>DEC-01522</x:v>
      </x:c>
      <x:c r="B1526" s="207" t="str">
        <x:v>Material master</x:v>
      </x:c>
      <x:c r="C1526" s="207" t="str">
        <x:v>MAT-DRAFT-0863</x:v>
      </x:c>
      <x:c r="D1526" s="207" t="str">
        <x:v>Unlinked</x:v>
      </x:c>
      <x:c r="E1526" s="207" t="str">
        <x:v>1 строк; 39900.00 руб.; 19A-001</x:v>
      </x:c>
      <x:c r="F1526" s="207" t="str">
        <x:v>Подтвердить карточку, UOM, состав, цвет, поставщика и правила объединения</x:v>
      </x:c>
      <x:c r="G1526" s="207" t="str">
        <x:v>Закупки + склад</x:v>
      </x:c>
      <x:c r="H1526" s="207" t="str">
        <x:v>Высокий</x:v>
      </x:c>
      <x:c r="I1526" s="207" t="str">
        <x:v>Material aging; BOM; procurement; actual usage</x:v>
      </x:c>
      <x:c r="J1526" s="207" t="str">
        <x:v>Остатки ткани 31.05.2026</x:v>
      </x:c>
      <x:c r="K1526" s="207" t="str"/>
      <x:c r="L1526" s="207" t="str"/>
      <x:c r="M1526" s="207" t="str">
        <x:v>Не рассмотрено</x:v>
      </x:c>
      <x:c r="N1526" s="207" t="str"/>
      <x:c r="O1526" s="207" t="str">
        <x:v>17</x:v>
      </x:c>
      <x:c r="P1526" s="207" t="n">
        <x:v>3</x:v>
      </x:c>
      <x:c r="Q1526" s="208" t="str">
        <x:v>Wave 2 (31–60 дней)</x:v>
      </x:c>
    </x:row>
    <x:row r="1527">
      <x:c r="A1527" s="206" t="str">
        <x:v>DEC-01523</x:v>
      </x:c>
      <x:c r="B1527" s="207" t="str">
        <x:v>Material master</x:v>
      </x:c>
      <x:c r="C1527" s="207" t="str">
        <x:v>MAT-DRAFT-0865</x:v>
      </x:c>
      <x:c r="D1527" s="207" t="str">
        <x:v>Unlinked</x:v>
      </x:c>
      <x:c r="E1527" s="207" t="str">
        <x:v>1 строк; 6860.00 руб.; 25-011</x:v>
      </x:c>
      <x:c r="F1527" s="207" t="str">
        <x:v>Подтвердить карточку, UOM, состав, цвет, поставщика и правила объединения</x:v>
      </x:c>
      <x:c r="G1527" s="207" t="str">
        <x:v>Закупки + склад</x:v>
      </x:c>
      <x:c r="H1527" s="207" t="str">
        <x:v>Средний</x:v>
      </x:c>
      <x:c r="I1527" s="207" t="str">
        <x:v>Material aging; BOM; procurement; actual usage</x:v>
      </x:c>
      <x:c r="J1527" s="207" t="str">
        <x:v>Остатки ткани 31.05.2026</x:v>
      </x:c>
      <x:c r="K1527" s="207" t="str"/>
      <x:c r="L1527" s="207" t="str"/>
      <x:c r="M1527" s="207" t="str">
        <x:v>Не рассмотрено</x:v>
      </x:c>
      <x:c r="N1527" s="207" t="str"/>
      <x:c r="O1527" s="207" t="str">
        <x:v>17</x:v>
      </x:c>
      <x:c r="P1527" s="207" t="n">
        <x:v>2</x:v>
      </x:c>
      <x:c r="Q1527" s="208" t="str">
        <x:v>Wave 3 (61–90 дней)</x:v>
      </x:c>
    </x:row>
    <x:row r="1528">
      <x:c r="A1528" s="206" t="str">
        <x:v>DEC-IG-01</x:v>
      </x:c>
      <x:c r="B1528" s="207" t="str">
        <x:v>Missing data / governance</x:v>
      </x:c>
      <x:c r="C1528" s="207" t="str">
        <x:v>IG-01</x:v>
      </x:c>
      <x:c r="D1528" s="207" t="str">
        <x:v>Официальный canonical SKU и alias history</x:v>
      </x:c>
      <x:c r="E1528" s="207" t="str">
        <x:v>Блокирует: SKU/collection/order margin; production and inventory joins</x:v>
      </x:c>
      <x:c r="F1528" s="207" t="str">
        <x:v>Назначить владельца и предоставить Выгрузка/регистр: Официальный canonical SKU и alias history</x:v>
      </x:c>
      <x:c r="G1528" s="207" t="str">
        <x:v>Продукт/коммерция</x:v>
      </x:c>
      <x:c r="H1528" s="207" t="str">
        <x:v>Критический</x:v>
      </x:c>
      <x:c r="I1528" s="207" t="str">
        <x:v>SKU/collection/order margin; production and inventory joins</x:v>
      </x:c>
      <x:c r="J1528" s="207" t="str">
        <x:v>MDM/1С + продуктовый блок</x:v>
      </x:c>
      <x:c r="K1528" s="207" t="str"/>
      <x:c r="L1528" s="207" t="str"/>
      <x:c r="M1528" s="207" t="str">
        <x:v>Не рассмотрено</x:v>
      </x:c>
      <x:c r="N1528" s="207" t="str"/>
      <x:c r="O1528" s="207" t="str">
        <x:v>18</x:v>
      </x:c>
      <x:c r="P1528" s="207" t="n">
        <x:v>4</x:v>
      </x:c>
      <x:c r="Q1528" s="208" t="str">
        <x:v>Wave 1 (0–30 дней)</x:v>
      </x:c>
    </x:row>
    <x:row r="1529">
      <x:c r="A1529" s="206" t="str">
        <x:v>DEC-IG-02</x:v>
      </x:c>
      <x:c r="B1529" s="207" t="str">
        <x:v>Missing data / governance</x:v>
      </x:c>
      <x:c r="C1529" s="207" t="str">
        <x:v>IG-02</x:v>
      </x:c>
      <x:c r="D1529" s="207" t="str">
        <x:v>Остатки и движение готовой продукции</x:v>
      </x:c>
      <x:c r="E1529" s="207" t="str">
        <x:v>Блокирует: COGS, turnover, aging, obsolete stock, Balance</x:v>
      </x:c>
      <x:c r="F1529" s="207" t="str">
        <x:v>Назначить владельца и предоставить Выгрузка/регистр: Остатки и движение готовой продукции</x:v>
      </x:c>
      <x:c r="G1529" s="207" t="str">
        <x:v>Склад + финансы</x:v>
      </x:c>
      <x:c r="H1529" s="207" t="str">
        <x:v>Критический</x:v>
      </x:c>
      <x:c r="I1529" s="207" t="str">
        <x:v>COGS, turnover, aging, obsolete stock, Balance</x:v>
      </x:c>
      <x:c r="J1529" s="207" t="str">
        <x:v>WMS/1С/склад</x:v>
      </x:c>
      <x:c r="K1529" s="207" t="str"/>
      <x:c r="L1529" s="207" t="str"/>
      <x:c r="M1529" s="207" t="str">
        <x:v>Не рассмотрено</x:v>
      </x:c>
      <x:c r="N1529" s="207" t="str"/>
      <x:c r="O1529" s="207" t="str">
        <x:v>18</x:v>
      </x:c>
      <x:c r="P1529" s="207" t="n">
        <x:v>4</x:v>
      </x:c>
      <x:c r="Q1529" s="208" t="str">
        <x:v>Wave 1 (0–30 дней)</x:v>
      </x:c>
    </x:row>
    <x:row r="1530">
      <x:c r="A1530" s="206" t="str">
        <x:v>DEC-IG-03</x:v>
      </x:c>
      <x:c r="B1530" s="207" t="str">
        <x:v>Missing data / governance</x:v>
      </x:c>
      <x:c r="C1530" s="207" t="str">
        <x:v>IG-03</x:v>
      </x:c>
      <x:c r="D1530" s="207" t="str">
        <x:v>Production order register и WIP</x:v>
      </x:c>
      <x:c r="E1530" s="207" t="str">
        <x:v>Блокирует: Lead time, WIP, productivity, order profitability</x:v>
      </x:c>
      <x:c r="F1530" s="207" t="str">
        <x:v>Назначить владельца и предоставить Выгрузка/регистр: Production order register и WIP</x:v>
      </x:c>
      <x:c r="G1530" s="207" t="str">
        <x:v>Производство</x:v>
      </x:c>
      <x:c r="H1530" s="207" t="str">
        <x:v>Критический</x:v>
      </x:c>
      <x:c r="I1530" s="207" t="str">
        <x:v>Lead time, WIP, productivity, order profitability</x:v>
      </x:c>
      <x:c r="J1530" s="207" t="str">
        <x:v>ERP/MES/производство</x:v>
      </x:c>
      <x:c r="K1530" s="207" t="str"/>
      <x:c r="L1530" s="207" t="str"/>
      <x:c r="M1530" s="207" t="str">
        <x:v>Не рассмотрено</x:v>
      </x:c>
      <x:c r="N1530" s="207" t="str"/>
      <x:c r="O1530" s="207" t="str">
        <x:v>18</x:v>
      </x:c>
      <x:c r="P1530" s="207" t="n">
        <x:v>4</x:v>
      </x:c>
      <x:c r="Q1530" s="208" t="str">
        <x:v>Wave 1 (0–30 дней)</x:v>
      </x:c>
    </x:row>
    <x:row r="1531">
      <x:c r="A1531" s="206" t="str">
        <x:v>DEC-IG-04</x:v>
      </x:c>
      <x:c r="B1531" s="207" t="str">
        <x:v>Missing data / governance</x:v>
      </x:c>
      <x:c r="C1531" s="207" t="str">
        <x:v>IG-04</x:v>
      </x:c>
      <x:c r="D1531" s="207" t="str">
        <x:v>Утверждённые версии фактической себестоимости</x:v>
      </x:c>
      <x:c r="E1531" s="207" t="str">
        <x:v>Блокирует: SKU/collection/order margin, COGS</x:v>
      </x:c>
      <x:c r="F1531" s="207" t="str">
        <x:v>Назначить владельца и предоставить Выгрузка/регистр: Утверждённые версии фактической себестоимости</x:v>
      </x:c>
      <x:c r="G1531" s="207" t="str">
        <x:v>Финансы + производство</x:v>
      </x:c>
      <x:c r="H1531" s="207" t="str">
        <x:v>Критический</x:v>
      </x:c>
      <x:c r="I1531" s="207" t="str">
        <x:v>SKU/collection/order margin, COGS</x:v>
      </x:c>
      <x:c r="J1531" s="207" t="str">
        <x:v>ERP/Cost ledger</x:v>
      </x:c>
      <x:c r="K1531" s="207" t="str"/>
      <x:c r="L1531" s="207" t="str"/>
      <x:c r="M1531" s="207" t="str">
        <x:v>Не рассмотрено</x:v>
      </x:c>
      <x:c r="N1531" s="207" t="str"/>
      <x:c r="O1531" s="207" t="str">
        <x:v>18</x:v>
      </x:c>
      <x:c r="P1531" s="207" t="n">
        <x:v>4</x:v>
      </x:c>
      <x:c r="Q1531" s="208" t="str">
        <x:v>Wave 1 (0–30 дней)</x:v>
      </x:c>
    </x:row>
    <x:row r="1532">
      <x:c r="A1532" s="206" t="str">
        <x:v>DEC-IG-05</x:v>
      </x:c>
      <x:c r="B1532" s="207" t="str">
        <x:v>Missing data / governance</x:v>
      </x:c>
      <x:c r="C1532" s="207" t="str">
        <x:v>IG-05</x:v>
      </x:c>
      <x:c r="D1532" s="207" t="str">
        <x:v>История движения материалов и партии</x:v>
      </x:c>
      <x:c r="E1532" s="207" t="str">
        <x:v>Блокирует: Material aging, variance, obsolete stock, working capital</x:v>
      </x:c>
      <x:c r="F1532" s="207" t="str">
        <x:v>Назначить владельца и предоставить Выгрузка/регистр: История движения материалов и партии</x:v>
      </x:c>
      <x:c r="G1532" s="207" t="str">
        <x:v>Склад + закупки</x:v>
      </x:c>
      <x:c r="H1532" s="207" t="str">
        <x:v>Критический</x:v>
      </x:c>
      <x:c r="I1532" s="207" t="str">
        <x:v>Material aging, variance, obsolete stock, working capital</x:v>
      </x:c>
      <x:c r="J1532" s="207" t="str">
        <x:v>WMS/1С</x:v>
      </x:c>
      <x:c r="K1532" s="207" t="str"/>
      <x:c r="L1532" s="207" t="str"/>
      <x:c r="M1532" s="207" t="str">
        <x:v>Не рассмотрено</x:v>
      </x:c>
      <x:c r="N1532" s="207" t="str"/>
      <x:c r="O1532" s="207" t="str">
        <x:v>18</x:v>
      </x:c>
      <x:c r="P1532" s="207" t="n">
        <x:v>4</x:v>
      </x:c>
      <x:c r="Q1532" s="208" t="str">
        <x:v>Wave 1 (0–30 дней)</x:v>
      </x:c>
    </x:row>
    <x:row r="1533">
      <x:c r="A1533" s="206" t="str">
        <x:v>DEC-IG-06</x:v>
      </x:c>
      <x:c r="B1533" s="207" t="str">
        <x:v>Missing data / governance</x:v>
      </x:c>
      <x:c r="C1533" s="207" t="str">
        <x:v>IG-06</x:v>
      </x:c>
      <x:c r="D1533" s="207" t="str">
        <x:v>Версионный BOM и нормы</x:v>
      </x:c>
      <x:c r="E1533" s="207" t="str">
        <x:v>Блокирует: Material requirement, purchase plan, cost and variance</x:v>
      </x:c>
      <x:c r="F1533" s="207" t="str">
        <x:v>Назначить владельца и предоставить Выгрузка/регистр: Версионный BOM и нормы</x:v>
      </x:c>
      <x:c r="G1533" s="207" t="str">
        <x:v>Технолог + производство</x:v>
      </x:c>
      <x:c r="H1533" s="207" t="str">
        <x:v>Критический</x:v>
      </x:c>
      <x:c r="I1533" s="207" t="str">
        <x:v>Material requirement, purchase plan, cost and variance</x:v>
      </x:c>
      <x:c r="J1533" s="207" t="str">
        <x:v>PLM/технолог</x:v>
      </x:c>
      <x:c r="K1533" s="207" t="str"/>
      <x:c r="L1533" s="207" t="str"/>
      <x:c r="M1533" s="207" t="str">
        <x:v>Не рассмотрено</x:v>
      </x:c>
      <x:c r="N1533" s="207" t="str"/>
      <x:c r="O1533" s="207" t="str">
        <x:v>18</x:v>
      </x:c>
      <x:c r="P1533" s="207" t="n">
        <x:v>4</x:v>
      </x:c>
      <x:c r="Q1533" s="208" t="str">
        <x:v>Wave 1 (0–30 дней)</x:v>
      </x:c>
    </x:row>
    <x:row r="1534">
      <x:c r="A1534" s="206" t="str">
        <x:v>DEC-IG-07</x:v>
      </x:c>
      <x:c r="B1534" s="207" t="str">
        <x:v>Missing data / governance</x:v>
      </x:c>
      <x:c r="C1534" s="207" t="str">
        <x:v>IG-07</x:v>
      </x:c>
      <x:c r="D1534" s="207" t="str">
        <x:v>Детальные продажи всех каналов</x:v>
      </x:c>
      <x:c r="E1534" s="207" t="str">
        <x:v>Блокирует: Channel/SKU margin, cohorts, seasonality, inventory issue</x:v>
      </x:c>
      <x:c r="F1534" s="207" t="str">
        <x:v>Назначить владельца и предоставить Выгрузка/регистр: Детальные продажи всех каналов</x:v>
      </x:c>
      <x:c r="G1534" s="207" t="str">
        <x:v>Коммерция</x:v>
      </x:c>
      <x:c r="H1534" s="207" t="str">
        <x:v>Высокий</x:v>
      </x:c>
      <x:c r="I1534" s="207" t="str">
        <x:v>Channel/SKU margin, cohorts, seasonality, inventory issue</x:v>
      </x:c>
      <x:c r="J1534" s="207" t="str">
        <x:v>POS/CRM/CMS/1С</x:v>
      </x:c>
      <x:c r="K1534" s="207" t="str"/>
      <x:c r="L1534" s="207" t="str"/>
      <x:c r="M1534" s="207" t="str">
        <x:v>Не рассмотрено</x:v>
      </x:c>
      <x:c r="N1534" s="207" t="str"/>
      <x:c r="O1534" s="207" t="str">
        <x:v>18</x:v>
      </x:c>
      <x:c r="P1534" s="207" t="n">
        <x:v>3</x:v>
      </x:c>
      <x:c r="Q1534" s="208" t="str">
        <x:v>Wave 2 (31–60 дней)</x:v>
      </x:c>
    </x:row>
    <x:row r="1535">
      <x:c r="A1535" s="206" t="str">
        <x:v>DEC-IG-08</x:v>
      </x:c>
      <x:c r="B1535" s="207" t="str">
        <x:v>Missing data / governance</x:v>
      </x:c>
      <x:c r="C1535" s="207" t="str">
        <x:v>IG-08</x:v>
      </x:c>
      <x:c r="D1535" s="207" t="str">
        <x:v>Полный procurement cycle</x:v>
      </x:c>
      <x:c r="E1535" s="207" t="str">
        <x:v>Блокирует: Supplier performance, PPV, lead time, 3-way match</x:v>
      </x:c>
      <x:c r="F1535" s="207" t="str">
        <x:v>Назначить владельца и предоставить Выгрузка/регистр: Полный procurement cycle</x:v>
      </x:c>
      <x:c r="G1535" s="207" t="str">
        <x:v>Закупки</x:v>
      </x:c>
      <x:c r="H1535" s="207" t="str">
        <x:v>Высокий</x:v>
      </x:c>
      <x:c r="I1535" s="207" t="str">
        <x:v>Supplier performance, PPV, lead time, 3-way match</x:v>
      </x:c>
      <x:c r="J1535" s="207" t="str">
        <x:v>ERP/закупки/DMS</x:v>
      </x:c>
      <x:c r="K1535" s="207" t="str"/>
      <x:c r="L1535" s="207" t="str"/>
      <x:c r="M1535" s="207" t="str">
        <x:v>Не рассмотрено</x:v>
      </x:c>
      <x:c r="N1535" s="207" t="str"/>
      <x:c r="O1535" s="207" t="str">
        <x:v>18</x:v>
      </x:c>
      <x:c r="P1535" s="207" t="n">
        <x:v>3</x:v>
      </x:c>
      <x:c r="Q1535" s="208" t="str">
        <x:v>Wave 2 (31–60 дней)</x:v>
      </x:c>
    </x:row>
    <x:row r="1536">
      <x:c r="A1536" s="206" t="str">
        <x:v>DEC-IG-09</x:v>
      </x:c>
      <x:c r="B1536" s="207" t="str">
        <x:v>Missing data / governance</x:v>
      </x:c>
      <x:c r="C1536" s="207" t="str">
        <x:v>IG-09</x:v>
      </x:c>
      <x:c r="D1536" s="207" t="str">
        <x:v>Settlement и взаиморасчёты на уровне строк</x:v>
      </x:c>
      <x:c r="E1536" s="207" t="str">
        <x:v>Блокирует: Sales-to-cash, AR aging, channel deductions</x:v>
      </x:c>
      <x:c r="F1536" s="207" t="str">
        <x:v>Назначить владельца и предоставить Выгрузка/регистр: Settlement и взаиморасчёты на уровне строк</x:v>
      </x:c>
      <x:c r="G1536" s="207" t="str">
        <x:v>Финансы + коммерция</x:v>
      </x:c>
      <x:c r="H1536" s="207" t="str">
        <x:v>Высокий</x:v>
      </x:c>
      <x:c r="I1536" s="207" t="str">
        <x:v>Sales-to-cash, AR aging, channel deductions</x:v>
      </x:c>
      <x:c r="J1536" s="207" t="str">
        <x:v>ERP/AR/коммерция</x:v>
      </x:c>
      <x:c r="K1536" s="207" t="str"/>
      <x:c r="L1536" s="207" t="str"/>
      <x:c r="M1536" s="207" t="str">
        <x:v>Не рассмотрено</x:v>
      </x:c>
      <x:c r="N1536" s="207" t="str"/>
      <x:c r="O1536" s="207" t="str">
        <x:v>18</x:v>
      </x:c>
      <x:c r="P1536" s="207" t="n">
        <x:v>3</x:v>
      </x:c>
      <x:c r="Q1536" s="208" t="str">
        <x:v>Wave 2 (31–60 дней)</x:v>
      </x:c>
    </x:row>
    <x:row r="1537">
      <x:c r="A1537" s="206" t="str">
        <x:v>DEC-IG-10</x:v>
      </x:c>
      <x:c r="B1537" s="207" t="str">
        <x:v>Missing data / governance</x:v>
      </x:c>
      <x:c r="C1537" s="207" t="str">
        <x:v>IG-10</x:v>
      </x:c>
      <x:c r="D1537" s="207" t="str">
        <x:v>Операции, фактические часы, брак и переделка</x:v>
      </x:c>
      <x:c r="E1537" s="207" t="str">
        <x:v>Блокирует: Capacity, productivity, bottleneck, labor cost</x:v>
      </x:c>
      <x:c r="F1537" s="207" t="str">
        <x:v>Назначить владельца и предоставить Выгрузка/регистр: Операции, фактические часы, брак и переделка</x:v>
      </x:c>
      <x:c r="G1537" s="207" t="str">
        <x:v>Производство</x:v>
      </x:c>
      <x:c r="H1537" s="207" t="str">
        <x:v>Высокий</x:v>
      </x:c>
      <x:c r="I1537" s="207" t="str">
        <x:v>Capacity, productivity, bottleneck, labor cost</x:v>
      </x:c>
      <x:c r="J1537" s="207" t="str">
        <x:v>MES/production register</x:v>
      </x:c>
      <x:c r="K1537" s="207" t="str"/>
      <x:c r="L1537" s="207" t="str"/>
      <x:c r="M1537" s="207" t="str">
        <x:v>Не рассмотрено</x:v>
      </x:c>
      <x:c r="N1537" s="207" t="str"/>
      <x:c r="O1537" s="207" t="str">
        <x:v>18</x:v>
      </x:c>
      <x:c r="P1537" s="207" t="n">
        <x:v>3</x:v>
      </x:c>
      <x:c r="Q1537" s="208" t="str">
        <x:v>Wave 2 (31–60 дней)</x:v>
      </x:c>
    </x:row>
    <x:row r="1538">
      <x:c r="A1538" s="206" t="str">
        <x:v>DEC-IG-11</x:v>
      </x:c>
      <x:c r="B1538" s="207" t="str">
        <x:v>Missing data / governance</x:v>
      </x:c>
      <x:c r="C1538" s="207" t="str">
        <x:v>IG-11</x:v>
      </x:c>
      <x:c r="D1538" s="207" t="str">
        <x:v>Полный банковский периметр</x:v>
      </x:c>
      <x:c r="E1538" s="207" t="str">
        <x:v>Блокирует: Cash, liquidity, owner transfers, balance proof</x:v>
      </x:c>
      <x:c r="F1538" s="207" t="str">
        <x:v>Назначить владельца и предоставить Выгрузка/регистр: Полный банковский периметр</x:v>
      </x:c>
      <x:c r="G1538" s="207" t="str">
        <x:v>Финансы</x:v>
      </x:c>
      <x:c r="H1538" s="207" t="str">
        <x:v>Критический</x:v>
      </x:c>
      <x:c r="I1538" s="207" t="str">
        <x:v>Cash, liquidity, owner transfers, balance proof</x:v>
      </x:c>
      <x:c r="J1538" s="207" t="str">
        <x:v>Банки/финансы</x:v>
      </x:c>
      <x:c r="K1538" s="207" t="str"/>
      <x:c r="L1538" s="207" t="str"/>
      <x:c r="M1538" s="207" t="str">
        <x:v>Не рассмотрено</x:v>
      </x:c>
      <x:c r="N1538" s="207" t="str"/>
      <x:c r="O1538" s="207" t="str">
        <x:v>18</x:v>
      </x:c>
      <x:c r="P1538" s="207" t="n">
        <x:v>4</x:v>
      </x:c>
      <x:c r="Q1538" s="208" t="str">
        <x:v>Wave 1 (0–30 дней)</x:v>
      </x:c>
    </x:row>
    <x:row r="1539">
      <x:c r="A1539" s="206" t="str">
        <x:v>DEC-IG-12</x:v>
      </x:c>
      <x:c r="B1539" s="207" t="str">
        <x:v>Missing data / governance</x:v>
      </x:c>
      <x:c r="C1539" s="207" t="str">
        <x:v>IG-12</x:v>
      </x:c>
      <x:c r="D1539" s="207" t="str">
        <x:v>Касса, карты и подотчёт с движениями</x:v>
      </x:c>
      <x:c r="E1539" s="207" t="str">
        <x:v>Блокирует: Cash roll-forward and fraud/error control</x:v>
      </x:c>
      <x:c r="F1539" s="207" t="str">
        <x:v>Назначить владельца и предоставить Выгрузка/регистр: Касса, карты и подотчёт с движениями</x:v>
      </x:c>
      <x:c r="G1539" s="207" t="str">
        <x:v>Финансы</x:v>
      </x:c>
      <x:c r="H1539" s="207" t="str">
        <x:v>Критический</x:v>
      </x:c>
      <x:c r="I1539" s="207" t="str">
        <x:v>Cash roll-forward and fraud/error control</x:v>
      </x:c>
      <x:c r="J1539" s="207" t="str">
        <x:v>ERP/Cash ledger</x:v>
      </x:c>
      <x:c r="K1539" s="207" t="str"/>
      <x:c r="L1539" s="207" t="str"/>
      <x:c r="M1539" s="207" t="str">
        <x:v>Не рассмотрено</x:v>
      </x:c>
      <x:c r="N1539" s="207" t="str"/>
      <x:c r="O1539" s="207" t="str">
        <x:v>18</x:v>
      </x:c>
      <x:c r="P1539" s="207" t="n">
        <x:v>4</x:v>
      </x:c>
      <x:c r="Q1539" s="208" t="str">
        <x:v>Wave 1 (0–30 дней)</x:v>
      </x:c>
    </x:row>
    <x:row r="1540">
      <x:c r="A1540" s="206" t="str">
        <x:v>DEC-IG-13</x:v>
      </x:c>
      <x:c r="B1540" s="207" t="str">
        <x:v>Missing data / governance</x:v>
      </x:c>
      <x:c r="C1540" s="207" t="str">
        <x:v>IG-13</x:v>
      </x:c>
      <x:c r="D1540" s="207" t="str">
        <x:v>Журнал корректировок и подтверждённые opening balances</x:v>
      </x:c>
      <x:c r="E1540" s="207" t="str">
        <x:v>Блокирует: Historical cash reconstruction and audit trail</x:v>
      </x:c>
      <x:c r="F1540" s="207" t="str">
        <x:v>Назначить владельца и предоставить Выгрузка/регистр: Журнал корректировок и подтверждённые opening balances</x:v>
      </x:c>
      <x:c r="G1540" s="207" t="str">
        <x:v>Финансы</x:v>
      </x:c>
      <x:c r="H1540" s="207" t="str">
        <x:v>Высокий</x:v>
      </x:c>
      <x:c r="I1540" s="207" t="str">
        <x:v>Historical cash reconstruction and audit trail</x:v>
      </x:c>
      <x:c r="J1540" s="207" t="str">
        <x:v>ERP/close register</x:v>
      </x:c>
      <x:c r="K1540" s="207" t="str"/>
      <x:c r="L1540" s="207" t="str"/>
      <x:c r="M1540" s="207" t="str">
        <x:v>Не рассмотрено</x:v>
      </x:c>
      <x:c r="N1540" s="207" t="str"/>
      <x:c r="O1540" s="207" t="str">
        <x:v>18</x:v>
      </x:c>
      <x:c r="P1540" s="207" t="n">
        <x:v>3</x:v>
      </x:c>
      <x:c r="Q1540" s="208" t="str">
        <x:v>Wave 2 (31–60 дней)</x:v>
      </x:c>
    </x:row>
    <x:row r="1541">
      <x:c r="A1541" s="206" t="str">
        <x:v>DEC-IG-14</x:v>
      </x:c>
      <x:c r="B1541" s="207" t="str">
        <x:v>Missing data / governance</x:v>
      </x:c>
      <x:c r="C1541" s="207" t="str">
        <x:v>IG-14</x:v>
      </x:c>
      <x:c r="D1541" s="207" t="str">
        <x:v>Дебиторская и кредиторская задолженность</x:v>
      </x:c>
      <x:c r="E1541" s="207" t="str">
        <x:v>Блокирует: Balance, liquidity, CCC, overdue, net debt</x:v>
      </x:c>
      <x:c r="F1541" s="207" t="str">
        <x:v>Назначить владельца и предоставить Выгрузка/регистр: Дебиторская и кредиторская задолженность</x:v>
      </x:c>
      <x:c r="G1541" s="207" t="str">
        <x:v>Финансы</x:v>
      </x:c>
      <x:c r="H1541" s="207" t="str">
        <x:v>Критический</x:v>
      </x:c>
      <x:c r="I1541" s="207" t="str">
        <x:v>Balance, liquidity, CCC, overdue, net debt</x:v>
      </x:c>
      <x:c r="J1541" s="207" t="str">
        <x:v>ERP/GL</x:v>
      </x:c>
      <x:c r="K1541" s="207" t="str"/>
      <x:c r="L1541" s="207" t="str"/>
      <x:c r="M1541" s="207" t="str">
        <x:v>Не рассмотрено</x:v>
      </x:c>
      <x:c r="N1541" s="207" t="str"/>
      <x:c r="O1541" s="207" t="str">
        <x:v>18</x:v>
      </x:c>
      <x:c r="P1541" s="207" t="n">
        <x:v>4</x:v>
      </x:c>
      <x:c r="Q1541" s="208" t="str">
        <x:v>Wave 1 (0–30 дней)</x:v>
      </x:c>
    </x:row>
    <x:row r="1542">
      <x:c r="A1542" s="206" t="str">
        <x:v>DEC-IG-15</x:v>
      </x:c>
      <x:c r="B1542" s="207" t="str">
        <x:v>Missing data / governance</x:v>
      </x:c>
      <x:c r="C1542" s="207" t="str">
        <x:v>IG-15</x:v>
      </x:c>
      <x:c r="D1542" s="207" t="str">
        <x:v>Управленческий P&amp;L и Balance с методикой close</x:v>
      </x:c>
      <x:c r="E1542" s="207" t="str">
        <x:v>Блокирует: Profit, equity, full liquidity, ROIC</x:v>
      </x:c>
      <x:c r="F1542" s="207" t="str">
        <x:v>Назначить владельца и предоставить Выгрузка/регистр: Управленческий P&amp;L и Balance с методикой close</x:v>
      </x:c>
      <x:c r="G1542" s="207" t="str">
        <x:v>Финансы</x:v>
      </x:c>
      <x:c r="H1542" s="207" t="str">
        <x:v>Критический</x:v>
      </x:c>
      <x:c r="I1542" s="207" t="str">
        <x:v>Profit, equity, full liquidity, ROIC</x:v>
      </x:c>
      <x:c r="J1542" s="207" t="str">
        <x:v>ERP/GL/EPM</x:v>
      </x:c>
      <x:c r="K1542" s="207" t="str"/>
      <x:c r="L1542" s="207" t="str"/>
      <x:c r="M1542" s="207" t="str">
        <x:v>Не рассмотрено</x:v>
      </x:c>
      <x:c r="N1542" s="207" t="str"/>
      <x:c r="O1542" s="207" t="str">
        <x:v>18</x:v>
      </x:c>
      <x:c r="P1542" s="207" t="n">
        <x:v>4</x:v>
      </x:c>
      <x:c r="Q1542" s="208" t="str">
        <x:v>Wave 1 (0–30 дней)</x:v>
      </x:c>
    </x:row>
    <x:row r="1543">
      <x:c r="A1543" s="206" t="str">
        <x:v>DEC-IG-16</x:v>
      </x:c>
      <x:c r="B1543" s="207" t="str">
        <x:v>Missing data / governance</x:v>
      </x:c>
      <x:c r="C1543" s="207" t="str">
        <x:v>IG-16</x:v>
      </x:c>
      <x:c r="D1543" s="207" t="str">
        <x:v>Полный payroll accrual ledger</x:v>
      </x:c>
      <x:c r="E1543" s="207" t="str">
        <x:v>Блокирует: Full labor cost, employee tax reconciliation, accrual/payment lag</x:v>
      </x:c>
      <x:c r="F1543" s="207" t="str">
        <x:v>Назначить владельца и предоставить Выгрузка/регистр: Полный payroll accrual ledger</x:v>
      </x:c>
      <x:c r="G1543" s="207" t="str">
        <x:v>HR + финансы</x:v>
      </x:c>
      <x:c r="H1543" s="207" t="str">
        <x:v>Критический</x:v>
      </x:c>
      <x:c r="I1543" s="207" t="str">
        <x:v>Full labor cost, employee tax reconciliation, accrual/payment lag</x:v>
      </x:c>
      <x:c r="J1543" s="207" t="str">
        <x:v>HRIS/ЗУП</x:v>
      </x:c>
      <x:c r="K1543" s="207" t="str"/>
      <x:c r="L1543" s="207" t="str"/>
      <x:c r="M1543" s="207" t="str">
        <x:v>Не рассмотрено</x:v>
      </x:c>
      <x:c r="N1543" s="207" t="str"/>
      <x:c r="O1543" s="207" t="str">
        <x:v>18</x:v>
      </x:c>
      <x:c r="P1543" s="207" t="n">
        <x:v>4</x:v>
      </x:c>
      <x:c r="Q1543" s="208" t="str">
        <x:v>Wave 1 (0–30 дней)</x:v>
      </x:c>
    </x:row>
    <x:row r="1544">
      <x:c r="A1544" s="206" t="str">
        <x:v>DEC-IG-17</x:v>
      </x:c>
      <x:c r="B1544" s="207" t="str">
        <x:v>Missing data / governance</x:v>
      </x:c>
      <x:c r="C1544" s="207" t="str">
        <x:v>IG-17</x:v>
      </x:c>
      <x:c r="D1544" s="207" t="str">
        <x:v>Исторические операции ЕНС и распределение ЕНП</x:v>
      </x:c>
      <x:c r="E1544" s="207" t="str">
        <x:v>Блокирует: Exact tax payment, arrears, overpayment, penalty</x:v>
      </x:c>
      <x:c r="F1544" s="207" t="str">
        <x:v>Назначить владельца и предоставить Выгрузка/регистр: Исторические операции ЕНС и распределение ЕНП</x:v>
      </x:c>
      <x:c r="G1544" s="207" t="str">
        <x:v>Налоги</x:v>
      </x:c>
      <x:c r="H1544" s="207" t="str">
        <x:v>Критический</x:v>
      </x:c>
      <x:c r="I1544" s="207" t="str">
        <x:v>Exact tax payment, arrears, overpayment, penalty</x:v>
      </x:c>
      <x:c r="J1544" s="207" t="str">
        <x:v>ENS/ФНС</x:v>
      </x:c>
      <x:c r="K1544" s="207" t="str"/>
      <x:c r="L1544" s="207" t="str"/>
      <x:c r="M1544" s="207" t="str">
        <x:v>Не рассмотрено</x:v>
      </x:c>
      <x:c r="N1544" s="207" t="str"/>
      <x:c r="O1544" s="207" t="str">
        <x:v>18</x:v>
      </x:c>
      <x:c r="P1544" s="207" t="n">
        <x:v>4</x:v>
      </x:c>
      <x:c r="Q1544" s="208" t="str">
        <x:v>Wave 1 (0–30 дней)</x:v>
      </x:c>
    </x:row>
    <x:row r="1545">
      <x:c r="A1545" s="206" t="str">
        <x:v>DEC-IG-18</x:v>
      </x:c>
      <x:c r="B1545" s="207" t="str">
        <x:v>Missing data / governance</x:v>
      </x:c>
      <x:c r="C1545" s="207" t="str">
        <x:v>IG-18</x:v>
      </x:c>
      <x:c r="D1545" s="207" t="str">
        <x:v>Регистр налоговых обязательств и уведомлений</x:v>
      </x:c>
      <x:c r="E1545" s="207" t="str">
        <x:v>Блокирует: Monthly tax calendar and due-date control</x:v>
      </x:c>
      <x:c r="F1545" s="207" t="str">
        <x:v>Назначить владельца и предоставить Выгрузка/регистр: Регистр налоговых обязательств и уведомлений</x:v>
      </x:c>
      <x:c r="G1545" s="207" t="str">
        <x:v>Налоги</x:v>
      </x:c>
      <x:c r="H1545" s="207" t="str">
        <x:v>Критический</x:v>
      </x:c>
      <x:c r="I1545" s="207" t="str">
        <x:v>Monthly tax calendar and due-date control</x:v>
      </x:c>
      <x:c r="J1545" s="207" t="str">
        <x:v>Tax ledger</x:v>
      </x:c>
      <x:c r="K1545" s="207" t="str"/>
      <x:c r="L1545" s="207" t="str"/>
      <x:c r="M1545" s="207" t="str">
        <x:v>Не рассмотрено</x:v>
      </x:c>
      <x:c r="N1545" s="207" t="str"/>
      <x:c r="O1545" s="207" t="str">
        <x:v>18</x:v>
      </x:c>
      <x:c r="P1545" s="207" t="n">
        <x:v>4</x:v>
      </x:c>
      <x:c r="Q1545" s="208" t="str">
        <x:v>Wave 1 (0–30 дней)</x:v>
      </x:c>
    </x:row>
    <x:row r="1546">
      <x:c r="A1546" s="206" t="str">
        <x:v>DEC-IG-19</x:v>
      </x:c>
      <x:c r="B1546" s="207" t="str">
        <x:v>Missing data / governance</x:v>
      </x:c>
      <x:c r="C1546" s="207" t="str">
        <x:v>IG-19</x:v>
      </x:c>
      <x:c r="D1546" s="207" t="str">
        <x:v>Помесячный НДФЛ/РСВ и employee-level tax linkage</x:v>
      </x:c>
      <x:c r="E1546" s="207" t="str">
        <x:v>Блокирует: Employee-level and monthly tax reconciliation</x:v>
      </x:c>
      <x:c r="F1546" s="207" t="str">
        <x:v>Назначить владельца и предоставить Выгрузка/регистр: Помесячный НДФЛ/РСВ и employee-level tax linkage</x:v>
      </x:c>
      <x:c r="G1546" s="207" t="str">
        <x:v>HR + налоги</x:v>
      </x:c>
      <x:c r="H1546" s="207" t="str">
        <x:v>Высокий</x:v>
      </x:c>
      <x:c r="I1546" s="207" t="str">
        <x:v>Employee-level and monthly tax reconciliation</x:v>
      </x:c>
      <x:c r="J1546" s="207" t="str">
        <x:v>Payroll/Tax ledger</x:v>
      </x:c>
      <x:c r="K1546" s="207" t="str"/>
      <x:c r="L1546" s="207" t="str"/>
      <x:c r="M1546" s="207" t="str">
        <x:v>Не рассмотрено</x:v>
      </x:c>
      <x:c r="N1546" s="207" t="str"/>
      <x:c r="O1546" s="207" t="str">
        <x:v>18</x:v>
      </x:c>
      <x:c r="P1546" s="207" t="n">
        <x:v>3</x:v>
      </x:c>
      <x:c r="Q1546" s="208" t="str">
        <x:v>Wave 2 (31–60 дней)</x:v>
      </x:c>
    </x:row>
    <x:row r="1547">
      <x:c r="A1547" s="206" t="str">
        <x:v>DEC-IG-20</x:v>
      </x:c>
      <x:c r="B1547" s="207" t="str">
        <x:v>Missing data / governance</x:v>
      </x:c>
      <x:c r="C1547" s="207" t="str">
        <x:v>IG-20</x:v>
      </x:c>
      <x:c r="D1547" s="207" t="str">
        <x:v>Актуальные справки ЕНС и история по ООО ДЕКОР</x:v>
      </x:c>
      <x:c r="E1547" s="207" t="str">
        <x:v>Блокирует: Current tax exposure for all entities</x:v>
      </x:c>
      <x:c r="F1547" s="207" t="str">
        <x:v>Назначить владельца и предоставить Выгрузка/регистр: Актуальные справки ЕНС и история по ООО ДЕКОР</x:v>
      </x:c>
      <x:c r="G1547" s="207" t="str">
        <x:v>Налоги</x:v>
      </x:c>
      <x:c r="H1547" s="207" t="str">
        <x:v>Высокий</x:v>
      </x:c>
      <x:c r="I1547" s="207" t="str">
        <x:v>Current tax exposure for all entities</x:v>
      </x:c>
      <x:c r="J1547" s="207" t="str">
        <x:v>ФНС/налоги</x:v>
      </x:c>
      <x:c r="K1547" s="207" t="str"/>
      <x:c r="L1547" s="207" t="str"/>
      <x:c r="M1547" s="207" t="str">
        <x:v>Не рассмотрено</x:v>
      </x:c>
      <x:c r="N1547" s="207" t="str"/>
      <x:c r="O1547" s="207" t="str">
        <x:v>18</x:v>
      </x:c>
      <x:c r="P1547" s="207" t="n">
        <x:v>3</x:v>
      </x:c>
      <x:c r="Q1547" s="208" t="str">
        <x:v>Wave 2 (31–60 дней)</x:v>
      </x:c>
    </x:row>
    <x:row r="1548">
      <x:c r="A1548" s="206" t="str">
        <x:v>DEC-IG-21</x:v>
      </x:c>
      <x:c r="B1548" s="207" t="str">
        <x:v>Missing data / governance</x:v>
      </x:c>
      <x:c r="C1548" s="207" t="str">
        <x:v>IG-21</x:v>
      </x:c>
      <x:c r="D1548" s="207" t="str">
        <x:v>Полный договорный реестр и ключевые условия</x:v>
      </x:c>
      <x:c r="E1548" s="207" t="str">
        <x:v>Блокирует: Contract risk, supplier/channel terms, liability</x:v>
      </x:c>
      <x:c r="F1548" s="207" t="str">
        <x:v>Назначить владельца и предоставить Выгрузка/регистр: Полный договорный реестр и ключевые условия</x:v>
      </x:c>
      <x:c r="G1548" s="207" t="str">
        <x:v>Юристы</x:v>
      </x:c>
      <x:c r="H1548" s="207" t="str">
        <x:v>Высокий</x:v>
      </x:c>
      <x:c r="I1548" s="207" t="str">
        <x:v>Contract risk, supplier/channel terms, liability</x:v>
      </x:c>
      <x:c r="J1548" s="207" t="str">
        <x:v>DMS/юристы</x:v>
      </x:c>
      <x:c r="K1548" s="207" t="str"/>
      <x:c r="L1548" s="207" t="str"/>
      <x:c r="M1548" s="207" t="str">
        <x:v>Не рассмотрено</x:v>
      </x:c>
      <x:c r="N1548" s="207" t="str"/>
      <x:c r="O1548" s="207" t="str">
        <x:v>18</x:v>
      </x:c>
      <x:c r="P1548" s="207" t="n">
        <x:v>3</x:v>
      </x:c>
      <x:c r="Q1548" s="208" t="str">
        <x:v>Wave 2 (31–60 дней)</x:v>
      </x:c>
    </x:row>
    <x:row r="1549">
      <x:c r="A1549" s="206" t="str">
        <x:v>DEC-IG-22</x:v>
      </x:c>
      <x:c r="B1549" s="207" t="str">
        <x:v>Missing data / governance</x:v>
      </x:c>
      <x:c r="C1549" s="207" t="str">
        <x:v>IG-22</x:v>
      </x:c>
      <x:c r="D1549" s="207" t="str">
        <x:v>RACI, лимиты и владельцы источников истины</x:v>
      </x:c>
      <x:c r="E1549" s="207" t="str">
        <x:v>Блокирует: Sustainable close, change control and accountability</x:v>
      </x:c>
      <x:c r="F1549" s="207" t="str">
        <x:v>Назначить владельца и предоставить Выгрузка/регистр: RACI, лимиты и владельцы источников истины</x:v>
      </x:c>
      <x:c r="G1549" s="207" t="str">
        <x:v>Руководство</x:v>
      </x:c>
      <x:c r="H1549" s="207" t="str">
        <x:v>Критический</x:v>
      </x:c>
      <x:c r="I1549" s="207" t="str">
        <x:v>Sustainable close, change control and accountability</x:v>
      </x:c>
      <x:c r="J1549" s="207" t="str">
        <x:v>GRC/DMS</x:v>
      </x:c>
      <x:c r="K1549" s="207" t="str"/>
      <x:c r="L1549" s="207" t="str"/>
      <x:c r="M1549" s="207" t="str">
        <x:v>Не рассмотрено</x:v>
      </x:c>
      <x:c r="N1549" s="207" t="str"/>
      <x:c r="O1549" s="207" t="str">
        <x:v>18</x:v>
      </x:c>
      <x:c r="P1549" s="207" t="n">
        <x:v>4</x:v>
      </x:c>
      <x:c r="Q1549" s="208" t="str">
        <x:v>Wave 1 (0–30 дней)</x:v>
      </x:c>
    </x:row>
    <x:row r="1550">
      <x:c r="A1550" s="206" t="str">
        <x:v>DEC-IG-23</x:v>
      </x:c>
      <x:c r="B1550" s="207" t="str">
        <x:v>Missing data / governance</x:v>
      </x:c>
      <x:c r="C1550" s="207" t="str">
        <x:v>IG-23</x:v>
      </x:c>
      <x:c r="D1550" s="207" t="str">
        <x:v>Версионный реестр документов и master data</x:v>
      </x:c>
      <x:c r="E1550" s="207" t="str">
        <x:v>Блокирует: Reproducibility, rollback, audit trail</x:v>
      </x:c>
      <x:c r="F1550" s="207" t="str">
        <x:v>Назначить владельца и предоставить Выгрузка/регистр: Версионный реестр документов и master data</x:v>
      </x:c>
      <x:c r="G1550" s="207" t="str">
        <x:v>Data steward</x:v>
      </x:c>
      <x:c r="H1550" s="207" t="str">
        <x:v>Высокий</x:v>
      </x:c>
      <x:c r="I1550" s="207" t="str">
        <x:v>Reproducibility, rollback, audit trail</x:v>
      </x:c>
      <x:c r="J1550" s="207" t="str">
        <x:v>Data catalog/DMS</x:v>
      </x:c>
      <x:c r="K1550" s="207" t="str"/>
      <x:c r="L1550" s="207" t="str"/>
      <x:c r="M1550" s="207" t="str">
        <x:v>Не рассмотрено</x:v>
      </x:c>
      <x:c r="N1550" s="207" t="str"/>
      <x:c r="O1550" s="207" t="str">
        <x:v>18</x:v>
      </x:c>
      <x:c r="P1550" s="207" t="n">
        <x:v>3</x:v>
      </x:c>
      <x:c r="Q1550" s="208" t="str">
        <x:v>Wave 2 (31–60 дней)</x:v>
      </x:c>
    </x:row>
    <x:row r="1551">
      <x:c r="A1551" s="209" t="str">
        <x:v>DEC-IG-24</x:v>
      </x:c>
      <x:c r="B1551" s="210" t="str">
        <x:v>Missing data / governance</x:v>
      </x:c>
      <x:c r="C1551" s="210" t="str">
        <x:v>IG-24</x:v>
      </x:c>
      <x:c r="D1551" s="210" t="str">
        <x:v>Корпоративный словарь данных и data contracts</x:v>
      </x:c>
      <x:c r="E1551" s="210" t="str">
        <x:v>Блокирует: Stable joins and automated validation</x:v>
      </x:c>
      <x:c r="F1551" s="210" t="str">
        <x:v>Назначить владельца и предоставить Выгрузка/регистр: Корпоративный словарь данных и data contracts</x:v>
      </x:c>
      <x:c r="G1551" s="210" t="str">
        <x:v>Data steward + owners</x:v>
      </x:c>
      <x:c r="H1551" s="210" t="str">
        <x:v>Высокий</x:v>
      </x:c>
      <x:c r="I1551" s="210" t="str">
        <x:v>Stable joins and automated validation</x:v>
      </x:c>
      <x:c r="J1551" s="210" t="str">
        <x:v>Data catalog</x:v>
      </x:c>
      <x:c r="K1551" s="210" t="str"/>
      <x:c r="L1551" s="210" t="str"/>
      <x:c r="M1551" s="210" t="str">
        <x:v>Не рассмотрено</x:v>
      </x:c>
      <x:c r="N1551" s="210" t="str"/>
      <x:c r="O1551" s="210" t="str">
        <x:v>18</x:v>
      </x:c>
      <x:c r="P1551" s="210" t="n">
        <x:v>3</x:v>
      </x:c>
      <x:c r="Q1551" s="211" t="str">
        <x:v>Wave 2 (31–60 дней)</x:v>
      </x:c>
    </x:row>
  </x:sheetData>
  <x:mergeCells>
    <x:mergeCell ref="A1:Q1"/>
    <x:mergeCell ref="A2:Q2"/>
  </x:mergeCells>
  <x:conditionalFormatting sqref="M5:M1551">
    <x:cfRule type="expression" dxfId="99" priority="1">
      <x:formula>ISNUMBER(SEARCH("Подтверж",M5))</x:formula>
    </x:cfRule>
    <x:cfRule type="expression" dxfId="100" priority="2">
      <x:formula>OR(ISNUMBER(SEARCH("Част",M5)),ISNUMBER(SEARCH("оговор",M5)),ISNUMBER(SEARCH("агрегат",M5)))</x:formula>
    </x:cfRule>
    <x:cfRule type="expression" dxfId="101" priority="3">
      <x:formula>OR(ISNUMBER(SEARCH("Отсутств",M5)),ISNUMBER(SEARCH("Невозмож",M5)),ISNUMBER(SEARCH("Заблок",M5)))</x:formula>
    </x:cfRule>
  </x:conditionalFormatting>
  <x:conditionalFormatting sqref="H5:H1551">
    <x:cfRule type="expression" dxfId="102" priority="4">
      <x:formula>ISNUMBER(SEARCH("Крит",H5))</x:formula>
    </x:cfRule>
    <x:cfRule type="expression" dxfId="103" priority="5">
      <x:formula>ISNUMBER(SEARCH("Выс",H5))</x:formula>
    </x:cfRule>
  </x:conditionalFormatting>
  <x:dataValidations count="2">
    <x:dataValidation type="list" sqref="K5:K1551">
      <x:formula1>"Подтвердить,Отклонить,Запросить данные,Отложить"</x:formula1>
    </x:dataValidation>
    <x:dataValidation type="list" sqref="M5:M1551">
      <x:formula1>"Не рассмотрено,В работе,На согласовании,Закрыто,Отклонено"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28" hidden="0" customWidth="1"/>
    <x:col min="4" max="4" width="28" hidden="0" customWidth="1"/>
    <x:col min="5" max="5" width="32" hidden="0" customWidth="1"/>
  </x:cols>
  <x:sheetData>
    <x:row r="1" ht="28" customHeight="1">
      <x:c r="A1" s="5" t="str">
        <x:v>RACI И ВЛАДЕЛЬЦЫ ИСТОЧНИКОВ ИСТИНЫ</x:v>
      </x:c>
      <x:c r="B1" s="5"/>
      <x:c r="C1" s="5"/>
      <x:c r="D1" s="5"/>
      <x:c r="E1" s="5"/>
    </x:row>
    <x:row r="2" ht="22" customHeight="1">
      <x:c r="A2" s="14" t="str">
        <x:v>Accountable/Responsible/Approver должны быть утверждены приказом или регламентом. Сейчас это проект распределения.</x:v>
      </x:c>
      <x:c r="B2" s="14"/>
      <x:c r="C2" s="14"/>
      <x:c r="D2" s="14"/>
      <x:c r="E2" s="14"/>
    </x:row>
    <x:row r="4" ht="28" customHeight="1">
      <x:c r="A4" s="169" t="str">
        <x:v>object</x:v>
      </x:c>
      <x:c r="B4" s="170" t="str">
        <x:v>accountable</x:v>
      </x:c>
      <x:c r="C4" s="170" t="str">
        <x:v>responsible</x:v>
      </x:c>
      <x:c r="D4" s="170" t="str">
        <x:v>approver</x:v>
      </x:c>
      <x:c r="E4" s="171" t="str">
        <x:v>consulted_informed</x:v>
      </x:c>
    </x:row>
    <x:row r="5">
      <x:c r="A5" s="203" t="str">
        <x:v>Юридические лица/счета</x:v>
      </x:c>
      <x:c r="B5" s="204" t="str">
        <x:v>Финансы</x:v>
      </x:c>
      <x:c r="C5" s="204" t="str">
        <x:v>Финансы</x:v>
      </x:c>
      <x:c r="D5" s="204" t="str">
        <x:v>Руководство</x:v>
      </x:c>
      <x:c r="E5" s="205" t="str">
        <x:v>Юристы/аналитика</x:v>
      </x:c>
    </x:row>
    <x:row r="6">
      <x:c r="A6" s="206" t="str">
        <x:v>Платежи/ДДС/закрытие</x:v>
      </x:c>
      <x:c r="B6" s="207" t="str">
        <x:v>Финансы</x:v>
      </x:c>
      <x:c r="C6" s="207" t="str">
        <x:v>Финансы</x:v>
      </x:c>
      <x:c r="D6" s="207" t="str">
        <x:v>Финансовый директор/руководство</x:v>
      </x:c>
      <x:c r="E6" s="208" t="str">
        <x:v>Коммерция/аналитика</x:v>
      </x:c>
    </x:row>
    <x:row r="7">
      <x:c r="A7" s="206" t="str">
        <x:v>Сотрудники/ФОТ</x:v>
      </x:c>
      <x:c r="B7" s="207" t="str">
        <x:v>HR</x:v>
      </x:c>
      <x:c r="C7" s="207" t="str">
        <x:v>HR/расчётчик</x:v>
      </x:c>
      <x:c r="D7" s="207" t="str">
        <x:v>Руководство/финансы</x:v>
      </x:c>
      <x:c r="E7" s="208" t="str">
        <x:v>Налоги/аналитика</x:v>
      </x:c>
    </x:row>
    <x:row r="8">
      <x:c r="A8" s="206" t="str">
        <x:v>Налоговые обязательства/ЕНС</x:v>
      </x:c>
      <x:c r="B8" s="207" t="str">
        <x:v>Налоги/бухгалтерия</x:v>
      </x:c>
      <x:c r="C8" s="207" t="str">
        <x:v>Налоги/бухгалтерия</x:v>
      </x:c>
      <x:c r="D8" s="207" t="str">
        <x:v>Финансы</x:v>
      </x:c>
      <x:c r="E8" s="208" t="str">
        <x:v>Руководство/аналитика</x:v>
      </x:c>
    </x:row>
    <x:row r="9">
      <x:c r="A9" s="206" t="str">
        <x:v>Коллекции/модели/SKU</x:v>
      </x:c>
      <x:c r="B9" s="207" t="str">
        <x:v>Продуктовый блок</x:v>
      </x:c>
      <x:c r="C9" s="207" t="str">
        <x:v>Data steward продукта</x:v>
      </x:c>
      <x:c r="D9" s="207" t="str">
        <x:v>Коммерческий/креативный руководитель</x:v>
      </x:c>
      <x:c r="E9" s="208" t="str">
        <x:v>Производство/финансы</x:v>
      </x:c>
    </x:row>
    <x:row r="10">
      <x:c r="A10" s="206" t="str">
        <x:v>BOM/технология</x:v>
      </x:c>
      <x:c r="B10" s="207" t="str">
        <x:v>Технолог</x:v>
      </x:c>
      <x:c r="C10" s="207" t="str">
        <x:v>Технолог</x:v>
      </x:c>
      <x:c r="D10" s="207" t="str">
        <x:v>Производство/продукт</x:v>
      </x:c>
      <x:c r="E10" s="208" t="str">
        <x:v>Закупки/финансы</x:v>
      </x:c>
    </x:row>
    <x:row r="11">
      <x:c r="A11" s="206" t="str">
        <x:v>Материалы/партии</x:v>
      </x:c>
      <x:c r="B11" s="207" t="str">
        <x:v>Закупки/склад</x:v>
      </x:c>
      <x:c r="C11" s="207" t="str">
        <x:v>Складской data steward</x:v>
      </x:c>
      <x:c r="D11" s="207" t="str">
        <x:v>Закупки/финансы</x:v>
      </x:c>
      <x:c r="E11" s="208" t="str">
        <x:v>Производство</x:v>
      </x:c>
    </x:row>
    <x:row r="12">
      <x:c r="A12" s="206" t="str">
        <x:v>Production orders/WIP</x:v>
      </x:c>
      <x:c r="B12" s="207" t="str">
        <x:v>Производство</x:v>
      </x:c>
      <x:c r="C12" s="207" t="str">
        <x:v>Планирование производства</x:v>
      </x:c>
      <x:c r="D12" s="207" t="str">
        <x:v>Руководитель производства</x:v>
      </x:c>
      <x:c r="E12" s="208" t="str">
        <x:v>Финансы/склад</x:v>
      </x:c>
    </x:row>
    <x:row r="13">
      <x:c r="A13" s="206" t="str">
        <x:v>Операции/часы/брак</x:v>
      </x:c>
      <x:c r="B13" s="207" t="str">
        <x:v>Производство</x:v>
      </x:c>
      <x:c r="C13" s="207" t="str">
        <x:v>Участки/мастера</x:v>
      </x:c>
      <x:c r="D13" s="207" t="str">
        <x:v>Руководитель производства</x:v>
      </x:c>
      <x:c r="E13" s="208" t="str">
        <x:v>HR/финансы</x:v>
      </x:c>
    </x:row>
    <x:row r="14">
      <x:c r="A14" s="206" t="str">
        <x:v>Cost versions</x:v>
      </x:c>
      <x:c r="B14" s="207" t="str">
        <x:v>Финансы</x:v>
      </x:c>
      <x:c r="C14" s="207" t="str">
        <x:v>Cost accountant</x:v>
      </x:c>
      <x:c r="D14" s="207" t="str">
        <x:v>Финансовый директор</x:v>
      </x:c>
      <x:c r="E14" s="208" t="str">
        <x:v>Продукт/производство</x:v>
      </x:c>
    </x:row>
    <x:row r="15">
      <x:c r="A15" s="206" t="str">
        <x:v>Продажи/возвраты</x:v>
      </x:c>
      <x:c r="B15" s="207" t="str">
        <x:v>Коммерция</x:v>
      </x:c>
      <x:c r="C15" s="207" t="str">
        <x:v>POS/CRM owner</x:v>
      </x:c>
      <x:c r="D15" s="207" t="str">
        <x:v>Коммерческий директор</x:v>
      </x:c>
      <x:c r="E15" s="208" t="str">
        <x:v>Склад/финансы</x:v>
      </x:c>
    </x:row>
    <x:row r="16">
      <x:c r="A16" s="206" t="str">
        <x:v>Settlement/AR</x:v>
      </x:c>
      <x:c r="B16" s="207" t="str">
        <x:v>Финансы</x:v>
      </x:c>
      <x:c r="C16" s="207" t="str">
        <x:v>Коммерция + финансы</x:v>
      </x:c>
      <x:c r="D16" s="207" t="str">
        <x:v>Финансовый директор</x:v>
      </x:c>
      <x:c r="E16" s="208" t="str">
        <x:v>Аналитика</x:v>
      </x:c>
    </x:row>
    <x:row r="17">
      <x:c r="A17" s="206" t="str">
        <x:v>Договоры/лимиты</x:v>
      </x:c>
      <x:c r="B17" s="207" t="str">
        <x:v>Юристы</x:v>
      </x:c>
      <x:c r="C17" s="207" t="str">
        <x:v>DMS steward</x:v>
      </x:c>
      <x:c r="D17" s="207" t="str">
        <x:v>Руководство</x:v>
      </x:c>
      <x:c r="E17" s="208" t="str">
        <x:v>Финансы/закупки</x:v>
      </x:c>
    </x:row>
    <x:row r="18">
      <x:c r="A18" s="206" t="str">
        <x:v>Data catalog/versioning</x:v>
      </x:c>
      <x:c r="B18" s="207" t="str">
        <x:v>Data steward</x:v>
      </x:c>
      <x:c r="C18" s="207" t="str">
        <x:v>Data steward</x:v>
      </x:c>
      <x:c r="D18" s="207" t="str">
        <x:v>Data governance owner</x:v>
      </x:c>
      <x:c r="E18" s="208" t="str">
        <x:v>Все владельцы</x:v>
      </x:c>
    </x:row>
    <x:row r="19">
      <x:c r="A19" s="209" t="str">
        <x:v>BI/аналитика</x:v>
      </x:c>
      <x:c r="B19" s="210" t="str">
        <x:v>Аналитика</x:v>
      </x:c>
      <x:c r="C19" s="210" t="str">
        <x:v>Data engineering/аналитика</x:v>
      </x:c>
      <x:c r="D19" s="210" t="str">
        <x:v>Владелец бизнеса</x:v>
      </x:c>
      <x:c r="E19" s="211" t="str">
        <x:v>Все функции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6" hidden="0" customWidth="1"/>
    <x:col min="4" max="4" width="48" hidden="0" customWidth="1"/>
    <x:col min="5" max="5" width="28" hidden="0" customWidth="1"/>
    <x:col min="6" max="6" width="24" hidden="0" customWidth="1"/>
    <x:col min="7" max="7" width="18" hidden="0" customWidth="1"/>
    <x:col min="8" max="8" width="12" hidden="0" customWidth="1"/>
  </x:cols>
  <x:sheetData>
    <x:row r="1" ht="28" customHeight="1">
      <x:c r="A1" s="5" t="str">
        <x:v>ПЛАН ЗАКРЫТИЯ ПРОБЕЛОВ И НАСТРОЙКИ СВЯЗЕЙ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4" t="str">
        <x:v>Последовательность учитывает зависимости: сначала владельцы/ID/versioning, затем транзакционные регистры, после — полный close и BI.</x:v>
      </x:c>
      <x:c r="B2" s="14"/>
      <x:c r="C2" s="14"/>
      <x:c r="D2" s="14"/>
      <x:c r="E2" s="14"/>
      <x:c r="F2" s="14"/>
      <x:c r="G2" s="14"/>
      <x:c r="H2" s="14"/>
    </x:row>
    <x:row r="4" ht="28" customHeight="1">
      <x:c r="A4" s="169" t="str">
        <x:v>step</x:v>
      </x:c>
      <x:c r="B4" s="170" t="str">
        <x:v>period</x:v>
      </x:c>
      <x:c r="C4" s="170" t="str">
        <x:v>workstream</x:v>
      </x:c>
      <x:c r="D4" s="170" t="str">
        <x:v>deliverable</x:v>
      </x:c>
      <x:c r="E4" s="170" t="str">
        <x:v>owner</x:v>
      </x:c>
      <x:c r="F4" s="170" t="str">
        <x:v>gaps_closed</x:v>
      </x:c>
      <x:c r="G4" s="170" t="str">
        <x:v>status</x:v>
      </x:c>
      <x:c r="H4" s="171" t="str">
        <x:v>progress_pct</x:v>
      </x:c>
    </x:row>
    <x:row r="5">
      <x:c r="A5" s="203" t="n">
        <x:v>1</x:v>
      </x:c>
      <x:c r="B5" s="204" t="str">
        <x:v>0–10 дней</x:v>
      </x:c>
      <x:c r="C5" s="204" t="str">
        <x:v>Зафиксировать периметр и владельцев</x:v>
      </x:c>
      <x:c r="D5" s="204" t="str">
        <x:v>Подписанный список юрлиц, счетов, систем, складов, каналов; RACI</x:v>
      </x:c>
      <x:c r="E5" s="204" t="str">
        <x:v>Руководство + финансы</x:v>
      </x:c>
      <x:c r="F5" s="204" t="str">
        <x:v>IG-11; IG-22</x:v>
      </x:c>
      <x:c r="G5" s="204" t="str">
        <x:v>Не начато</x:v>
      </x:c>
      <x:c r="H5" s="245" t="n">
        <x:v>0</x:v>
      </x:c>
    </x:row>
    <x:row r="6">
      <x:c r="A6" s="206" t="n">
        <x:v>2</x:v>
      </x:c>
      <x:c r="B6" s="207" t="str">
        <x:v>0–15 дней</x:v>
      </x:c>
      <x:c r="C6" s="207" t="str">
        <x:v>Утвердить canonical IDs и data contracts</x:v>
      </x:c>
      <x:c r="D6" s="207" t="str">
        <x:v>canonical_sku, model_id, material_id, production_order_id, source_file_id</x:v>
      </x:c>
      <x:c r="E6" s="207" t="str">
        <x:v>Data steward + owners</x:v>
      </x:c>
      <x:c r="F6" s="207" t="str">
        <x:v>IG-01; IG-23; IG-24</x:v>
      </x:c>
      <x:c r="G6" s="207" t="str">
        <x:v>Не начато</x:v>
      </x:c>
      <x:c r="H6" s="246" t="n">
        <x:v>0</x:v>
      </x:c>
    </x:row>
    <x:row r="7">
      <x:c r="A7" s="206" t="n">
        <x:v>3</x:v>
      </x:c>
      <x:c r="B7" s="207" t="str">
        <x:v>0–30 дней</x:v>
      </x:c>
      <x:c r="C7" s="207" t="str">
        <x:v>Закрыть критическую очередь решений</x:v>
      </x:c>
      <x:c r="D7" s="207" t="str">
        <x:v>124 SKU mappings, 234 cost decisions, supplier/material conflicts</x:v>
      </x:c>
      <x:c r="E7" s="207" t="str">
        <x:v>Продукт/финансы/закупки</x:v>
      </x:c>
      <x:c r="F7" s="207" t="str">
        <x:v>IG-01; IG-04</x:v>
      </x:c>
      <x:c r="G7" s="207" t="str">
        <x:v>Не начато</x:v>
      </x:c>
      <x:c r="H7" s="246" t="n">
        <x:v>0</x:v>
      </x:c>
    </x:row>
    <x:row r="8">
      <x:c r="A8" s="206" t="n">
        <x:v>4</x:v>
      </x:c>
      <x:c r="B8" s="207" t="str">
        <x:v>0–30 дней</x:v>
      </x:c>
      <x:c r="C8" s="207" t="str">
        <x:v>Ввести version registry и quarantine</x:v>
      </x:c>
      <x:c r="D8" s="207" t="str">
        <x:v>Версии, статусы Draft/Approved/Posted/Closed, exception IDs</x:v>
      </x:c>
      <x:c r="E8" s="207" t="str">
        <x:v>Data steward</x:v>
      </x:c>
      <x:c r="F8" s="207" t="str">
        <x:v>IG-23</x:v>
      </x:c>
      <x:c r="G8" s="207" t="str">
        <x:v>Не начато</x:v>
      </x:c>
      <x:c r="H8" s="246" t="n">
        <x:v>0</x:v>
      </x:c>
    </x:row>
    <x:row r="9">
      <x:c r="A9" s="206" t="n">
        <x:v>5</x:v>
      </x:c>
      <x:c r="B9" s="207" t="str">
        <x:v>15–45 дней</x:v>
      </x:c>
      <x:c r="C9" s="207" t="str">
        <x:v>Создать bank/cash/adjustment registers</x:v>
      </x:c>
      <x:c r="D9" s="207" t="str">
        <x:v>Полный account perimeter, cash movements, signed openings</x:v>
      </x:c>
      <x:c r="E9" s="207" t="str">
        <x:v>Финансы</x:v>
      </x:c>
      <x:c r="F9" s="207" t="str">
        <x:v>IG-11; IG-12; IG-13</x:v>
      </x:c>
      <x:c r="G9" s="207" t="str">
        <x:v>Не начато</x:v>
      </x:c>
      <x:c r="H9" s="246" t="n">
        <x:v>0</x:v>
      </x:c>
    </x:row>
    <x:row r="10">
      <x:c r="A10" s="206" t="n">
        <x:v>6</x:v>
      </x:c>
      <x:c r="B10" s="207" t="str">
        <x:v>15–60 дней</x:v>
      </x:c>
      <x:c r="C10" s="207" t="str">
        <x:v>Создать payroll/tax obligations ledger</x:v>
      </x:c>
      <x:c r="D10" s="207" t="str">
        <x:v>employee/accrual/registry/obligation/ENS allocation links</x:v>
      </x:c>
      <x:c r="E10" s="207" t="str">
        <x:v>HR + налоги</x:v>
      </x:c>
      <x:c r="F10" s="207" t="str">
        <x:v>IG-16; IG-17; IG-18; IG-19</x:v>
      </x:c>
      <x:c r="G10" s="207" t="str">
        <x:v>Не начато</x:v>
      </x:c>
      <x:c r="H10" s="246" t="n">
        <x:v>0</x:v>
      </x:c>
    </x:row>
    <x:row r="11">
      <x:c r="A11" s="206" t="n">
        <x:v>7</x:v>
      </x:c>
      <x:c r="B11" s="207" t="str">
        <x:v>30–60 дней</x:v>
      </x:c>
      <x:c r="C11" s="207" t="str">
        <x:v>Создать material lot + procurement registers</x:v>
      </x:c>
      <x:c r="D11" s="207" t="str">
        <x:v>request→PO→GRN→lot→issue→payment</x:v>
      </x:c>
      <x:c r="E11" s="207" t="str">
        <x:v>Закупки + склад</x:v>
      </x:c>
      <x:c r="F11" s="207" t="str">
        <x:v>IG-05; IG-08</x:v>
      </x:c>
      <x:c r="G11" s="207" t="str">
        <x:v>Не начато</x:v>
      </x:c>
      <x:c r="H11" s="246" t="n">
        <x:v>0</x:v>
      </x:c>
    </x:row>
    <x:row r="12">
      <x:c r="A12" s="206" t="n">
        <x:v>8</x:v>
      </x:c>
      <x:c r="B12" s="207" t="str">
        <x:v>30–75 дней</x:v>
      </x:c>
      <x:c r="C12" s="207" t="str">
        <x:v>Создать production/WIP/operation registers</x:v>
      </x:c>
      <x:c r="D12" s="207" t="str">
        <x:v>PO, operations, hours, defects, output, WIP stage</x:v>
      </x:c>
      <x:c r="E12" s="207" t="str">
        <x:v>Производство</x:v>
      </x:c>
      <x:c r="F12" s="207" t="str">
        <x:v>IG-03; IG-10</x:v>
      </x:c>
      <x:c r="G12" s="207" t="str">
        <x:v>Не начато</x:v>
      </x:c>
      <x:c r="H12" s="246" t="n">
        <x:v>0</x:v>
      </x:c>
    </x:row>
    <x:row r="13">
      <x:c r="A13" s="206" t="n">
        <x:v>9</x:v>
      </x:c>
      <x:c r="B13" s="207" t="str">
        <x:v>45–75 дней</x:v>
      </x:c>
      <x:c r="C13" s="207" t="str">
        <x:v>Создать FG movement + sales line + settlement</x:v>
      </x:c>
      <x:c r="D13" s="207" t="str">
        <x:v>Inventory issue/return, sales lines, commissions, payment allocations</x:v>
      </x:c>
      <x:c r="E13" s="207" t="str">
        <x:v>Склад + коммерция + финансы</x:v>
      </x:c>
      <x:c r="F13" s="207" t="str">
        <x:v>IG-02; IG-07; IG-09</x:v>
      </x:c>
      <x:c r="G13" s="207" t="str">
        <x:v>Не начато</x:v>
      </x:c>
      <x:c r="H13" s="246" t="n">
        <x:v>0</x:v>
      </x:c>
    </x:row>
    <x:row r="14">
      <x:c r="A14" s="206" t="n">
        <x:v>10</x:v>
      </x:c>
      <x:c r="B14" s="207" t="str">
        <x:v>60–90 дней</x:v>
      </x:c>
      <x:c r="C14" s="207" t="str">
        <x:v>Провести пилот полного close</x:v>
      </x:c>
      <x:c r="D14" s="207" t="str">
        <x:v>P&amp;L/Balance/CF за один месяц с stop-gates</x:v>
      </x:c>
      <x:c r="E14" s="207" t="str">
        <x:v>Финансы + аналитика</x:v>
      </x:c>
      <x:c r="F14" s="207" t="str">
        <x:v>IG-14; IG-15</x:v>
      </x:c>
      <x:c r="G14" s="207" t="str">
        <x:v>Не начато</x:v>
      </x:c>
      <x:c r="H14" s="246" t="n">
        <x:v>0</x:v>
      </x:c>
    </x:row>
    <x:row r="15">
      <x:c r="A15" s="206" t="n">
        <x:v>11</x:v>
      </x:c>
      <x:c r="B15" s="207" t="str">
        <x:v>60–90 дней</x:v>
      </x:c>
      <x:c r="C15" s="207" t="str">
        <x:v>Трассировать 10–15 операций end-to-end</x:v>
      </x:c>
      <x:c r="D15" s="207" t="str">
        <x:v>Order→SKU→material→production→stock→sale→payment</x:v>
      </x:c>
      <x:c r="E15" s="207" t="str">
        <x:v>Аналитика + owners</x:v>
      </x:c>
      <x:c r="F15" s="207" t="str">
        <x:v>Все критические</x:v>
      </x:c>
      <x:c r="G15" s="207" t="str">
        <x:v>Не начато</x:v>
      </x:c>
      <x:c r="H15" s="246" t="n">
        <x:v>0</x:v>
      </x:c>
    </x:row>
    <x:row r="16">
      <x:c r="A16" s="209" t="n">
        <x:v>12</x:v>
      </x:c>
      <x:c r="B16" s="210" t="str">
        <x:v>90+ дней</x:v>
      </x:c>
      <x:c r="C16" s="210" t="str">
        <x:v>Автоматизировать DWH/BI и блокировку периода</x:v>
      </x:c>
      <x:c r="D16" s="210" t="str">
        <x:v>Automated controls, dashboards, audit trail</x:v>
      </x:c>
      <x:c r="E16" s="210" t="str">
        <x:v>IT/Data + owners</x:v>
      </x:c>
      <x:c r="F16" s="210" t="str">
        <x:v>После закрытия Waves 1–3</x:v>
      </x:c>
      <x:c r="G16" s="210" t="str">
        <x:v>Не начато</x:v>
      </x:c>
      <x:c r="H16" s="247" t="n">
        <x:v>0</x:v>
      </x:c>
    </x:row>
  </x:sheetData>
  <x:mergeCells>
    <x:mergeCell ref="A1:H1"/>
    <x:mergeCell ref="A2:H2"/>
  </x:mergeCells>
  <x:conditionalFormatting sqref="G5:G16">
    <x:cfRule type="expression" dxfId="104" priority="1">
      <x:formula>ISNUMBER(SEARCH("Подтверж",G5))</x:formula>
    </x:cfRule>
    <x:cfRule type="expression" dxfId="105" priority="2">
      <x:formula>OR(ISNUMBER(SEARCH("Част",G5)),ISNUMBER(SEARCH("оговор",G5)),ISNUMBER(SEARCH("агрегат",G5)))</x:formula>
    </x:cfRule>
    <x:cfRule type="expression" dxfId="106" priority="3">
      <x:formula>OR(ISNUMBER(SEARCH("Отсутств",G5)),ISNUMBER(SEARCH("Невозмож",G5)),ISNUMBER(SEARCH("Заблок",G5)))</x:formula>
    </x:cfRule>
  </x:conditionalFormatting>
  <x:conditionalFormatting sqref="H5:H16">
    <x:cfRule type="dataBar" priority="4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{8FBDAF12-1962-A1CB-C606-3FAEB363D819}</x14:id>
        </x:ext>
      </x:extLst>
    </x:cfRule>
  </x:conditionalFormatting>
  <x:dataValidations count="1">
    <x:dataValidation type="list" sqref="G5:G16">
      <x:formula1>"Не начато,В работе,На согласовании,Завершено,Заблокировано"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8FBDAF12-1962-A1CB-C606-3FAEB363D819}">
            <x14:dataBar gradient="1">
              <x14:cfvo type="min"/>
              <x14:cfvo type="max"/>
              <x14:fillColor rgb="FF5B9BD5"/>
            </x14:dataBar>
          </x14:cfRule>
          <xm:sqref>H5:H16</xm:sqref>
        </x14:conditionalFormatting>
      </x14:conditionalFormattings>
    </x:ext>
  </x:extLst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4" hidden="0" customWidth="1"/>
    <x:col min="4" max="4" width="22" hidden="0" customWidth="1"/>
    <x:col min="5" max="5" width="28" hidden="0" customWidth="1"/>
    <x:col min="6" max="6" width="30" hidden="0" customWidth="1"/>
    <x:col min="7" max="7" width="22" hidden="0" customWidth="1"/>
    <x:col min="8" max="8" width="42" hidden="0" customWidth="1"/>
    <x:col min="9" max="9" width="28" hidden="0" customWidth="1"/>
  </x:cols>
  <x:sheetData>
    <x:row r="1" ht="28" customHeight="1">
      <x:c r="A1" s="5" t="str">
        <x:v>КАК СОКРАТИТЬ КОЛИЧЕСТВО ФАЙЛОВ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4" t="str">
        <x:v>Для каждого файла определено: source, migrate/read-only, quarantine/fix, protected DMS или archive/exclude.</x:v>
      </x:c>
      <x:c r="B2" s="14"/>
      <x:c r="C2" s="14"/>
      <x:c r="D2" s="14"/>
      <x:c r="E2" s="14"/>
      <x:c r="F2" s="14"/>
      <x:c r="G2" s="14"/>
      <x:c r="H2" s="14"/>
      <x:c r="I2" s="14"/>
    </x:row>
    <x:row r="4" ht="28" customHeight="1">
      <x:c r="A4" s="169" t="str">
        <x:v>file_id</x:v>
      </x:c>
      <x:c r="B4" s="170" t="str">
        <x:v>file_name</x:v>
      </x:c>
      <x:c r="C4" s="170" t="str">
        <x:v>domain</x:v>
      </x:c>
      <x:c r="D4" s="170" t="str">
        <x:v>current_state</x:v>
      </x:c>
      <x:c r="E4" s="170" t="str">
        <x:v>target_system</x:v>
      </x:c>
      <x:c r="F4" s="170" t="str">
        <x:v>target_register</x:v>
      </x:c>
      <x:c r="G4" s="170" t="str">
        <x:v>lifecycle</x:v>
      </x:c>
      <x:c r="H4" s="170" t="str">
        <x:v>required_action</x:v>
      </x:c>
      <x:c r="I4" s="171" t="str">
        <x:v>owner_candidate</x:v>
      </x:c>
    </x:row>
    <x:row r="5">
      <x:c r="A5" s="203" t="str">
        <x:v>FILE-001</x:v>
      </x:c>
      <x:c r="B5" s="204" t="str">
        <x:v>6-НДФЛ (с 2021 года) за 2024 г. (ДЕКОР ООО).pdf</x:v>
      </x:c>
      <x:c r="C5" s="204" t="str">
        <x:v>Налоги и обязательная отчётность</x:v>
      </x:c>
      <x:c r="D5" s="204" t="str">
        <x:v>Есть</x:v>
      </x:c>
      <x:c r="E5" s="204" t="str">
        <x:v>Tax ledger + ENS register + DMS</x:v>
      </x:c>
      <x:c r="F5" s="204" t="str">
        <x:v>Декларации, обязательства, уведомления, ЕНС</x:v>
      </x:c>
      <x:c r="G5" s="204" t="str">
        <x:v>Quarantine/Fix</x:v>
      </x:c>
      <x:c r="H5" s="204" t="str">
        <x:v>Карантин → исправление → контрольная загрузка</x:v>
      </x:c>
      <x:c r="I5" s="205" t="str">
        <x:v>Tax ledger + ENS register + DMS</x:v>
      </x:c>
    </x:row>
    <x:row r="6">
      <x:c r="A6" s="206" t="str">
        <x:v>FILE-002</x:v>
      </x:c>
      <x:c r="B6" s="207" t="str">
        <x:v>6-НДФЛ (с 2021 года) за 2024 г. (Янина Ю. Ф. ИП).pdf</x:v>
      </x:c>
      <x:c r="C6" s="207" t="str">
        <x:v>Налоги и обязательная отчётность</x:v>
      </x:c>
      <x:c r="D6" s="207" t="str">
        <x:v>Есть</x:v>
      </x:c>
      <x:c r="E6" s="207" t="str">
        <x:v>Tax ledger + ENS register + DMS</x:v>
      </x:c>
      <x:c r="F6" s="207" t="str">
        <x:v>Декларации, обязательства, уведомления, ЕНС</x:v>
      </x:c>
      <x:c r="G6" s="207" t="str">
        <x:v>Quarantine/Fix</x:v>
      </x:c>
      <x:c r="H6" s="207" t="str">
        <x:v>Карантин → исправление → контрольная загрузка</x:v>
      </x:c>
      <x:c r="I6" s="208" t="str">
        <x:v>Tax ledger + ENS register + DMS</x:v>
      </x:c>
    </x:row>
    <x:row r="7">
      <x:c r="A7" s="206" t="str">
        <x:v>FILE-003</x:v>
      </x:c>
      <x:c r="B7" s="207" t="str">
        <x:v>6-НДФЛ (с 2021 года) за 2025 г. (ДЕКОР ООО).pdf</x:v>
      </x:c>
      <x:c r="C7" s="207" t="str">
        <x:v>Налоги и обязательная отчётность</x:v>
      </x:c>
      <x:c r="D7" s="207" t="str">
        <x:v>Есть</x:v>
      </x:c>
      <x:c r="E7" s="207" t="str">
        <x:v>Tax ledger + ENS register + DMS</x:v>
      </x:c>
      <x:c r="F7" s="207" t="str">
        <x:v>Декларации, обязательства, уведомления, ЕНС</x:v>
      </x:c>
      <x:c r="G7" s="207" t="str">
        <x:v>Quarantine/Fix</x:v>
      </x:c>
      <x:c r="H7" s="207" t="str">
        <x:v>Карантин → исправление → контрольная загрузка</x:v>
      </x:c>
      <x:c r="I7" s="208" t="str">
        <x:v>Tax ledger + ENS register + DMS</x:v>
      </x:c>
    </x:row>
    <x:row r="8">
      <x:c r="A8" s="206" t="str">
        <x:v>FILE-004</x:v>
      </x:c>
      <x:c r="B8" s="207" t="str">
        <x:v>6-НДФЛ (с 2021 года) за 2025 г. (Янина Ю. Ф. ИП)(1).pdf</x:v>
      </x:c>
      <x:c r="C8" s="207" t="str">
        <x:v>Налоги и обязательная отчётность</x:v>
      </x:c>
      <x:c r="D8" s="207" t="str">
        <x:v>Есть, но дубль</x:v>
      </x:c>
      <x:c r="E8" s="207" t="str">
        <x:v>Tax ledger + ENS register + DMS</x:v>
      </x:c>
      <x:c r="F8" s="207" t="str">
        <x:v>Декларации, обязательства, уведомления, ЕНС</x:v>
      </x:c>
      <x:c r="G8" s="207" t="str">
        <x:v>Archive/Exclude</x:v>
      </x:c>
      <x:c r="H8" s="207" t="str">
        <x:v>Архивировать дубль; исключить из расчётного контура</x:v>
      </x:c>
      <x:c r="I8" s="208" t="str">
        <x:v>Tax ledger + ENS register + DMS</x:v>
      </x:c>
    </x:row>
    <x:row r="9">
      <x:c r="A9" s="206" t="str">
        <x:v>FILE-005</x:v>
      </x:c>
      <x:c r="B9" s="207" t="str">
        <x:v>6-НДФЛ (с 2021 года) за 2025 г. (Янина Ю. Ф. ИП).pdf</x:v>
      </x:c>
      <x:c r="C9" s="207" t="str">
        <x:v>Налоги и обязательная отчётность</x:v>
      </x:c>
      <x:c r="D9" s="207" t="str">
        <x:v>Есть, но дубль</x:v>
      </x:c>
      <x:c r="E9" s="207" t="str">
        <x:v>Tax ledger + ENS register + DMS</x:v>
      </x:c>
      <x:c r="F9" s="207" t="str">
        <x:v>Декларации, обязательства, уведомления, ЕНС</x:v>
      </x:c>
      <x:c r="G9" s="207" t="str">
        <x:v>Archive/Exclude</x:v>
      </x:c>
      <x:c r="H9" s="207" t="str">
        <x:v>Архивировать дубль; исключить из расчётного контура</x:v>
      </x:c>
      <x:c r="I9" s="208" t="str">
        <x:v>Tax ledger + ENS register + DMS</x:v>
      </x:c>
    </x:row>
    <x:row r="10">
      <x:c r="A10" s="206" t="str">
        <x:v>FILE-006</x:v>
      </x:c>
      <x:c r="B10" s="207" t="str">
        <x:v>NDA_ИП_Янина + паспорт.docx</x:v>
      </x:c>
      <x:c r="C10" s="207" t="str">
        <x:v>Договоры и проектные документы</x:v>
      </x:c>
      <x:c r="D10" s="207" t="str">
        <x:v>Есть</x:v>
      </x:c>
      <x:c r="E10" s="207" t="str">
        <x:v>DMS/GRC</x:v>
      </x:c>
      <x:c r="F10" s="207" t="str">
        <x:v>Договоры, NDA, регламенты, approvals</x:v>
      </x:c>
      <x:c r="G10" s="207" t="str">
        <x:v>Protected DMS</x:v>
      </x:c>
      <x:c r="H10" s="207" t="str">
        <x:v>Хранить только в защищённом DMS; не загружать в аналитические витрины</x:v>
      </x:c>
      <x:c r="I10" s="208" t="str">
        <x:v>DMS/GRC</x:v>
      </x:c>
    </x:row>
    <x:row r="11">
      <x:c r="A11" s="206" t="str">
        <x:v>FILE-007</x:v>
      </x:c>
      <x:c r="B11" s="207" t="str">
        <x:v>SALES 2024-2026.xlsx</x:v>
      </x:c>
      <x:c r="C11" s="207" t="str">
        <x:v>Финансы и денежные потоки</x:v>
      </x:c>
      <x:c r="D11" s="207" t="str">
        <x:v>Есть частично/с ограничениями</x:v>
      </x:c>
      <x:c r="E11" s="207" t="str">
        <x:v>ERP/1С + Bank hub + DWH</x:v>
      </x:c>
      <x:c r="F11" s="207" t="str">
        <x:v>Платежи, ДДС, бюджеты, остатки, AR/AP</x:v>
      </x:c>
      <x:c r="G11" s="207" t="str">
        <x:v>Migrate then Read-only</x:v>
      </x:c>
      <x:c r="H11" s="207" t="str">
        <x:v>Мигрировать данные в целевой регистр; файл оставить read-only выгрузкой/архивом</x:v>
      </x:c>
      <x:c r="I11" s="208" t="str">
        <x:v>ERP/1С + Bank hub + DWH</x:v>
      </x:c>
    </x:row>
    <x:row r="12">
      <x:c r="A12" s="206" t="str">
        <x:v>FILE-008</x:v>
      </x:c>
      <x:c r="B12" s="207" t="str">
        <x:v>VTB_BankStatement_40702810804000008482_01.01.2024-22.06.2026_376277.pdf</x:v>
      </x:c>
      <x:c r="C12" s="207" t="str">
        <x:v>Финансы и денежные потоки</x:v>
      </x:c>
      <x:c r="D12" s="207" t="str">
        <x:v>Есть</x:v>
      </x:c>
      <x:c r="E12" s="207" t="str">
        <x:v>ERP/1С + Bank hub + DWH</x:v>
      </x:c>
      <x:c r="F12" s="207" t="str">
        <x:v>Платежи, ДДС, бюджеты, остатки, AR/AP</x:v>
      </x:c>
      <x:c r="G12" s="207" t="str">
        <x:v>Quarantine/Fix</x:v>
      </x:c>
      <x:c r="H12" s="207" t="str">
        <x:v>Карантин → исправление → контрольная загрузка</x:v>
      </x:c>
      <x:c r="I12" s="208" t="str">
        <x:v>ERP/1С + Bank hub + DWH</x:v>
      </x:c>
    </x:row>
    <x:row r="13">
      <x:c r="A13" s="206" t="str">
        <x:v>FILE-009</x:v>
      </x:c>
      <x:c r="B13" s="207" t="str">
        <x:v>VTB_BankStatement_40802810404000000049_01.01.2024-22.06.2026_417016.pdf</x:v>
      </x:c>
      <x:c r="C13" s="207" t="str">
        <x:v>Финансы и денежные потоки</x:v>
      </x:c>
      <x:c r="D13" s="207" t="str">
        <x:v>Есть</x:v>
      </x:c>
      <x:c r="E13" s="207" t="str">
        <x:v>ERP/1С + Bank hub + DWH</x:v>
      </x:c>
      <x:c r="F13" s="207" t="str">
        <x:v>Платежи, ДДС, бюджеты, остатки, AR/AP</x:v>
      </x:c>
      <x:c r="G13" s="207" t="str">
        <x:v>Quarantine/Fix</x:v>
      </x:c>
      <x:c r="H13" s="207" t="str">
        <x:v>Карантин → исправление → контрольная загрузка</x:v>
      </x:c>
      <x:c r="I13" s="208" t="str">
        <x:v>ERP/1С + Bank hub + DWH</x:v>
      </x:c>
    </x:row>
    <x:row r="14">
      <x:c r="A14" s="206" t="str">
        <x:v>FILE-010</x:v>
      </x:c>
      <x:c r="B14" s="207" t="str">
        <x:v>VTB_BankStatement_40802810500000006196_01.01.2024-22.06.2026_417014.pdf</x:v>
      </x:c>
      <x:c r="C14" s="207" t="str">
        <x:v>Финансы и денежные потоки</x:v>
      </x:c>
      <x:c r="D14" s="207" t="str">
        <x:v>Есть</x:v>
      </x:c>
      <x:c r="E14" s="207" t="str">
        <x:v>ERP/1С + Bank hub + DWH</x:v>
      </x:c>
      <x:c r="F14" s="207" t="str">
        <x:v>Платежи, ДДС, бюджеты, остатки, AR/AP</x:v>
      </x:c>
      <x:c r="G14" s="207" t="str">
        <x:v>Quarantine/Fix</x:v>
      </x:c>
      <x:c r="H14" s="207" t="str">
        <x:v>Карантин → исправление → контрольная загрузка</x:v>
      </x:c>
      <x:c r="I14" s="208" t="str">
        <x:v>ERP/1С + Bank hub + DWH</x:v>
      </x:c>
    </x:row>
    <x:row r="15">
      <x:c r="A15" s="206" t="str">
        <x:v>FILE-011</x:v>
      </x:c>
      <x:c r="B15" s="207" t="str">
        <x:v>Бюджет 2-е полугодие 2025(1).xlsx</x:v>
      </x:c>
      <x:c r="C15" s="207" t="str">
        <x:v>Финансы и денежные потоки</x:v>
      </x:c>
      <x:c r="D15" s="207" t="str">
        <x:v>Есть</x:v>
      </x:c>
      <x:c r="E15" s="207" t="str">
        <x:v>ERP/1С + Bank hub + DWH</x:v>
      </x:c>
      <x:c r="F15" s="207" t="str">
        <x:v>Платежи, ДДС, бюджеты, остатки, AR/AP</x:v>
      </x:c>
      <x:c r="G15" s="207" t="str">
        <x:v>Quarantine/Fix</x:v>
      </x:c>
      <x:c r="H15" s="207" t="str">
        <x:v>Карантин → исправление → контрольная загрузка</x:v>
      </x:c>
      <x:c r="I15" s="208" t="str">
        <x:v>ERP/1С + Bank hub + DWH</x:v>
      </x:c>
    </x:row>
    <x:row r="16">
      <x:c r="A16" s="206" t="str">
        <x:v>FILE-012</x:v>
      </x:c>
      <x:c r="B16" s="207" t="str">
        <x:v>Бюджет 2026.xlsx</x:v>
      </x:c>
      <x:c r="C16" s="207" t="str">
        <x:v>Финансы и денежные потоки</x:v>
      </x:c>
      <x:c r="D16" s="207" t="str">
        <x:v>Есть</x:v>
      </x:c>
      <x:c r="E16" s="207" t="str">
        <x:v>ERP/1С + Bank hub + DWH</x:v>
      </x:c>
      <x:c r="F16" s="207" t="str">
        <x:v>Платежи, ДДС, бюджеты, остатки, AR/AP</x:v>
      </x:c>
      <x:c r="G16" s="207" t="str">
        <x:v>Quarantine/Fix</x:v>
      </x:c>
      <x:c r="H16" s="207" t="str">
        <x:v>Карантин → исправление → контрольная загрузка</x:v>
      </x:c>
      <x:c r="I16" s="208" t="str">
        <x:v>ERP/1С + Bank hub + DWH</x:v>
      </x:c>
    </x:row>
    <x:row r="17">
      <x:c r="A17" s="206" t="str">
        <x:v>FILE-013</x:v>
      </x:c>
      <x:c r="B17" s="207" t="str">
        <x:v>Выписка_40802810202620002686_01.01.2024–31.12.2024.xlsx</x:v>
      </x:c>
      <x:c r="C17" s="207" t="str">
        <x:v>Финансы и денежные потоки</x:v>
      </x:c>
      <x:c r="D17" s="207" t="str">
        <x:v>Есть</x:v>
      </x:c>
      <x:c r="E17" s="207" t="str">
        <x:v>ERP/1С + Bank hub + DWH</x:v>
      </x:c>
      <x:c r="F17" s="207" t="str">
        <x:v>Платежи, ДДС, бюджеты, остатки, AR/AP</x:v>
      </x:c>
      <x:c r="G17" s="207" t="str">
        <x:v>Quarantine/Fix</x:v>
      </x:c>
      <x:c r="H17" s="207" t="str">
        <x:v>Карантин → исправление → контрольная загрузка</x:v>
      </x:c>
      <x:c r="I17" s="208" t="str">
        <x:v>ERP/1С + Bank hub + DWH</x:v>
      </x:c>
    </x:row>
    <x:row r="18">
      <x:c r="A18" s="206" t="str">
        <x:v>FILE-014</x:v>
      </x:c>
      <x:c r="B18" s="207" t="str">
        <x:v>Выписка_40802810202620002686_01.01.2025–31.12.2025.xlsx</x:v>
      </x:c>
      <x:c r="C18" s="207" t="str">
        <x:v>Финансы и денежные потоки</x:v>
      </x:c>
      <x:c r="D18" s="207" t="str">
        <x:v>Есть</x:v>
      </x:c>
      <x:c r="E18" s="207" t="str">
        <x:v>ERP/1С + Bank hub + DWH</x:v>
      </x:c>
      <x:c r="F18" s="207" t="str">
        <x:v>Платежи, ДДС, бюджеты, остатки, AR/AP</x:v>
      </x:c>
      <x:c r="G18" s="207" t="str">
        <x:v>Quarantine/Fix</x:v>
      </x:c>
      <x:c r="H18" s="207" t="str">
        <x:v>Карантин → исправление → контрольная загрузка</x:v>
      </x:c>
      <x:c r="I18" s="208" t="str">
        <x:v>ERP/1С + Bank hub + DWH</x:v>
      </x:c>
    </x:row>
    <x:row r="19">
      <x:c r="A19" s="206" t="str">
        <x:v>FILE-015</x:v>
      </x:c>
      <x:c r="B19" s="207" t="str">
        <x:v>Выписка_40802810202620002686_01.01.2026–23.06.2026.xlsx</x:v>
      </x:c>
      <x:c r="C19" s="207" t="str">
        <x:v>Финансы и денежные потоки</x:v>
      </x:c>
      <x:c r="D19" s="207" t="str">
        <x:v>Есть</x:v>
      </x:c>
      <x:c r="E19" s="207" t="str">
        <x:v>ERP/1С + Bank hub + DWH</x:v>
      </x:c>
      <x:c r="F19" s="207" t="str">
        <x:v>Платежи, ДДС, бюджеты, остатки, AR/AP</x:v>
      </x:c>
      <x:c r="G19" s="207" t="str">
        <x:v>Quarantine/Fix</x:v>
      </x:c>
      <x:c r="H19" s="207" t="str">
        <x:v>Карантин → исправление → контрольная загрузка</x:v>
      </x:c>
      <x:c r="I19" s="208" t="str">
        <x:v>ERP/1С + Bank hub + DWH</x:v>
      </x:c>
    </x:row>
    <x:row r="20">
      <x:c r="A20" s="206" t="str">
        <x:v>FILE-016</x:v>
      </x:c>
      <x:c r="B20" s="207" t="str">
        <x:v>Вышивка себестоимость 2024-2026.xlsx</x:v>
      </x:c>
      <x:c r="C20" s="207" t="str">
        <x:v>Себестоимость и производство</x:v>
      </x:c>
      <x:c r="D20" s="207" t="str">
        <x:v>Есть</x:v>
      </x:c>
      <x:c r="E20" s="207" t="str">
        <x:v>PLM/ERP/MES</x:v>
      </x:c>
      <x:c r="F20" s="207" t="str">
        <x:v>BOM, production order, операции, cost version</x:v>
      </x:c>
      <x:c r="G20" s="207" t="str">
        <x:v>Migrate then Read-only</x:v>
      </x:c>
      <x:c r="H20" s="207" t="str">
        <x:v>Мигрировать данные в целевой регистр; файл оставить read-only выгрузкой/архивом</x:v>
      </x:c>
      <x:c r="I20" s="208" t="str">
        <x:v>PLM/ERP/MES</x:v>
      </x:c>
    </x:row>
    <x:row r="21">
      <x:c r="A21" s="206" t="str">
        <x:v>FILE-017</x:v>
      </x:c>
      <x:c r="B21" s="207" t="str">
        <x:v>ДДС 2024.xlsx</x:v>
      </x:c>
      <x:c r="C21" s="207" t="str">
        <x:v>Финансы и денежные потоки</x:v>
      </x:c>
      <x:c r="D21" s="207" t="str">
        <x:v>Есть частично/с ограничениями</x:v>
      </x:c>
      <x:c r="E21" s="207" t="str">
        <x:v>ERP/1С + Bank hub + DWH</x:v>
      </x:c>
      <x:c r="F21" s="207" t="str">
        <x:v>Платежи, ДДС, бюджеты, остатки, AR/AP</x:v>
      </x:c>
      <x:c r="G21" s="207" t="str">
        <x:v>Quarantine/Fix</x:v>
      </x:c>
      <x:c r="H21" s="207" t="str">
        <x:v>Карантин → исправление → контрольная загрузка</x:v>
      </x:c>
      <x:c r="I21" s="208" t="str">
        <x:v>ERP/1С + Bank hub + DWH</x:v>
      </x:c>
    </x:row>
    <x:row r="22">
      <x:c r="A22" s="206" t="str">
        <x:v>FILE-018</x:v>
      </x:c>
      <x:c r="B22" s="207" t="str">
        <x:v>ДДС 2025.xlsx</x:v>
      </x:c>
      <x:c r="C22" s="207" t="str">
        <x:v>Финансы и денежные потоки</x:v>
      </x:c>
      <x:c r="D22" s="207" t="str">
        <x:v>Есть</x:v>
      </x:c>
      <x:c r="E22" s="207" t="str">
        <x:v>ERP/1С + Bank hub + DWH</x:v>
      </x:c>
      <x:c r="F22" s="207" t="str">
        <x:v>Платежи, ДДС, бюджеты, остатки, AR/AP</x:v>
      </x:c>
      <x:c r="G22" s="207" t="str">
        <x:v>Quarantine/Fix</x:v>
      </x:c>
      <x:c r="H22" s="207" t="str">
        <x:v>Карантин → исправление → контрольная загрузка</x:v>
      </x:c>
      <x:c r="I22" s="208" t="str">
        <x:v>ERP/1С + Bank hub + DWH</x:v>
      </x:c>
    </x:row>
    <x:row r="23">
      <x:c r="A23" s="206" t="str">
        <x:v>FILE-019</x:v>
      </x:c>
      <x:c r="B23" s="207" t="str">
        <x:v>ДДС 2026.xlxs.xlsx</x:v>
      </x:c>
      <x:c r="C23" s="207" t="str">
        <x:v>Финансы и денежные потоки</x:v>
      </x:c>
      <x:c r="D23" s="207" t="str">
        <x:v>Есть частично/с ограничениями</x:v>
      </x:c>
      <x:c r="E23" s="207" t="str">
        <x:v>ERP/1С + Bank hub + DWH</x:v>
      </x:c>
      <x:c r="F23" s="207" t="str">
        <x:v>Платежи, ДДС, бюджеты, остатки, AR/AP</x:v>
      </x:c>
      <x:c r="G23" s="207" t="str">
        <x:v>Quarantine/Fix</x:v>
      </x:c>
      <x:c r="H23" s="207" t="str">
        <x:v>Карантин → исправление → контрольная загрузка</x:v>
      </x:c>
      <x:c r="I23" s="208" t="str">
        <x:v>ERP/1С + Bank hub + DWH</x:v>
      </x:c>
    </x:row>
    <x:row r="24">
      <x:c r="A24" s="206" t="str">
        <x:v>FILE-020</x:v>
      </x:c>
      <x:c r="B24" s="207" t="str">
        <x:v>Декларация по НДС за 1 квартал 2025 г. (Янина Ю. Ф. ИП).pdf</x:v>
      </x:c>
      <x:c r="C24" s="207" t="str">
        <x:v>Налоги и обязательная отчётность</x:v>
      </x:c>
      <x:c r="D24" s="207" t="str">
        <x:v>Есть</x:v>
      </x:c>
      <x:c r="E24" s="207" t="str">
        <x:v>Tax ledger + ENS register + DMS</x:v>
      </x:c>
      <x:c r="F24" s="207" t="str">
        <x:v>Декларации, обязательства, уведомления, ЕНС</x:v>
      </x:c>
      <x:c r="G24" s="207" t="str">
        <x:v>Quarantine/Fix</x:v>
      </x:c>
      <x:c r="H24" s="207" t="str">
        <x:v>Карантин → исправление → контрольная загрузка</x:v>
      </x:c>
      <x:c r="I24" s="208" t="str">
        <x:v>Tax ledger + ENS register + DMS</x:v>
      </x:c>
    </x:row>
    <x:row r="25">
      <x:c r="A25" s="206" t="str">
        <x:v>FILE-021</x:v>
      </x:c>
      <x:c r="B25" s="207" t="str">
        <x:v>Декларация по НДС за 1 квартал 2026 г. (Янина Ю. Ф. ИП).pdf</x:v>
      </x:c>
      <x:c r="C25" s="207" t="str">
        <x:v>Налоги и обязательная отчётность</x:v>
      </x:c>
      <x:c r="D25" s="207" t="str">
        <x:v>Есть</x:v>
      </x:c>
      <x:c r="E25" s="207" t="str">
        <x:v>Tax ledger + ENS register + DMS</x:v>
      </x:c>
      <x:c r="F25" s="207" t="str">
        <x:v>Декларации, обязательства, уведомления, ЕНС</x:v>
      </x:c>
      <x:c r="G25" s="207" t="str">
        <x:v>Quarantine/Fix</x:v>
      </x:c>
      <x:c r="H25" s="207" t="str">
        <x:v>Карантин → исправление → контрольная загрузка</x:v>
      </x:c>
      <x:c r="I25" s="208" t="str">
        <x:v>Tax ledger + ENS register + DMS</x:v>
      </x:c>
    </x:row>
    <x:row r="26">
      <x:c r="A26" s="206" t="str">
        <x:v>FILE-022</x:v>
      </x:c>
      <x:c r="B26" s="207" t="str">
        <x:v>Декларация по НДС за 2 квартал 2025 г. (Янина Ю. Ф. ИП).pdf</x:v>
      </x:c>
      <x:c r="C26" s="207" t="str">
        <x:v>Налоги и обязательная отчётность</x:v>
      </x:c>
      <x:c r="D26" s="207" t="str">
        <x:v>Есть</x:v>
      </x:c>
      <x:c r="E26" s="207" t="str">
        <x:v>Tax ledger + ENS register + DMS</x:v>
      </x:c>
      <x:c r="F26" s="207" t="str">
        <x:v>Декларации, обязательства, уведомления, ЕНС</x:v>
      </x:c>
      <x:c r="G26" s="207" t="str">
        <x:v>Quarantine/Fix</x:v>
      </x:c>
      <x:c r="H26" s="207" t="str">
        <x:v>Карантин → исправление → контрольная загрузка</x:v>
      </x:c>
      <x:c r="I26" s="208" t="str">
        <x:v>Tax ledger + ENS register + DMS</x:v>
      </x:c>
    </x:row>
    <x:row r="27">
      <x:c r="A27" s="206" t="str">
        <x:v>FILE-023</x:v>
      </x:c>
      <x:c r="B27" s="207" t="str">
        <x:v>Декларация по НДС за 3 квартал 2025 г. (Янина Ю. Ф. ИП).pdf</x:v>
      </x:c>
      <x:c r="C27" s="207" t="str">
        <x:v>Налоги и обязательная отчётность</x:v>
      </x:c>
      <x:c r="D27" s="207" t="str">
        <x:v>Есть</x:v>
      </x:c>
      <x:c r="E27" s="207" t="str">
        <x:v>Tax ledger + ENS register + DMS</x:v>
      </x:c>
      <x:c r="F27" s="207" t="str">
        <x:v>Декларации, обязательства, уведомления, ЕНС</x:v>
      </x:c>
      <x:c r="G27" s="207" t="str">
        <x:v>Quarantine/Fix</x:v>
      </x:c>
      <x:c r="H27" s="207" t="str">
        <x:v>Карантин → исправление → контрольная загрузка</x:v>
      </x:c>
      <x:c r="I27" s="208" t="str">
        <x:v>Tax ledger + ENS register + DMS</x:v>
      </x:c>
    </x:row>
    <x:row r="28">
      <x:c r="A28" s="206" t="str">
        <x:v>FILE-024</x:v>
      </x:c>
      <x:c r="B28" s="207" t="str">
        <x:v>Декларация по НДС за 4 квартал 2025 г. (Янина Ю. Ф. ИП).pdf</x:v>
      </x:c>
      <x:c r="C28" s="207" t="str">
        <x:v>Налоги и обязательная отчётность</x:v>
      </x:c>
      <x:c r="D28" s="207" t="str">
        <x:v>Есть</x:v>
      </x:c>
      <x:c r="E28" s="207" t="str">
        <x:v>Tax ledger + ENS register + DMS</x:v>
      </x:c>
      <x:c r="F28" s="207" t="str">
        <x:v>Декларации, обязательства, уведомления, ЕНС</x:v>
      </x:c>
      <x:c r="G28" s="207" t="str">
        <x:v>Quarantine/Fix</x:v>
      </x:c>
      <x:c r="H28" s="207" t="str">
        <x:v>Карантин → исправление → контрольная загрузка</x:v>
      </x:c>
      <x:c r="I28" s="208" t="str">
        <x:v>Tax ledger + ENS register + DMS</x:v>
      </x:c>
    </x:row>
    <x:row r="29">
      <x:c r="A29" s="206" t="str">
        <x:v>FILE-025</x:v>
      </x:c>
      <x:c r="B29" s="207" t="str">
        <x:v>Декларация по УСН за 2024 г. (ДЕКОР ООО).pdf</x:v>
      </x:c>
      <x:c r="C29" s="207" t="str">
        <x:v>Налоги и обязательная отчётность</x:v>
      </x:c>
      <x:c r="D29" s="207" t="str">
        <x:v>Есть</x:v>
      </x:c>
      <x:c r="E29" s="207" t="str">
        <x:v>Tax ledger + ENS register + DMS</x:v>
      </x:c>
      <x:c r="F29" s="207" t="str">
        <x:v>Декларации, обязательства, уведомления, ЕНС</x:v>
      </x:c>
      <x:c r="G29" s="207" t="str">
        <x:v>Quarantine/Fix</x:v>
      </x:c>
      <x:c r="H29" s="207" t="str">
        <x:v>Карантин → исправление → контрольная загрузка</x:v>
      </x:c>
      <x:c r="I29" s="208" t="str">
        <x:v>Tax ledger + ENS register + DMS</x:v>
      </x:c>
    </x:row>
    <x:row r="30">
      <x:c r="A30" s="206" t="str">
        <x:v>FILE-026</x:v>
      </x:c>
      <x:c r="B30" s="207" t="str">
        <x:v>Декларация по УСН за 2024 г. (Янина Ю. Ф. ИП).pdf</x:v>
      </x:c>
      <x:c r="C30" s="207" t="str">
        <x:v>Налоги и обязательная отчётность</x:v>
      </x:c>
      <x:c r="D30" s="207" t="str">
        <x:v>Есть</x:v>
      </x:c>
      <x:c r="E30" s="207" t="str">
        <x:v>Tax ledger + ENS register + DMS</x:v>
      </x:c>
      <x:c r="F30" s="207" t="str">
        <x:v>Декларации, обязательства, уведомления, ЕНС</x:v>
      </x:c>
      <x:c r="G30" s="207" t="str">
        <x:v>Quarantine/Fix</x:v>
      </x:c>
      <x:c r="H30" s="207" t="str">
        <x:v>Карантин → исправление → контрольная загрузка</x:v>
      </x:c>
      <x:c r="I30" s="208" t="str">
        <x:v>Tax ledger + ENS register + DMS</x:v>
      </x:c>
    </x:row>
    <x:row r="31">
      <x:c r="A31" s="206" t="str">
        <x:v>FILE-027</x:v>
      </x:c>
      <x:c r="B31" s="207" t="str">
        <x:v>Декларация по УСН за 2025 г. (ДЕКОР ООО)(1).pdf</x:v>
      </x:c>
      <x:c r="C31" s="207" t="str">
        <x:v>Налоги и обязательная отчётность</x:v>
      </x:c>
      <x:c r="D31" s="207" t="str">
        <x:v>Есть</x:v>
      </x:c>
      <x:c r="E31" s="207" t="str">
        <x:v>Tax ledger + ENS register + DMS</x:v>
      </x:c>
      <x:c r="F31" s="207" t="str">
        <x:v>Декларации, обязательства, уведомления, ЕНС</x:v>
      </x:c>
      <x:c r="G31" s="207" t="str">
        <x:v>Quarantine/Fix</x:v>
      </x:c>
      <x:c r="H31" s="207" t="str">
        <x:v>Карантин → исправление → контрольная загрузка</x:v>
      </x:c>
      <x:c r="I31" s="208" t="str">
        <x:v>Tax ledger + ENS register + DMS</x:v>
      </x:c>
    </x:row>
    <x:row r="32">
      <x:c r="A32" s="206" t="str">
        <x:v>FILE-028</x:v>
      </x:c>
      <x:c r="B32" s="207" t="str">
        <x:v>Декларация по УСН за 2025 г. (Янина Ю. Ф. ИП)(1).pdf</x:v>
      </x:c>
      <x:c r="C32" s="207" t="str">
        <x:v>Налоги и обязательная отчётность</x:v>
      </x:c>
      <x:c r="D32" s="207" t="str">
        <x:v>Есть</x:v>
      </x:c>
      <x:c r="E32" s="207" t="str">
        <x:v>Tax ledger + ENS register + DMS</x:v>
      </x:c>
      <x:c r="F32" s="207" t="str">
        <x:v>Декларации, обязательства, уведомления, ЕНС</x:v>
      </x:c>
      <x:c r="G32" s="207" t="str">
        <x:v>Quarantine/Fix</x:v>
      </x:c>
      <x:c r="H32" s="207" t="str">
        <x:v>Карантин → исправление → контрольная загрузка</x:v>
      </x:c>
      <x:c r="I32" s="208" t="str">
        <x:v>Tax ledger + ENS register + DMS</x:v>
      </x:c>
    </x:row>
    <x:row r="33">
      <x:c r="A33" s="206" t="str">
        <x:v>FILE-029</x:v>
      </x:c>
      <x:c r="B33" s="207" t="str">
        <x:v>Договор_комплексной_диагностики_ИП_Янина_+_паспорт.docx</x:v>
      </x:c>
      <x:c r="C33" s="207" t="str">
        <x:v>Договоры и проектные документы</x:v>
      </x:c>
      <x:c r="D33" s="207" t="str">
        <x:v>Есть</x:v>
      </x:c>
      <x:c r="E33" s="207" t="str">
        <x:v>DMS/GRC</x:v>
      </x:c>
      <x:c r="F33" s="207" t="str">
        <x:v>Договоры, NDA, регламенты, approvals</x:v>
      </x:c>
      <x:c r="G33" s="207" t="str">
        <x:v>Protected DMS</x:v>
      </x:c>
      <x:c r="H33" s="207" t="str">
        <x:v>Хранить только в защищённом DMS; не загружать в аналитические витрины</x:v>
      </x:c>
      <x:c r="I33" s="208" t="str">
        <x:v>DMS/GRC</x:v>
      </x:c>
    </x:row>
    <x:row r="34">
      <x:c r="A34" s="206" t="str">
        <x:v>FILE-030</x:v>
      </x:c>
      <x:c r="B34" s="207" t="str">
        <x:v>ЗП за апрель 2025.xlsx</x:v>
      </x:c>
      <x:c r="C34" s="207" t="str">
        <x:v>Персонал и оплата труда</x:v>
      </x:c>
      <x:c r="D34" s="207" t="str">
        <x:v>Есть</x:v>
      </x:c>
      <x:c r="E34" s="207" t="str">
        <x:v>HRIS/ЗУП + Payroll ledger</x:v>
      </x:c>
      <x:c r="F34" s="207" t="str">
        <x:v>Сотрудники, начисления, реестры выплат</x:v>
      </x:c>
      <x:c r="G34" s="207" t="str">
        <x:v>Migrate then Read-only</x:v>
      </x:c>
      <x:c r="H34" s="207" t="str">
        <x:v>Мигрировать данные в целевой регистр; файл оставить read-only выгрузкой/архивом</x:v>
      </x:c>
      <x:c r="I34" s="208" t="str">
        <x:v>HRIS/ЗУП + Payroll ledger</x:v>
      </x:c>
    </x:row>
    <x:row r="35">
      <x:c r="A35" s="206" t="str">
        <x:v>FILE-031</x:v>
      </x:c>
      <x:c r="B35" s="207" t="str">
        <x:v>ЗП за апрель 2026.xlsx</x:v>
      </x:c>
      <x:c r="C35" s="207" t="str">
        <x:v>Персонал и оплата труда</x:v>
      </x:c>
      <x:c r="D35" s="207" t="str">
        <x:v>Есть</x:v>
      </x:c>
      <x:c r="E35" s="207" t="str">
        <x:v>HRIS/ЗУП + Payroll ledger</x:v>
      </x:c>
      <x:c r="F35" s="207" t="str">
        <x:v>Сотрудники, начисления, реестры выплат</x:v>
      </x:c>
      <x:c r="G35" s="207" t="str">
        <x:v>Quarantine/Fix</x:v>
      </x:c>
      <x:c r="H35" s="207" t="str">
        <x:v>Карантин → исправление → контрольная загрузка</x:v>
      </x:c>
      <x:c r="I35" s="208" t="str">
        <x:v>HRIS/ЗУП + Payroll ledger</x:v>
      </x:c>
    </x:row>
    <x:row r="36">
      <x:c r="A36" s="206" t="str">
        <x:v>FILE-032</x:v>
      </x:c>
      <x:c r="B36" s="207" t="str">
        <x:v>ЗП за июнь 2025.xlsx</x:v>
      </x:c>
      <x:c r="C36" s="207" t="str">
        <x:v>Персонал и оплата труда</x:v>
      </x:c>
      <x:c r="D36" s="207" t="str">
        <x:v>Есть</x:v>
      </x:c>
      <x:c r="E36" s="207" t="str">
        <x:v>HRIS/ЗУП + Payroll ledger</x:v>
      </x:c>
      <x:c r="F36" s="207" t="str">
        <x:v>Сотрудники, начисления, реестры выплат</x:v>
      </x:c>
      <x:c r="G36" s="207" t="str">
        <x:v>Quarantine/Fix</x:v>
      </x:c>
      <x:c r="H36" s="207" t="str">
        <x:v>Карантин → исправление → контрольная загрузка</x:v>
      </x:c>
      <x:c r="I36" s="208" t="str">
        <x:v>HRIS/ЗУП + Payroll ledger</x:v>
      </x:c>
    </x:row>
    <x:row r="37">
      <x:c r="A37" s="206" t="str">
        <x:v>FILE-033</x:v>
      </x:c>
      <x:c r="B37" s="207" t="str">
        <x:v>ЗП за май 2025.xlsx</x:v>
      </x:c>
      <x:c r="C37" s="207" t="str">
        <x:v>Персонал и оплата труда</x:v>
      </x:c>
      <x:c r="D37" s="207" t="str">
        <x:v>Есть</x:v>
      </x:c>
      <x:c r="E37" s="207" t="str">
        <x:v>HRIS/ЗУП + Payroll ledger</x:v>
      </x:c>
      <x:c r="F37" s="207" t="str">
        <x:v>Сотрудники, начисления, реестры выплат</x:v>
      </x:c>
      <x:c r="G37" s="207" t="str">
        <x:v>Quarantine/Fix</x:v>
      </x:c>
      <x:c r="H37" s="207" t="str">
        <x:v>Карантин → исправление → контрольная загрузка</x:v>
      </x:c>
      <x:c r="I37" s="208" t="str">
        <x:v>HRIS/ЗУП + Payroll ledger</x:v>
      </x:c>
    </x:row>
    <x:row r="38">
      <x:c r="A38" s="206" t="str">
        <x:v>FILE-034</x:v>
      </x:c>
      <x:c r="B38" s="207" t="str">
        <x:v>ЗП за май 2026.xlsx</x:v>
      </x:c>
      <x:c r="C38" s="207" t="str">
        <x:v>Персонал и оплата труда</x:v>
      </x:c>
      <x:c r="D38" s="207" t="str">
        <x:v>Есть</x:v>
      </x:c>
      <x:c r="E38" s="207" t="str">
        <x:v>HRIS/ЗУП + Payroll ledger</x:v>
      </x:c>
      <x:c r="F38" s="207" t="str">
        <x:v>Сотрудники, начисления, реестры выплат</x:v>
      </x:c>
      <x:c r="G38" s="207" t="str">
        <x:v>Quarantine/Fix</x:v>
      </x:c>
      <x:c r="H38" s="207" t="str">
        <x:v>Карантин → исправление → контрольная загрузка</x:v>
      </x:c>
      <x:c r="I38" s="208" t="str">
        <x:v>HRIS/ЗУП + Payroll ledger</x:v>
      </x:c>
    </x:row>
    <x:row r="39">
      <x:c r="A39" s="206" t="str">
        <x:v>FILE-035</x:v>
      </x:c>
      <x:c r="B39" s="207" t="str">
        <x:v>ЗП за март 2025.xlsx</x:v>
      </x:c>
      <x:c r="C39" s="207" t="str">
        <x:v>Персонал и оплата труда</x:v>
      </x:c>
      <x:c r="D39" s="207" t="str">
        <x:v>Есть</x:v>
      </x:c>
      <x:c r="E39" s="207" t="str">
        <x:v>HRIS/ЗУП + Payroll ledger</x:v>
      </x:c>
      <x:c r="F39" s="207" t="str">
        <x:v>Сотрудники, начисления, реестры выплат</x:v>
      </x:c>
      <x:c r="G39" s="207" t="str">
        <x:v>Migrate then Read-only</x:v>
      </x:c>
      <x:c r="H39" s="207" t="str">
        <x:v>Мигрировать данные в целевой регистр; файл оставить read-only выгрузкой/архивом</x:v>
      </x:c>
      <x:c r="I39" s="208" t="str">
        <x:v>HRIS/ЗУП + Payroll ledger</x:v>
      </x:c>
    </x:row>
    <x:row r="40">
      <x:c r="A40" s="206" t="str">
        <x:v>FILE-036</x:v>
      </x:c>
      <x:c r="B40" s="207" t="str">
        <x:v>ЗП за март 2026.xlsx</x:v>
      </x:c>
      <x:c r="C40" s="207" t="str">
        <x:v>Персонал и оплата труда</x:v>
      </x:c>
      <x:c r="D40" s="207" t="str">
        <x:v>Есть</x:v>
      </x:c>
      <x:c r="E40" s="207" t="str">
        <x:v>HRIS/ЗУП + Payroll ledger</x:v>
      </x:c>
      <x:c r="F40" s="207" t="str">
        <x:v>Сотрудники, начисления, реестры выплат</x:v>
      </x:c>
      <x:c r="G40" s="207" t="str">
        <x:v>Quarantine/Fix</x:v>
      </x:c>
      <x:c r="H40" s="207" t="str">
        <x:v>Карантин → исправление → контрольная загрузка</x:v>
      </x:c>
      <x:c r="I40" s="208" t="str">
        <x:v>HRIS/ЗУП + Payroll ledger</x:v>
      </x:c>
    </x:row>
    <x:row r="41">
      <x:c r="A41" s="206" t="str">
        <x:v>FILE-037</x:v>
      </x:c>
      <x:c r="B41" s="207" t="str">
        <x:v>ЗП за февраль 2025.xlsx</x:v>
      </x:c>
      <x:c r="C41" s="207" t="str">
        <x:v>Персонал и оплата труда</x:v>
      </x:c>
      <x:c r="D41" s="207" t="str">
        <x:v>Есть</x:v>
      </x:c>
      <x:c r="E41" s="207" t="str">
        <x:v>HRIS/ЗУП + Payroll ledger</x:v>
      </x:c>
      <x:c r="F41" s="207" t="str">
        <x:v>Сотрудники, начисления, реестры выплат</x:v>
      </x:c>
      <x:c r="G41" s="207" t="str">
        <x:v>Migrate then Read-only</x:v>
      </x:c>
      <x:c r="H41" s="207" t="str">
        <x:v>Мигрировать данные в целевой регистр; файл оставить read-only выгрузкой/архивом</x:v>
      </x:c>
      <x:c r="I41" s="208" t="str">
        <x:v>HRIS/ЗУП + Payroll ledger</x:v>
      </x:c>
    </x:row>
    <x:row r="42">
      <x:c r="A42" s="206" t="str">
        <x:v>FILE-038</x:v>
      </x:c>
      <x:c r="B42" s="207" t="str">
        <x:v>ЗП за февраль 2026.xlsx</x:v>
      </x:c>
      <x:c r="C42" s="207" t="str">
        <x:v>Персонал и оплата труда</x:v>
      </x:c>
      <x:c r="D42" s="207" t="str">
        <x:v>Есть</x:v>
      </x:c>
      <x:c r="E42" s="207" t="str">
        <x:v>HRIS/ЗУП + Payroll ledger</x:v>
      </x:c>
      <x:c r="F42" s="207" t="str">
        <x:v>Сотрудники, начисления, реестры выплат</x:v>
      </x:c>
      <x:c r="G42" s="207" t="str">
        <x:v>Quarantine/Fix</x:v>
      </x:c>
      <x:c r="H42" s="207" t="str">
        <x:v>Карантин → исправление → контрольная загрузка</x:v>
      </x:c>
      <x:c r="I42" s="208" t="str">
        <x:v>HRIS/ЗУП + Payroll ledger</x:v>
      </x:c>
    </x:row>
    <x:row r="43">
      <x:c r="A43" s="206" t="str">
        <x:v>FILE-039</x:v>
      </x:c>
      <x:c r="B43" s="207" t="str">
        <x:v>ЗП за январь 2025.xlsx</x:v>
      </x:c>
      <x:c r="C43" s="207" t="str">
        <x:v>Персонал и оплата труда</x:v>
      </x:c>
      <x:c r="D43" s="207" t="str">
        <x:v>Есть</x:v>
      </x:c>
      <x:c r="E43" s="207" t="str">
        <x:v>HRIS/ЗУП + Payroll ledger</x:v>
      </x:c>
      <x:c r="F43" s="207" t="str">
        <x:v>Сотрудники, начисления, реестры выплат</x:v>
      </x:c>
      <x:c r="G43" s="207" t="str">
        <x:v>Migrate then Read-only</x:v>
      </x:c>
      <x:c r="H43" s="207" t="str">
        <x:v>Мигрировать данные в целевой регистр; файл оставить read-only выгрузкой/архивом</x:v>
      </x:c>
      <x:c r="I43" s="208" t="str">
        <x:v>HRIS/ЗУП + Payroll ledger</x:v>
      </x:c>
    </x:row>
    <x:row r="44">
      <x:c r="A44" s="206" t="str">
        <x:v>FILE-040</x:v>
      </x:c>
      <x:c r="B44" s="207" t="str">
        <x:v>ЗП за январь 2026.xlsx</x:v>
      </x:c>
      <x:c r="C44" s="207" t="str">
        <x:v>Персонал и оплата труда</x:v>
      </x:c>
      <x:c r="D44" s="207" t="str">
        <x:v>Есть</x:v>
      </x:c>
      <x:c r="E44" s="207" t="str">
        <x:v>HRIS/ЗУП + Payroll ledger</x:v>
      </x:c>
      <x:c r="F44" s="207" t="str">
        <x:v>Сотрудники, начисления, реестры выплат</x:v>
      </x:c>
      <x:c r="G44" s="207" t="str">
        <x:v>Quarantine/Fix</x:v>
      </x:c>
      <x:c r="H44" s="207" t="str">
        <x:v>Карантин → исправление → контрольная загрузка</x:v>
      </x:c>
      <x:c r="I44" s="208" t="str">
        <x:v>HRIS/ЗУП + Payroll ledger</x:v>
      </x:c>
    </x:row>
    <x:row r="45">
      <x:c r="A45" s="206" t="str">
        <x:v>FILE-041</x:v>
      </x:c>
      <x:c r="B45" s="207" t="str">
        <x:v>зп_конструкторы_01.26.xlsx</x:v>
      </x:c>
      <x:c r="C45" s="207" t="str">
        <x:v>Персонал и оплата труда</x:v>
      </x:c>
      <x:c r="D45" s="207" t="str">
        <x:v>Есть</x:v>
      </x:c>
      <x:c r="E45" s="207" t="str">
        <x:v>HRIS/ЗУП + Payroll ledger</x:v>
      </x:c>
      <x:c r="F45" s="207" t="str">
        <x:v>Сотрудники, начисления, реестры выплат</x:v>
      </x:c>
      <x:c r="G45" s="207" t="str">
        <x:v>Quarantine/Fix</x:v>
      </x:c>
      <x:c r="H45" s="207" t="str">
        <x:v>Карантин → исправление → контрольная загрузка</x:v>
      </x:c>
      <x:c r="I45" s="208" t="str">
        <x:v>HRIS/ЗУП + Payroll ledger</x:v>
      </x:c>
    </x:row>
    <x:row r="46">
      <x:c r="A46" s="206" t="str">
        <x:v>FILE-042</x:v>
      </x:c>
      <x:c r="B46" s="207" t="str">
        <x:v>зп_конструкторы_02.26.xlsx</x:v>
      </x:c>
      <x:c r="C46" s="207" t="str">
        <x:v>Персонал и оплата труда</x:v>
      </x:c>
      <x:c r="D46" s="207" t="str">
        <x:v>Есть</x:v>
      </x:c>
      <x:c r="E46" s="207" t="str">
        <x:v>HRIS/ЗУП + Payroll ledger</x:v>
      </x:c>
      <x:c r="F46" s="207" t="str">
        <x:v>Сотрудники, начисления, реестры выплат</x:v>
      </x:c>
      <x:c r="G46" s="207" t="str">
        <x:v>Quarantine/Fix</x:v>
      </x:c>
      <x:c r="H46" s="207" t="str">
        <x:v>Карантин → исправление → контрольная загрузка</x:v>
      </x:c>
      <x:c r="I46" s="208" t="str">
        <x:v>HRIS/ЗУП + Payroll ledger</x:v>
      </x:c>
    </x:row>
    <x:row r="47">
      <x:c r="A47" s="206" t="str">
        <x:v>FILE-043</x:v>
      </x:c>
      <x:c r="B47" s="207" t="str">
        <x:v>зп_конструкторы_03.26.xlsx</x:v>
      </x:c>
      <x:c r="C47" s="207" t="str">
        <x:v>Персонал и оплата труда</x:v>
      </x:c>
      <x:c r="D47" s="207" t="str">
        <x:v>Есть</x:v>
      </x:c>
      <x:c r="E47" s="207" t="str">
        <x:v>HRIS/ЗУП + Payroll ledger</x:v>
      </x:c>
      <x:c r="F47" s="207" t="str">
        <x:v>Сотрудники, начисления, реестры выплат</x:v>
      </x:c>
      <x:c r="G47" s="207" t="str">
        <x:v>Quarantine/Fix</x:v>
      </x:c>
      <x:c r="H47" s="207" t="str">
        <x:v>Карантин → исправление → контрольная загрузка</x:v>
      </x:c>
      <x:c r="I47" s="208" t="str">
        <x:v>HRIS/ЗУП + Payroll ledger</x:v>
      </x:c>
    </x:row>
    <x:row r="48">
      <x:c r="A48" s="206" t="str">
        <x:v>FILE-044</x:v>
      </x:c>
      <x:c r="B48" s="207" t="str">
        <x:v>зп_конструкторы_04.26.xlsx</x:v>
      </x:c>
      <x:c r="C48" s="207" t="str">
        <x:v>Персонал и оплата труда</x:v>
      </x:c>
      <x:c r="D48" s="207" t="str">
        <x:v>Есть</x:v>
      </x:c>
      <x:c r="E48" s="207" t="str">
        <x:v>HRIS/ЗУП + Payroll ledger</x:v>
      </x:c>
      <x:c r="F48" s="207" t="str">
        <x:v>Сотрудники, начисления, реестры выплат</x:v>
      </x:c>
      <x:c r="G48" s="207" t="str">
        <x:v>Quarantine/Fix</x:v>
      </x:c>
      <x:c r="H48" s="207" t="str">
        <x:v>Карантин → исправление → контрольная загрузка</x:v>
      </x:c>
      <x:c r="I48" s="208" t="str">
        <x:v>HRIS/ЗУП + Payroll ledger</x:v>
      </x:c>
    </x:row>
    <x:row r="49">
      <x:c r="A49" s="206" t="str">
        <x:v>FILE-045</x:v>
      </x:c>
      <x:c r="B49" s="207" t="str">
        <x:v>зп_конструкторы_05.26.xlsx</x:v>
      </x:c>
      <x:c r="C49" s="207" t="str">
        <x:v>Персонал и оплата труда</x:v>
      </x:c>
      <x:c r="D49" s="207" t="str">
        <x:v>Есть</x:v>
      </x:c>
      <x:c r="E49" s="207" t="str">
        <x:v>HRIS/ЗУП + Payroll ledger</x:v>
      </x:c>
      <x:c r="F49" s="207" t="str">
        <x:v>Сотрудники, начисления, реестры выплат</x:v>
      </x:c>
      <x:c r="G49" s="207" t="str">
        <x:v>Quarantine/Fix</x:v>
      </x:c>
      <x:c r="H49" s="207" t="str">
        <x:v>Карантин → исправление → контрольная загрузка</x:v>
      </x:c>
      <x:c r="I49" s="208" t="str">
        <x:v>HRIS/ЗУП + Payroll ledger</x:v>
      </x:c>
    </x:row>
    <x:row r="50">
      <x:c r="A50" s="206" t="str">
        <x:v>FILE-046</x:v>
      </x:c>
      <x:c r="B50" s="207" t="str">
        <x:v>ЗП_ЦЕХ 01.26.xlsx</x:v>
      </x:c>
      <x:c r="C50" s="207" t="str">
        <x:v>Персонал и оплата труда</x:v>
      </x:c>
      <x:c r="D50" s="207" t="str">
        <x:v>Есть</x:v>
      </x:c>
      <x:c r="E50" s="207" t="str">
        <x:v>HRIS/ЗУП + Payroll ledger</x:v>
      </x:c>
      <x:c r="F50" s="207" t="str">
        <x:v>Сотрудники, начисления, реестры выплат</x:v>
      </x:c>
      <x:c r="G50" s="207" t="str">
        <x:v>Quarantine/Fix</x:v>
      </x:c>
      <x:c r="H50" s="207" t="str">
        <x:v>Карантин → исправление → контрольная загрузка</x:v>
      </x:c>
      <x:c r="I50" s="208" t="str">
        <x:v>HRIS/ЗУП + Payroll ledger</x:v>
      </x:c>
    </x:row>
    <x:row r="51">
      <x:c r="A51" s="206" t="str">
        <x:v>FILE-047</x:v>
      </x:c>
      <x:c r="B51" s="207" t="str">
        <x:v>ЗП_ЦЕХ 02.26.xlsx</x:v>
      </x:c>
      <x:c r="C51" s="207" t="str">
        <x:v>Персонал и оплата труда</x:v>
      </x:c>
      <x:c r="D51" s="207" t="str">
        <x:v>Есть</x:v>
      </x:c>
      <x:c r="E51" s="207" t="str">
        <x:v>HRIS/ЗУП + Payroll ledger</x:v>
      </x:c>
      <x:c r="F51" s="207" t="str">
        <x:v>Сотрудники, начисления, реестры выплат</x:v>
      </x:c>
      <x:c r="G51" s="207" t="str">
        <x:v>Quarantine/Fix</x:v>
      </x:c>
      <x:c r="H51" s="207" t="str">
        <x:v>Карантин → исправление → контрольная загрузка</x:v>
      </x:c>
      <x:c r="I51" s="208" t="str">
        <x:v>HRIS/ЗУП + Payroll ledger</x:v>
      </x:c>
    </x:row>
    <x:row r="52">
      <x:c r="A52" s="206" t="str">
        <x:v>FILE-048</x:v>
      </x:c>
      <x:c r="B52" s="207" t="str">
        <x:v>ЗП_ЦЕХ 03.26.xlsx</x:v>
      </x:c>
      <x:c r="C52" s="207" t="str">
        <x:v>Персонал и оплата труда</x:v>
      </x:c>
      <x:c r="D52" s="207" t="str">
        <x:v>Есть</x:v>
      </x:c>
      <x:c r="E52" s="207" t="str">
        <x:v>HRIS/ЗУП + Payroll ledger</x:v>
      </x:c>
      <x:c r="F52" s="207" t="str">
        <x:v>Сотрудники, начисления, реестры выплат</x:v>
      </x:c>
      <x:c r="G52" s="207" t="str">
        <x:v>Quarantine/Fix</x:v>
      </x:c>
      <x:c r="H52" s="207" t="str">
        <x:v>Карантин → исправление → контрольная загрузка</x:v>
      </x:c>
      <x:c r="I52" s="208" t="str">
        <x:v>HRIS/ЗУП + Payroll ledger</x:v>
      </x:c>
    </x:row>
    <x:row r="53">
      <x:c r="A53" s="206" t="str">
        <x:v>FILE-049</x:v>
      </x:c>
      <x:c r="B53" s="207" t="str">
        <x:v>ЗП_ЦЕХ 04.26.xlsx</x:v>
      </x:c>
      <x:c r="C53" s="207" t="str">
        <x:v>Персонал и оплата труда</x:v>
      </x:c>
      <x:c r="D53" s="207" t="str">
        <x:v>Есть</x:v>
      </x:c>
      <x:c r="E53" s="207" t="str">
        <x:v>HRIS/ЗУП + Payroll ledger</x:v>
      </x:c>
      <x:c r="F53" s="207" t="str">
        <x:v>Сотрудники, начисления, реестры выплат</x:v>
      </x:c>
      <x:c r="G53" s="207" t="str">
        <x:v>Quarantine/Fix</x:v>
      </x:c>
      <x:c r="H53" s="207" t="str">
        <x:v>Карантин → исправление → контрольная загрузка</x:v>
      </x:c>
      <x:c r="I53" s="208" t="str">
        <x:v>HRIS/ЗУП + Payroll ledger</x:v>
      </x:c>
    </x:row>
    <x:row r="54">
      <x:c r="A54" s="206" t="str">
        <x:v>FILE-050</x:v>
      </x:c>
      <x:c r="B54" s="207" t="str">
        <x:v>ЗП_ЦЕХ 05.26.xlsx</x:v>
      </x:c>
      <x:c r="C54" s="207" t="str">
        <x:v>Персонал и оплата труда</x:v>
      </x:c>
      <x:c r="D54" s="207" t="str">
        <x:v>Есть</x:v>
      </x:c>
      <x:c r="E54" s="207" t="str">
        <x:v>HRIS/ЗУП + Payroll ledger</x:v>
      </x:c>
      <x:c r="F54" s="207" t="str">
        <x:v>Сотрудники, начисления, реестры выплат</x:v>
      </x:c>
      <x:c r="G54" s="207" t="str">
        <x:v>Quarantine/Fix</x:v>
      </x:c>
      <x:c r="H54" s="207" t="str">
        <x:v>Карантин → исправление → контрольная загрузка</x:v>
      </x:c>
      <x:c r="I54" s="208" t="str">
        <x:v>HRIS/ЗУП + Payroll ledger</x:v>
      </x:c>
    </x:row>
    <x:row r="55">
      <x:c r="A55" s="206" t="str">
        <x:v>FILE-051</x:v>
      </x:c>
      <x:c r="B55" s="207" t="str">
        <x:v>МД — копия.xlsx</x:v>
      </x:c>
      <x:c r="C55" s="207" t="str">
        <x:v>Себестоимость и производство</x:v>
      </x:c>
      <x:c r="D55" s="207" t="str">
        <x:v>Есть</x:v>
      </x:c>
      <x:c r="E55" s="207" t="str">
        <x:v>PLM/ERP/MES</x:v>
      </x:c>
      <x:c r="F55" s="207" t="str">
        <x:v>BOM, production order, операции, cost version</x:v>
      </x:c>
      <x:c r="G55" s="207" t="str">
        <x:v>Quarantine/Fix</x:v>
      </x:c>
      <x:c r="H55" s="207" t="str">
        <x:v>Карантин → исправление → контрольная загрузка</x:v>
      </x:c>
      <x:c r="I55" s="208" t="str">
        <x:v>PLM/ERP/MES</x:v>
      </x:c>
    </x:row>
    <x:row r="56">
      <x:c r="A56" s="206" t="str">
        <x:v>FILE-052</x:v>
      </x:c>
      <x:c r="B56" s="207" t="str">
        <x:v>Орг. структура на 28.05.2026.pdf</x:v>
      </x:c>
      <x:c r="C56" s="207" t="str">
        <x:v>Персонал и оплата труда</x:v>
      </x:c>
      <x:c r="D56" s="207" t="str">
        <x:v>Есть</x:v>
      </x:c>
      <x:c r="E56" s="207" t="str">
        <x:v>HRIS/ЗУП + Payroll ledger</x:v>
      </x:c>
      <x:c r="F56" s="207" t="str">
        <x:v>Сотрудники, начисления, реестры выплат</x:v>
      </x:c>
      <x:c r="G56" s="207" t="str">
        <x:v>Quarantine/Fix</x:v>
      </x:c>
      <x:c r="H56" s="207" t="str">
        <x:v>Карантин → исправление → контрольная загрузка</x:v>
      </x:c>
      <x:c r="I56" s="208" t="str">
        <x:v>HRIS/ЗУП + Payroll ledger</x:v>
      </x:c>
    </x:row>
    <x:row r="57">
      <x:c r="A57" s="206" t="str">
        <x:v>FILE-053</x:v>
      </x:c>
      <x:c r="B57" s="207" t="str">
        <x:v>Остатки ткани из 1С на 31.05.2026.xlsx</x:v>
      </x:c>
      <x:c r="C57" s="207" t="str">
        <x:v>Закупки и запасы</x:v>
      </x:c>
      <x:c r="D57" s="207" t="str">
        <x:v>Есть</x:v>
      </x:c>
      <x:c r="E57" s="207" t="str">
        <x:v>ERP/1С + WMS</x:v>
      </x:c>
      <x:c r="F57" s="207" t="str">
        <x:v>Поставщики, PO, приёмка, материалы, партии</x:v>
      </x:c>
      <x:c r="G57" s="207" t="str">
        <x:v>Quarantine/Fix</x:v>
      </x:c>
      <x:c r="H57" s="207" t="str">
        <x:v>Карантин → исправление → контрольная загрузка</x:v>
      </x:c>
      <x:c r="I57" s="208" t="str">
        <x:v>ERP/1С + WMS</x:v>
      </x:c>
    </x:row>
    <x:row r="58">
      <x:c r="A58" s="206" t="str">
        <x:v>FILE-054</x:v>
      </x:c>
      <x:c r="B58" s="207" t="str">
        <x:v>план работы.docx</x:v>
      </x:c>
      <x:c r="C58" s="207" t="str">
        <x:v>Договоры и проектные документы</x:v>
      </x:c>
      <x:c r="D58" s="207" t="str">
        <x:v>Есть</x:v>
      </x:c>
      <x:c r="E58" s="207" t="str">
        <x:v>DMS/GRC</x:v>
      </x:c>
      <x:c r="F58" s="207" t="str">
        <x:v>Договоры, NDA, регламенты, approvals</x:v>
      </x:c>
      <x:c r="G58" s="207" t="str">
        <x:v>Quarantine/Fix</x:v>
      </x:c>
      <x:c r="H58" s="207" t="str">
        <x:v>Карантин → исправление → контрольная загрузка</x:v>
      </x:c>
      <x:c r="I58" s="208" t="str">
        <x:v>DMS/GRC</x:v>
      </x:c>
    </x:row>
    <x:row r="59">
      <x:c r="A59" s="206" t="str">
        <x:v>FILE-055</x:v>
      </x:c>
      <x:c r="B59" s="207" t="str">
        <x:v>Положение об оплате труда и премировании в ИП Янина.doc</x:v>
      </x:c>
      <x:c r="C59" s="207" t="str">
        <x:v>Персонал и оплата труда</x:v>
      </x:c>
      <x:c r="D59" s="207" t="str">
        <x:v>Есть</x:v>
      </x:c>
      <x:c r="E59" s="207" t="str">
        <x:v>HRIS/ЗУП + Payroll ledger</x:v>
      </x:c>
      <x:c r="F59" s="207" t="str">
        <x:v>Сотрудники, начисления, реестры выплат</x:v>
      </x:c>
      <x:c r="G59" s="207" t="str">
        <x:v>Quarantine/Fix</x:v>
      </x:c>
      <x:c r="H59" s="207" t="str">
        <x:v>Карантин → исправление → контрольная загрузка</x:v>
      </x:c>
      <x:c r="I59" s="208" t="str">
        <x:v>HRIS/ЗУП + Payroll ledger</x:v>
      </x:c>
    </x:row>
    <x:row r="60">
      <x:c r="A60" s="206" t="str">
        <x:v>FILE-056</x:v>
      </x:c>
      <x:c r="B60" s="207" t="str">
        <x:v>Приложение 1 к положению.docx</x:v>
      </x:c>
      <x:c r="C60" s="207" t="str">
        <x:v>Персонал и оплата труда</x:v>
      </x:c>
      <x:c r="D60" s="207" t="str">
        <x:v>Есть</x:v>
      </x:c>
      <x:c r="E60" s="207" t="str">
        <x:v>HRIS/ЗУП + Payroll ledger</x:v>
      </x:c>
      <x:c r="F60" s="207" t="str">
        <x:v>Сотрудники, начисления, реестры выплат</x:v>
      </x:c>
      <x:c r="G60" s="207" t="str">
        <x:v>Quarantine/Fix</x:v>
      </x:c>
      <x:c r="H60" s="207" t="str">
        <x:v>Карантин → исправление → контрольная загрузка</x:v>
      </x:c>
      <x:c r="I60" s="208" t="str">
        <x:v>HRIS/ЗУП + Payroll ledger</x:v>
      </x:c>
    </x:row>
    <x:row r="61">
      <x:c r="A61" s="206" t="str">
        <x:v>FILE-057</x:v>
      </x:c>
      <x:c r="B61" s="207" t="str">
        <x:v>Продажи ЦУМ 2024.xlsx</x:v>
      </x:c>
      <x:c r="C61" s="207" t="str">
        <x:v>Продажи и каналы</x:v>
      </x:c>
      <x:c r="D61" s="207" t="str">
        <x:v>Есть</x:v>
      </x:c>
      <x:c r="E61" s="207" t="str">
        <x:v>CRM/POS/CMS + ERP</x:v>
      </x:c>
      <x:c r="F61" s="207" t="str">
        <x:v>Заказы, строки продаж, возвраты, settlement</x:v>
      </x:c>
      <x:c r="G61" s="207" t="str">
        <x:v>Quarantine/Fix</x:v>
      </x:c>
      <x:c r="H61" s="207" t="str">
        <x:v>Карантин → исправление → контрольная загрузка</x:v>
      </x:c>
      <x:c r="I61" s="208" t="str">
        <x:v>CRM/POS/CMS + ERP</x:v>
      </x:c>
    </x:row>
    <x:row r="62">
      <x:c r="A62" s="206" t="str">
        <x:v>FILE-058</x:v>
      </x:c>
      <x:c r="B62" s="207" t="str">
        <x:v>Продажи ЦУМ 2025.xlsx</x:v>
      </x:c>
      <x:c r="C62" s="207" t="str">
        <x:v>Продажи и каналы</x:v>
      </x:c>
      <x:c r="D62" s="207" t="str">
        <x:v>Есть</x:v>
      </x:c>
      <x:c r="E62" s="207" t="str">
        <x:v>CRM/POS/CMS + ERP</x:v>
      </x:c>
      <x:c r="F62" s="207" t="str">
        <x:v>Заказы, строки продаж, возвраты, settlement</x:v>
      </x:c>
      <x:c r="G62" s="207" t="str">
        <x:v>Quarantine/Fix</x:v>
      </x:c>
      <x:c r="H62" s="207" t="str">
        <x:v>Карантин → исправление → контрольная загрузка</x:v>
      </x:c>
      <x:c r="I62" s="208" t="str">
        <x:v>CRM/POS/CMS + ERP</x:v>
      </x:c>
    </x:row>
    <x:row r="63">
      <x:c r="A63" s="206" t="str">
        <x:v>FILE-059</x:v>
      </x:c>
      <x:c r="B63" s="207" t="str">
        <x:v>Продажи ЦУМ 2026.xlsx</x:v>
      </x:c>
      <x:c r="C63" s="207" t="str">
        <x:v>Продажи и каналы</x:v>
      </x:c>
      <x:c r="D63" s="207" t="str">
        <x:v>Есть</x:v>
      </x:c>
      <x:c r="E63" s="207" t="str">
        <x:v>CRM/POS/CMS + ERP</x:v>
      </x:c>
      <x:c r="F63" s="207" t="str">
        <x:v>Заказы, строки продаж, возвраты, settlement</x:v>
      </x:c>
      <x:c r="G63" s="207" t="str">
        <x:v>Quarantine/Fix</x:v>
      </x:c>
      <x:c r="H63" s="207" t="str">
        <x:v>Карантин → исправление → контрольная загрузка</x:v>
      </x:c>
      <x:c r="I63" s="208" t="str">
        <x:v>CRM/POS/CMS + ERP</x:v>
      </x:c>
    </x:row>
    <x:row r="64">
      <x:c r="A64" s="206" t="str">
        <x:v>FILE-060</x:v>
      </x:c>
      <x:c r="B64" s="207" t="str">
        <x:v>Расходы 2024.xlsx</x:v>
      </x:c>
      <x:c r="C64" s="207" t="str">
        <x:v>Финансы и денежные потоки</x:v>
      </x:c>
      <x:c r="D64" s="207" t="str">
        <x:v>Есть</x:v>
      </x:c>
      <x:c r="E64" s="207" t="str">
        <x:v>ERP/1С + Bank hub + DWH</x:v>
      </x:c>
      <x:c r="F64" s="207" t="str">
        <x:v>Платежи, ДДС, бюджеты, остатки, AR/AP</x:v>
      </x:c>
      <x:c r="G64" s="207" t="str">
        <x:v>Quarantine/Fix</x:v>
      </x:c>
      <x:c r="H64" s="207" t="str">
        <x:v>Карантин → исправление → контрольная загрузка</x:v>
      </x:c>
      <x:c r="I64" s="208" t="str">
        <x:v>ERP/1С + Bank hub + DWH</x:v>
      </x:c>
    </x:row>
    <x:row r="65">
      <x:c r="A65" s="206" t="str">
        <x:v>FILE-061</x:v>
      </x:c>
      <x:c r="B65" s="207" t="str">
        <x:v>Расходы 2025.xlsx</x:v>
      </x:c>
      <x:c r="C65" s="207" t="str">
        <x:v>Финансы и денежные потоки</x:v>
      </x:c>
      <x:c r="D65" s="207" t="str">
        <x:v>Есть</x:v>
      </x:c>
      <x:c r="E65" s="207" t="str">
        <x:v>ERP/1С + Bank hub + DWH</x:v>
      </x:c>
      <x:c r="F65" s="207" t="str">
        <x:v>Платежи, ДДС, бюджеты, остатки, AR/AP</x:v>
      </x:c>
      <x:c r="G65" s="207" t="str">
        <x:v>Quarantine/Fix</x:v>
      </x:c>
      <x:c r="H65" s="207" t="str">
        <x:v>Карантин → исправление → контрольная загрузка</x:v>
      </x:c>
      <x:c r="I65" s="208" t="str">
        <x:v>ERP/1С + Bank hub + DWH</x:v>
      </x:c>
    </x:row>
    <x:row r="66">
      <x:c r="A66" s="206" t="str">
        <x:v>FILE-062</x:v>
      </x:c>
      <x:c r="B66" s="207" t="str">
        <x:v>Расходы 2026.xlsx</x:v>
      </x:c>
      <x:c r="C66" s="207" t="str">
        <x:v>Финансы и денежные потоки</x:v>
      </x:c>
      <x:c r="D66" s="207" t="str">
        <x:v>Есть</x:v>
      </x:c>
      <x:c r="E66" s="207" t="str">
        <x:v>ERP/1С + Bank hub + DWH</x:v>
      </x:c>
      <x:c r="F66" s="207" t="str">
        <x:v>Платежи, ДДС, бюджеты, остатки, AR/AP</x:v>
      </x:c>
      <x:c r="G66" s="207" t="str">
        <x:v>Quarantine/Fix</x:v>
      </x:c>
      <x:c r="H66" s="207" t="str">
        <x:v>Карантин → исправление → контрольная загрузка</x:v>
      </x:c>
      <x:c r="I66" s="208" t="str">
        <x:v>ERP/1С + Bank hub + DWH</x:v>
      </x:c>
    </x:row>
    <x:row r="67">
      <x:c r="A67" s="206" t="str">
        <x:v>FILE-063</x:v>
      </x:c>
      <x:c r="B67" s="207" t="str">
        <x:v>Расчет по страховым взносам за 1 квартал 2026 г. (Янина Ю. Ф. ИП).pdf</x:v>
      </x:c>
      <x:c r="C67" s="207" t="str">
        <x:v>Налоги и обязательная отчётность</x:v>
      </x:c>
      <x:c r="D67" s="207" t="str">
        <x:v>Есть</x:v>
      </x:c>
      <x:c r="E67" s="207" t="str">
        <x:v>Tax ledger + ENS register + DMS</x:v>
      </x:c>
      <x:c r="F67" s="207" t="str">
        <x:v>Декларации, обязательства, уведомления, ЕНС</x:v>
      </x:c>
      <x:c r="G67" s="207" t="str">
        <x:v>Quarantine/Fix</x:v>
      </x:c>
      <x:c r="H67" s="207" t="str">
        <x:v>Карантин → исправление → контрольная загрузка</x:v>
      </x:c>
      <x:c r="I67" s="208" t="str">
        <x:v>Tax ledger + ENS register + DMS</x:v>
      </x:c>
    </x:row>
    <x:row r="68">
      <x:c r="A68" s="206" t="str">
        <x:v>FILE-064</x:v>
      </x:c>
      <x:c r="B68" s="207" t="str">
        <x:v>Расчет по страховым взносам за 2024 г. (ДЕКОР ООО).pdf</x:v>
      </x:c>
      <x:c r="C68" s="207" t="str">
        <x:v>Налоги и обязательная отчётность</x:v>
      </x:c>
      <x:c r="D68" s="207" t="str">
        <x:v>Есть</x:v>
      </x:c>
      <x:c r="E68" s="207" t="str">
        <x:v>Tax ledger + ENS register + DMS</x:v>
      </x:c>
      <x:c r="F68" s="207" t="str">
        <x:v>Декларации, обязательства, уведомления, ЕНС</x:v>
      </x:c>
      <x:c r="G68" s="207" t="str">
        <x:v>Quarantine/Fix</x:v>
      </x:c>
      <x:c r="H68" s="207" t="str">
        <x:v>Карантин → исправление → контрольная загрузка</x:v>
      </x:c>
      <x:c r="I68" s="208" t="str">
        <x:v>Tax ledger + ENS register + DMS</x:v>
      </x:c>
    </x:row>
    <x:row r="69">
      <x:c r="A69" s="206" t="str">
        <x:v>FILE-065</x:v>
      </x:c>
      <x:c r="B69" s="207" t="str">
        <x:v>Расчет по страховым взносам за 2024 г. (Янина Ю. Ф. ИП).pdf</x:v>
      </x:c>
      <x:c r="C69" s="207" t="str">
        <x:v>Налоги и обязательная отчётность</x:v>
      </x:c>
      <x:c r="D69" s="207" t="str">
        <x:v>Есть</x:v>
      </x:c>
      <x:c r="E69" s="207" t="str">
        <x:v>Tax ledger + ENS register + DMS</x:v>
      </x:c>
      <x:c r="F69" s="207" t="str">
        <x:v>Декларации, обязательства, уведомления, ЕНС</x:v>
      </x:c>
      <x:c r="G69" s="207" t="str">
        <x:v>Quarantine/Fix</x:v>
      </x:c>
      <x:c r="H69" s="207" t="str">
        <x:v>Карантин → исправление → контрольная загрузка</x:v>
      </x:c>
      <x:c r="I69" s="208" t="str">
        <x:v>Tax ledger + ENS register + DMS</x:v>
      </x:c>
    </x:row>
    <x:row r="70">
      <x:c r="A70" s="206" t="str">
        <x:v>FILE-066</x:v>
      </x:c>
      <x:c r="B70" s="207" t="str">
        <x:v>Расчет по страховым взносам за 2025 г. (ДЕКОР ООО).pdf</x:v>
      </x:c>
      <x:c r="C70" s="207" t="str">
        <x:v>Налоги и обязательная отчётность</x:v>
      </x:c>
      <x:c r="D70" s="207" t="str">
        <x:v>Есть</x:v>
      </x:c>
      <x:c r="E70" s="207" t="str">
        <x:v>Tax ledger + ENS register + DMS</x:v>
      </x:c>
      <x:c r="F70" s="207" t="str">
        <x:v>Декларации, обязательства, уведомления, ЕНС</x:v>
      </x:c>
      <x:c r="G70" s="207" t="str">
        <x:v>Quarantine/Fix</x:v>
      </x:c>
      <x:c r="H70" s="207" t="str">
        <x:v>Карантин → исправление → контрольная загрузка</x:v>
      </x:c>
      <x:c r="I70" s="208" t="str">
        <x:v>Tax ledger + ENS register + DMS</x:v>
      </x:c>
    </x:row>
    <x:row r="71">
      <x:c r="A71" s="206" t="str">
        <x:v>FILE-067</x:v>
      </x:c>
      <x:c r="B71" s="207" t="str">
        <x:v>Расчет по страховым взносам за 2025 г. (Янина Ю. Ф. ИП).pdf</x:v>
      </x:c>
      <x:c r="C71" s="207" t="str">
        <x:v>Налоги и обязательная отчётность</x:v>
      </x:c>
      <x:c r="D71" s="207" t="str">
        <x:v>Есть</x:v>
      </x:c>
      <x:c r="E71" s="207" t="str">
        <x:v>Tax ledger + ENS register + DMS</x:v>
      </x:c>
      <x:c r="F71" s="207" t="str">
        <x:v>Декларации, обязательства, уведомления, ЕНС</x:v>
      </x:c>
      <x:c r="G71" s="207" t="str">
        <x:v>Quarantine/Fix</x:v>
      </x:c>
      <x:c r="H71" s="207" t="str">
        <x:v>Карантин → исправление → контрольная загрузка</x:v>
      </x:c>
      <x:c r="I71" s="208" t="str">
        <x:v>Tax ledger + ENS register + DMS</x:v>
      </x:c>
    </x:row>
    <x:row r="72">
      <x:c r="A72" s="206" t="str">
        <x:v>FILE-068</x:v>
      </x:c>
      <x:c r="B72" s="207" t="str">
        <x:v>результат капсула 2024.xlsx</x:v>
      </x:c>
      <x:c r="C72" s="207" t="str">
        <x:v>Коллекции и продукт</x:v>
      </x:c>
      <x:c r="D72" s="207" t="str">
        <x:v>Есть</x:v>
      </x:c>
      <x:c r="E72" s="207" t="str">
        <x:v>PLM/MDM</x:v>
      </x:c>
      <x:c r="F72" s="207" t="str">
        <x:v>Коллекции, модели, SKU, версии</x:v>
      </x:c>
      <x:c r="G72" s="207" t="str">
        <x:v>Migrate then Read-only</x:v>
      </x:c>
      <x:c r="H72" s="207" t="str">
        <x:v>Мигрировать данные в целевой регистр; файл оставить read-only выгрузкой/архивом</x:v>
      </x:c>
      <x:c r="I72" s="208" t="str">
        <x:v>PLM/MDM</x:v>
      </x:c>
    </x:row>
    <x:row r="73">
      <x:c r="A73" s="206" t="str">
        <x:v>FILE-069</x:v>
      </x:c>
      <x:c r="B73" s="207" t="str">
        <x:v>результат капсула 2025.xlsx</x:v>
      </x:c>
      <x:c r="C73" s="207" t="str">
        <x:v>Коллекции и продукт</x:v>
      </x:c>
      <x:c r="D73" s="207" t="str">
        <x:v>Есть</x:v>
      </x:c>
      <x:c r="E73" s="207" t="str">
        <x:v>PLM/MDM</x:v>
      </x:c>
      <x:c r="F73" s="207" t="str">
        <x:v>Коллекции, модели, SKU, версии</x:v>
      </x:c>
      <x:c r="G73" s="207" t="str">
        <x:v>Migrate then Read-only</x:v>
      </x:c>
      <x:c r="H73" s="207" t="str">
        <x:v>Мигрировать данные в целевой регистр; файл оставить read-only выгрузкой/архивом</x:v>
      </x:c>
      <x:c r="I73" s="208" t="str">
        <x:v>PLM/MDM</x:v>
      </x:c>
    </x:row>
    <x:row r="74">
      <x:c r="A74" s="206" t="str">
        <x:v>FILE-070</x:v>
      </x:c>
      <x:c r="B74" s="207" t="str">
        <x:v>результат кол-я 43 (янв 2024).xlsx</x:v>
      </x:c>
      <x:c r="C74" s="207" t="str">
        <x:v>Коллекции и продукт</x:v>
      </x:c>
      <x:c r="D74" s="207" t="str">
        <x:v>Есть частично/с ограничениями</x:v>
      </x:c>
      <x:c r="E74" s="207" t="str">
        <x:v>PLM/MDM</x:v>
      </x:c>
      <x:c r="F74" s="207" t="str">
        <x:v>Коллекции, модели, SKU, версии</x:v>
      </x:c>
      <x:c r="G74" s="207" t="str">
        <x:v>Quarantine/Fix</x:v>
      </x:c>
      <x:c r="H74" s="207" t="str">
        <x:v>Карантин → исправление → контрольная загрузка</x:v>
      </x:c>
      <x:c r="I74" s="208" t="str">
        <x:v>PLM/MDM</x:v>
      </x:c>
    </x:row>
    <x:row r="75">
      <x:c r="A75" s="206" t="str">
        <x:v>FILE-071</x:v>
      </x:c>
      <x:c r="B75" s="207" t="str">
        <x:v>результат кол-я 44 (июнь 2024).xlsx</x:v>
      </x:c>
      <x:c r="C75" s="207" t="str">
        <x:v>Коллекции и продукт</x:v>
      </x:c>
      <x:c r="D75" s="207" t="str">
        <x:v>Есть частично/с ограничениями</x:v>
      </x:c>
      <x:c r="E75" s="207" t="str">
        <x:v>PLM/MDM</x:v>
      </x:c>
      <x:c r="F75" s="207" t="str">
        <x:v>Коллекции, модели, SKU, версии</x:v>
      </x:c>
      <x:c r="G75" s="207" t="str">
        <x:v>Quarantine/Fix</x:v>
      </x:c>
      <x:c r="H75" s="207" t="str">
        <x:v>Карантин → исправление → контрольная загрузка</x:v>
      </x:c>
      <x:c r="I75" s="208" t="str">
        <x:v>PLM/MDM</x:v>
      </x:c>
    </x:row>
    <x:row r="76">
      <x:c r="A76" s="206" t="str">
        <x:v>FILE-072</x:v>
      </x:c>
      <x:c r="B76" s="207" t="str">
        <x:v>результат кол-я 45 (янв 2025).xlsx</x:v>
      </x:c>
      <x:c r="C76" s="207" t="str">
        <x:v>Коллекции и продукт</x:v>
      </x:c>
      <x:c r="D76" s="207" t="str">
        <x:v>Есть частично/с ограничениями</x:v>
      </x:c>
      <x:c r="E76" s="207" t="str">
        <x:v>PLM/MDM</x:v>
      </x:c>
      <x:c r="F76" s="207" t="str">
        <x:v>Коллекции, модели, SKU, версии</x:v>
      </x:c>
      <x:c r="G76" s="207" t="str">
        <x:v>Quarantine/Fix</x:v>
      </x:c>
      <x:c r="H76" s="207" t="str">
        <x:v>Карантин → исправление → контрольная загрузка</x:v>
      </x:c>
      <x:c r="I76" s="208" t="str">
        <x:v>PLM/MDM</x:v>
      </x:c>
    </x:row>
    <x:row r="77">
      <x:c r="A77" s="206" t="str">
        <x:v>FILE-073</x:v>
      </x:c>
      <x:c r="B77" s="207" t="str">
        <x:v>результат кол-я 46 (июль 2025).xlsx</x:v>
      </x:c>
      <x:c r="C77" s="207" t="str">
        <x:v>Коллекции и продукт</x:v>
      </x:c>
      <x:c r="D77" s="207" t="str">
        <x:v>Есть частично/с ограничениями</x:v>
      </x:c>
      <x:c r="E77" s="207" t="str">
        <x:v>PLM/MDM</x:v>
      </x:c>
      <x:c r="F77" s="207" t="str">
        <x:v>Коллекции, модели, SKU, версии</x:v>
      </x:c>
      <x:c r="G77" s="207" t="str">
        <x:v>Quarantine/Fix</x:v>
      </x:c>
      <x:c r="H77" s="207" t="str">
        <x:v>Карантин → исправление → контрольная загрузка</x:v>
      </x:c>
      <x:c r="I77" s="208" t="str">
        <x:v>PLM/MDM</x:v>
      </x:c>
    </x:row>
    <x:row r="78">
      <x:c r="A78" s="206" t="str">
        <x:v>FILE-074</x:v>
      </x:c>
      <x:c r="B78" s="207" t="str">
        <x:v>результат кол-я 47 (янв 2026).xlsx</x:v>
      </x:c>
      <x:c r="C78" s="207" t="str">
        <x:v>Коллекции и продукт</x:v>
      </x:c>
      <x:c r="D78" s="207" t="str">
        <x:v>Есть частично/с ограничениями</x:v>
      </x:c>
      <x:c r="E78" s="207" t="str">
        <x:v>PLM/MDM</x:v>
      </x:c>
      <x:c r="F78" s="207" t="str">
        <x:v>Коллекции, модели, SKU, версии</x:v>
      </x:c>
      <x:c r="G78" s="207" t="str">
        <x:v>Quarantine/Fix</x:v>
      </x:c>
      <x:c r="H78" s="207" t="str">
        <x:v>Карантин → исправление → контрольная загрузка</x:v>
      </x:c>
      <x:c r="I78" s="208" t="str">
        <x:v>PLM/MDM</x:v>
      </x:c>
    </x:row>
    <x:row r="79">
      <x:c r="A79" s="206" t="str">
        <x:v>FILE-075</x:v>
      </x:c>
      <x:c r="B79" s="207" t="str">
        <x:v>результат круиз 09.04.25.xlsx</x:v>
      </x:c>
      <x:c r="C79" s="207" t="str">
        <x:v>Коллекции и продукт</x:v>
      </x:c>
      <x:c r="D79" s="207" t="str">
        <x:v>Есть</x:v>
      </x:c>
      <x:c r="E79" s="207" t="str">
        <x:v>PLM/MDM</x:v>
      </x:c>
      <x:c r="F79" s="207" t="str">
        <x:v>Коллекции, модели, SKU, версии</x:v>
      </x:c>
      <x:c r="G79" s="207" t="str">
        <x:v>Migrate then Read-only</x:v>
      </x:c>
      <x:c r="H79" s="207" t="str">
        <x:v>Мигрировать данные в целевой регистр; файл оставить read-only выгрузкой/архивом</x:v>
      </x:c>
      <x:c r="I79" s="208" t="str">
        <x:v>PLM/MDM</x:v>
      </x:c>
    </x:row>
    <x:row r="80">
      <x:c r="A80" s="206" t="str">
        <x:v>FILE-076</x:v>
      </x:c>
      <x:c r="B80" s="207" t="str">
        <x:v>результат круиз 14.04.26.xlsx</x:v>
      </x:c>
      <x:c r="C80" s="207" t="str">
        <x:v>Коллекции и продукт</x:v>
      </x:c>
      <x:c r="D80" s="207" t="str">
        <x:v>Есть</x:v>
      </x:c>
      <x:c r="E80" s="207" t="str">
        <x:v>PLM/MDM</x:v>
      </x:c>
      <x:c r="F80" s="207" t="str">
        <x:v>Коллекции, модели, SKU, версии</x:v>
      </x:c>
      <x:c r="G80" s="207" t="str">
        <x:v>Migrate then Read-only</x:v>
      </x:c>
      <x:c r="H80" s="207" t="str">
        <x:v>Мигрировать данные в целевой регистр; файл оставить read-only выгрузкой/архивом</x:v>
      </x:c>
      <x:c r="I80" s="208" t="str">
        <x:v>PLM/MDM</x:v>
      </x:c>
    </x:row>
    <x:row r="81">
      <x:c r="A81" s="206" t="str">
        <x:v>FILE-077</x:v>
      </x:c>
      <x:c r="B81" s="207" t="str">
        <x:v>результат круиз 22.04.24.xlsx</x:v>
      </x:c>
      <x:c r="C81" s="207" t="str">
        <x:v>Коллекции и продукт</x:v>
      </x:c>
      <x:c r="D81" s="207" t="str">
        <x:v>Есть</x:v>
      </x:c>
      <x:c r="E81" s="207" t="str">
        <x:v>PLM/MDM</x:v>
      </x:c>
      <x:c r="F81" s="207" t="str">
        <x:v>Коллекции, модели, SKU, версии</x:v>
      </x:c>
      <x:c r="G81" s="207" t="str">
        <x:v>Migrate then Read-only</x:v>
      </x:c>
      <x:c r="H81" s="207" t="str">
        <x:v>Мигрировать данные в целевой регистр; файл оставить read-only выгрузкой/архивом</x:v>
      </x:c>
      <x:c r="I81" s="208" t="str">
        <x:v>PLM/MDM</x:v>
      </x:c>
    </x:row>
    <x:row r="82">
      <x:c r="A82" s="206" t="str">
        <x:v>FILE-078</x:v>
      </x:c>
      <x:c r="B82" s="207" t="str">
        <x:v>результат НГ 2024.xlsx</x:v>
      </x:c>
      <x:c r="C82" s="207" t="str">
        <x:v>Коллекции и продукт</x:v>
      </x:c>
      <x:c r="D82" s="207" t="str">
        <x:v>Есть</x:v>
      </x:c>
      <x:c r="E82" s="207" t="str">
        <x:v>PLM/MDM</x:v>
      </x:c>
      <x:c r="F82" s="207" t="str">
        <x:v>Коллекции, модели, SKU, версии</x:v>
      </x:c>
      <x:c r="G82" s="207" t="str">
        <x:v>Migrate then Read-only</x:v>
      </x:c>
      <x:c r="H82" s="207" t="str">
        <x:v>Мигрировать данные в целевой регистр; файл оставить read-only выгрузкой/архивом</x:v>
      </x:c>
      <x:c r="I82" s="208" t="str">
        <x:v>PLM/MDM</x:v>
      </x:c>
    </x:row>
    <x:row r="83">
      <x:c r="A83" s="206" t="str">
        <x:v>FILE-079</x:v>
      </x:c>
      <x:c r="B83" s="207" t="str">
        <x:v>результат НГ 24.11.25.xlsx</x:v>
      </x:c>
      <x:c r="C83" s="207" t="str">
        <x:v>Коллекции и продукт</x:v>
      </x:c>
      <x:c r="D83" s="207" t="str">
        <x:v>Есть</x:v>
      </x:c>
      <x:c r="E83" s="207" t="str">
        <x:v>PLM/MDM</x:v>
      </x:c>
      <x:c r="F83" s="207" t="str">
        <x:v>Коллекции, модели, SKU, версии</x:v>
      </x:c>
      <x:c r="G83" s="207" t="str">
        <x:v>Migrate then Read-only</x:v>
      </x:c>
      <x:c r="H83" s="207" t="str">
        <x:v>Мигрировать данные в целевой регистр; файл оставить read-only выгрузкой/архивом</x:v>
      </x:c>
      <x:c r="I83" s="208" t="str">
        <x:v>PLM/MDM</x:v>
      </x:c>
    </x:row>
    <x:row r="84">
      <x:c r="A84" s="206" t="str">
        <x:v>FILE-080</x:v>
      </x:c>
      <x:c r="B84" s="207" t="str">
        <x:v>Сведения о наличии отрицательного сальдо ЕНС.pdf</x:v>
      </x:c>
      <x:c r="C84" s="207" t="str">
        <x:v>Налоги и обязательная отчётность</x:v>
      </x:c>
      <x:c r="D84" s="207" t="str">
        <x:v>Есть частично/с ограничениями</x:v>
      </x:c>
      <x:c r="E84" s="207" t="str">
        <x:v>Tax ledger + ENS register + DMS</x:v>
      </x:c>
      <x:c r="F84" s="207" t="str">
        <x:v>Декларации, обязательства, уведомления, ЕНС</x:v>
      </x:c>
      <x:c r="G84" s="207" t="str">
        <x:v>Official DMS source</x:v>
      </x:c>
      <x:c r="H84" s="207" t="str">
        <x:v>Хранить как первичный/официальный документ в DMS; метаданные связать с регистром</x:v>
      </x:c>
      <x:c r="I84" s="208" t="str">
        <x:v>Tax ledger + ENS register + DMS</x:v>
      </x:c>
    </x:row>
    <x:row r="85">
      <x:c r="A85" s="206" t="str">
        <x:v>FILE-081</x:v>
      </x:c>
      <x:c r="B85" s="207" t="str">
        <x:v>Себестоимость Жукова.xlsx</x:v>
      </x:c>
      <x:c r="C85" s="207" t="str">
        <x:v>Себестоимость и производство</x:v>
      </x:c>
      <x:c r="D85" s="207" t="str">
        <x:v>Есть частично/с ограничениями</x:v>
      </x:c>
      <x:c r="E85" s="207" t="str">
        <x:v>PLM/ERP/MES</x:v>
      </x:c>
      <x:c r="F85" s="207" t="str">
        <x:v>BOM, production order, операции, cost version</x:v>
      </x:c>
      <x:c r="G85" s="207" t="str">
        <x:v>Quarantine/Fix</x:v>
      </x:c>
      <x:c r="H85" s="207" t="str">
        <x:v>Карантин → исправление → контрольная загрузка</x:v>
      </x:c>
      <x:c r="I85" s="208" t="str">
        <x:v>PLM/ERP/MES</x:v>
      </x:c>
    </x:row>
    <x:row r="86">
      <x:c r="A86" s="206" t="str">
        <x:v>FILE-082</x:v>
      </x:c>
      <x:c r="B86" s="207" t="str">
        <x:v>Себестоимость Меркушина.xlsx</x:v>
      </x:c>
      <x:c r="C86" s="207" t="str">
        <x:v>Себестоимость и производство</x:v>
      </x:c>
      <x:c r="D86" s="207" t="str">
        <x:v>Есть частично/с ограничениями</x:v>
      </x:c>
      <x:c r="E86" s="207" t="str">
        <x:v>PLM/ERP/MES</x:v>
      </x:c>
      <x:c r="F86" s="207" t="str">
        <x:v>BOM, production order, операции, cost version</x:v>
      </x:c>
      <x:c r="G86" s="207" t="str">
        <x:v>Quarantine/Fix</x:v>
      </x:c>
      <x:c r="H86" s="207" t="str">
        <x:v>Карантин → исправление → контрольная загрузка</x:v>
      </x:c>
      <x:c r="I86" s="208" t="str">
        <x:v>PLM/ERP/MES</x:v>
      </x:c>
    </x:row>
    <x:row r="87">
      <x:c r="A87" s="206" t="str">
        <x:v>FILE-083</x:v>
      </x:c>
      <x:c r="B87" s="207" t="str">
        <x:v>себестоимость Мокеева 2025.xlsx</x:v>
      </x:c>
      <x:c r="C87" s="207" t="str">
        <x:v>Себестоимость и производство</x:v>
      </x:c>
      <x:c r="D87" s="207" t="str">
        <x:v>Есть</x:v>
      </x:c>
      <x:c r="E87" s="207" t="str">
        <x:v>PLM/ERP/MES</x:v>
      </x:c>
      <x:c r="F87" s="207" t="str">
        <x:v>BOM, production order, операции, cost version</x:v>
      </x:c>
      <x:c r="G87" s="207" t="str">
        <x:v>Quarantine/Fix</x:v>
      </x:c>
      <x:c r="H87" s="207" t="str">
        <x:v>Карантин → исправление → контрольная загрузка</x:v>
      </x:c>
      <x:c r="I87" s="208" t="str">
        <x:v>PLM/ERP/MES</x:v>
      </x:c>
    </x:row>
    <x:row r="88">
      <x:c r="A88" s="206" t="str">
        <x:v>FILE-084</x:v>
      </x:c>
      <x:c r="B88" s="207" t="str">
        <x:v>себестоимость Мокеева 2026.xlsx</x:v>
      </x:c>
      <x:c r="C88" s="207" t="str">
        <x:v>Себестоимость и производство</x:v>
      </x:c>
      <x:c r="D88" s="207" t="str">
        <x:v>Есть</x:v>
      </x:c>
      <x:c r="E88" s="207" t="str">
        <x:v>PLM/ERP/MES</x:v>
      </x:c>
      <x:c r="F88" s="207" t="str">
        <x:v>BOM, production order, операции, cost version</x:v>
      </x:c>
      <x:c r="G88" s="207" t="str">
        <x:v>Quarantine/Fix</x:v>
      </x:c>
      <x:c r="H88" s="207" t="str">
        <x:v>Карантин → исправление → контрольная загрузка</x:v>
      </x:c>
      <x:c r="I88" s="208" t="str">
        <x:v>PLM/ERP/MES</x:v>
      </x:c>
    </x:row>
    <x:row r="89">
      <x:c r="A89" s="206" t="str">
        <x:v>FILE-085</x:v>
      </x:c>
      <x:c r="B89" s="207" t="str">
        <x:v>Список контрагентов по закупке.xlsx</x:v>
      </x:c>
      <x:c r="C89" s="207" t="str">
        <x:v>Закупки и запасы</x:v>
      </x:c>
      <x:c r="D89" s="207" t="str">
        <x:v>Есть</x:v>
      </x:c>
      <x:c r="E89" s="207" t="str">
        <x:v>ERP/1С + WMS</x:v>
      </x:c>
      <x:c r="F89" s="207" t="str">
        <x:v>Поставщики, PO, приёмка, материалы, партии</x:v>
      </x:c>
      <x:c r="G89" s="207" t="str">
        <x:v>Quarantine/Fix</x:v>
      </x:c>
      <x:c r="H89" s="207" t="str">
        <x:v>Карантин → исправление → контрольная загрузка</x:v>
      </x:c>
      <x:c r="I89" s="208" t="str">
        <x:v>ERP/1С + WMS</x:v>
      </x:c>
    </x:row>
    <x:row r="90">
      <x:c r="A90" s="206" t="str">
        <x:v>FILE-086</x:v>
      </x:c>
      <x:c r="B90" s="207" t="str">
        <x:v>Список представленной отчетности за 2024.pdf</x:v>
      </x:c>
      <x:c r="C90" s="207" t="str">
        <x:v>Налоги и обязательная отчётность</x:v>
      </x:c>
      <x:c r="D90" s="207" t="str">
        <x:v>Есть частично/с ограничениями</x:v>
      </x:c>
      <x:c r="E90" s="207" t="str">
        <x:v>Tax ledger + ENS register + DMS</x:v>
      </x:c>
      <x:c r="F90" s="207" t="str">
        <x:v>Декларации, обязательства, уведомления, ЕНС</x:v>
      </x:c>
      <x:c r="G90" s="207" t="str">
        <x:v>Official DMS source</x:v>
      </x:c>
      <x:c r="H90" s="207" t="str">
        <x:v>Хранить как первичный/официальный документ в DMS; метаданные связать с регистром</x:v>
      </x:c>
      <x:c r="I90" s="208" t="str">
        <x:v>Tax ledger + ENS register + DMS</x:v>
      </x:c>
    </x:row>
    <x:row r="91">
      <x:c r="A91" s="206" t="str">
        <x:v>FILE-087</x:v>
      </x:c>
      <x:c r="B91" s="207" t="str">
        <x:v>Список представленной отчетности за 2025.pdf</x:v>
      </x:c>
      <x:c r="C91" s="207" t="str">
        <x:v>Налоги и обязательная отчётность</x:v>
      </x:c>
      <x:c r="D91" s="207" t="str">
        <x:v>Есть частично/с ограничениями</x:v>
      </x:c>
      <x:c r="E91" s="207" t="str">
        <x:v>Tax ledger + ENS register + DMS</x:v>
      </x:c>
      <x:c r="F91" s="207" t="str">
        <x:v>Декларации, обязательства, уведомления, ЕНС</x:v>
      </x:c>
      <x:c r="G91" s="207" t="str">
        <x:v>Official DMS source</x:v>
      </x:c>
      <x:c r="H91" s="207" t="str">
        <x:v>Хранить как первичный/официальный документ в DMS; метаданные связать с регистром</x:v>
      </x:c>
      <x:c r="I91" s="208" t="str">
        <x:v>Tax ledger + ENS register + DMS</x:v>
      </x:c>
    </x:row>
    <x:row r="92">
      <x:c r="A92" s="206" t="str">
        <x:v>FILE-088</x:v>
      </x:c>
      <x:c r="B92" s="207" t="str">
        <x:v>Список представленной отчетности за 2026.pdf</x:v>
      </x:c>
      <x:c r="C92" s="207" t="str">
        <x:v>Налоги и обязательная отчётность</x:v>
      </x:c>
      <x:c r="D92" s="207" t="str">
        <x:v>Есть частично/с ограничениями</x:v>
      </x:c>
      <x:c r="E92" s="207" t="str">
        <x:v>Tax ledger + ENS register + DMS</x:v>
      </x:c>
      <x:c r="F92" s="207" t="str">
        <x:v>Декларации, обязательства, уведомления, ЕНС</x:v>
      </x:c>
      <x:c r="G92" s="207" t="str">
        <x:v>Official DMS source</x:v>
      </x:c>
      <x:c r="H92" s="207" t="str">
        <x:v>Хранить как первичный/официальный документ в DMS; метаданные связать с регистром</x:v>
      </x:c>
      <x:c r="I92" s="208" t="str">
        <x:v>Tax ledger + ENS register + DMS</x:v>
      </x:c>
    </x:row>
    <x:row r="93">
      <x:c r="A93" s="206" t="str">
        <x:v>FILE-089</x:v>
      </x:c>
      <x:c r="B93" s="207" t="str">
        <x:v>Справка о расчетах по взносам на несч.сл на 25.06.2026.pdf</x:v>
      </x:c>
      <x:c r="C93" s="207" t="str">
        <x:v>Налоги и обязательная отчётность</x:v>
      </x:c>
      <x:c r="D93" s="207" t="str">
        <x:v>Есть частично/с ограничениями</x:v>
      </x:c>
      <x:c r="E93" s="207" t="str">
        <x:v>Tax ledger + ENS register + DMS</x:v>
      </x:c>
      <x:c r="F93" s="207" t="str">
        <x:v>Декларации, обязательства, уведомления, ЕНС</x:v>
      </x:c>
      <x:c r="G93" s="207" t="str">
        <x:v>Official DMS source</x:v>
      </x:c>
      <x:c r="H93" s="207" t="str">
        <x:v>Хранить как первичный/официальный документ в DMS; метаданные связать с регистром</x:v>
      </x:c>
      <x:c r="I93" s="208" t="str">
        <x:v>Tax ledger + ENS register + DMS</x:v>
      </x:c>
    </x:row>
    <x:row r="94">
      <x:c r="A94" s="206" t="str">
        <x:v>FILE-090</x:v>
      </x:c>
      <x:c r="B94" s="207" t="str">
        <x:v>Справка об исполнении обязанности по налогам.pdf</x:v>
      </x:c>
      <x:c r="C94" s="207" t="str">
        <x:v>Налоги и обязательная отчётность</x:v>
      </x:c>
      <x:c r="D94" s="207" t="str">
        <x:v>Есть частично/с ограничениями</x:v>
      </x:c>
      <x:c r="E94" s="207" t="str">
        <x:v>Tax ledger + ENS register + DMS</x:v>
      </x:c>
      <x:c r="F94" s="207" t="str">
        <x:v>Декларации, обязательства, уведомления, ЕНС</x:v>
      </x:c>
      <x:c r="G94" s="207" t="str">
        <x:v>Official DMS source</x:v>
      </x:c>
      <x:c r="H94" s="207" t="str">
        <x:v>Хранить как первичный/официальный документ в DMS; метаданные связать с регистром</x:v>
      </x:c>
      <x:c r="I94" s="208" t="str">
        <x:v>Tax ledger + ENS register + DMS</x:v>
      </x:c>
    </x:row>
    <x:row r="95">
      <x:c r="A95" s="206" t="str">
        <x:v>FILE-091</x:v>
      </x:c>
      <x:c r="B95" s="207" t="str">
        <x:v>Факт анализ продаж B2B 2025.xlsx</x:v>
      </x:c>
      <x:c r="C95" s="207" t="str">
        <x:v>Продажи и каналы</x:v>
      </x:c>
      <x:c r="D95" s="207" t="str">
        <x:v>Есть</x:v>
      </x:c>
      <x:c r="E95" s="207" t="str">
        <x:v>CRM/POS/CMS + ERP</x:v>
      </x:c>
      <x:c r="F95" s="207" t="str">
        <x:v>Заказы, строки продаж, возвраты, settlement</x:v>
      </x:c>
      <x:c r="G95" s="207" t="str">
        <x:v>Quarantine/Fix</x:v>
      </x:c>
      <x:c r="H95" s="207" t="str">
        <x:v>Карантин → исправление → контрольная загрузка</x:v>
      </x:c>
      <x:c r="I95" s="208" t="str">
        <x:v>CRM/POS/CMS + ERP</x:v>
      </x:c>
    </x:row>
    <x:row r="96">
      <x:c r="A96" s="206" t="str">
        <x:v>FILE-092</x:v>
      </x:c>
      <x:c r="B96" s="207" t="str">
        <x:v>Факт анализ продаж B2B 2026.xlsx</x:v>
      </x:c>
      <x:c r="C96" s="207" t="str">
        <x:v>Продажи и каналы</x:v>
      </x:c>
      <x:c r="D96" s="207" t="str">
        <x:v>Есть частично/с ограничениями</x:v>
      </x:c>
      <x:c r="E96" s="207" t="str">
        <x:v>CRM/POS/CMS + ERP</x:v>
      </x:c>
      <x:c r="F96" s="207" t="str">
        <x:v>Заказы, строки продаж, возвраты, settlement</x:v>
      </x:c>
      <x:c r="G96" s="207" t="str">
        <x:v>Quarantine/Fix</x:v>
      </x:c>
      <x:c r="H96" s="207" t="str">
        <x:v>Карантин → исправление → контрольная загрузка</x:v>
      </x:c>
      <x:c r="I96" s="208" t="str">
        <x:v>CRM/POS/CMS + ERP</x:v>
      </x:c>
    </x:row>
    <x:row r="97">
      <x:c r="A97" s="209" t="str">
        <x:v>FILE-093</x:v>
      </x:c>
      <x:c r="B97" s="210" t="str">
        <x:v>Штатка ИП.xlsx</x:v>
      </x:c>
      <x:c r="C97" s="210" t="str">
        <x:v>Персонал и оплата труда</x:v>
      </x:c>
      <x:c r="D97" s="210" t="str">
        <x:v>Есть</x:v>
      </x:c>
      <x:c r="E97" s="210" t="str">
        <x:v>HRIS/ЗУП + Payroll ledger</x:v>
      </x:c>
      <x:c r="F97" s="210" t="str">
        <x:v>Сотрудники, начисления, реестры выплат</x:v>
      </x:c>
      <x:c r="G97" s="210" t="str">
        <x:v>Quarantine/Fix</x:v>
      </x:c>
      <x:c r="H97" s="210" t="str">
        <x:v>Карантин → исправление → контрольная загрузка</x:v>
      </x:c>
      <x:c r="I97" s="211" t="str">
        <x:v>HRIS/ЗУП + Payroll ledger</x:v>
      </x:c>
    </x:row>
  </x:sheetData>
  <x:mergeCells>
    <x:mergeCell ref="A1:I1"/>
    <x:mergeCell ref="A2:I2"/>
  </x:mergeCells>
  <x:conditionalFormatting sqref="D5:D97">
    <x:cfRule type="expression" dxfId="107" priority="1">
      <x:formula>ISNUMBER(SEARCH("Подтверж",D5))</x:formula>
    </x:cfRule>
    <x:cfRule type="expression" dxfId="108" priority="2">
      <x:formula>OR(ISNUMBER(SEARCH("Част",D5)),ISNUMBER(SEARCH("оговор",D5)),ISNUMBER(SEARCH("агрегат",D5)))</x:formula>
    </x:cfRule>
    <x:cfRule type="expression" dxfId="109" priority="3">
      <x:formula>OR(ISNUMBER(SEARCH("Отсутств",D5)),ISNUMBER(SEARCH("Невозмож",D5)),ISNUMBER(SEARCH("Заблок",D5)))</x:formula>
    </x:cfRule>
  </x:conditionalFormatting>
  <x:conditionalFormatting sqref="G5:G97">
    <x:cfRule type="expression" dxfId="110" priority="4">
      <x:formula>ISNUMBER(SEARCH("Подтверж",G5))</x:formula>
    </x:cfRule>
    <x:cfRule type="expression" dxfId="111" priority="5">
      <x:formula>OR(ISNUMBER(SEARCH("Част",G5)),ISNUMBER(SEARCH("оговор",G5)),ISNUMBER(SEARCH("агрегат",G5)))</x:formula>
    </x:cfRule>
    <x:cfRule type="expression" dxfId="112" priority="6">
      <x:formula>OR(ISNUMBER(SEARCH("Отсутств",G5)),ISNUMBER(SEARCH("Невозмож",G5)),ISNUMBER(SEARCH("Заблок",G5)))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52" hidden="0" customWidth="1"/>
    <x:col min="4" max="4" width="28" hidden="0" customWidth="1"/>
    <x:col min="5" max="5" width="52" hidden="0" customWidth="1"/>
  </x:cols>
  <x:sheetData>
    <x:row r="1" ht="28" customHeight="1">
      <x:c r="A1" s="5" t="str">
        <x:v>АЛГОРИТМ ВЕДЕНИЯ ДОКУМЕНТОВ И ДАННЫХ</x:v>
      </x:c>
      <x:c r="B1" s="5"/>
      <x:c r="C1" s="5"/>
      <x:c r="D1" s="5"/>
      <x:c r="E1" s="5"/>
    </x:row>
    <x:row r="2" ht="22" customHeight="1">
      <x:c r="A2" s="14" t="str">
        <x:v>Единый жизненный цикл: Draft → Validated → Approved → Posted → Reconciled → Closed → Archived. Исправление только через adjustment/new version.</x:v>
      </x:c>
      <x:c r="B2" s="14"/>
      <x:c r="C2" s="14"/>
      <x:c r="D2" s="14"/>
      <x:c r="E2" s="14"/>
    </x:row>
    <x:row r="4" ht="28" customHeight="1">
      <x:c r="A4" s="169" t="str">
        <x:v>step</x:v>
      </x:c>
      <x:c r="B4" s="170" t="str">
        <x:v>stage</x:v>
      </x:c>
      <x:c r="C4" s="170" t="str">
        <x:v>algorithm</x:v>
      </x:c>
      <x:c r="D4" s="170" t="str">
        <x:v>owner</x:v>
      </x:c>
      <x:c r="E4" s="171" t="str">
        <x:v>stop_gate</x:v>
      </x:c>
    </x:row>
    <x:row r="5">
      <x:c r="A5" s="203" t="n">
        <x:v>1</x:v>
      </x:c>
      <x:c r="B5" s="204" t="str">
        <x:v>Create/receive</x:v>
      </x:c>
      <x:c r="C5" s="204" t="str">
        <x:v>Создать уникальный source_file_id/document_id</x:v>
      </x:c>
      <x:c r="D5" s="204" t="str">
        <x:v>Автор/система</x:v>
      </x:c>
      <x:c r="E5" s="205" t="str">
        <x:v>Не принимать файл без периода, владельца и статуса</x:v>
      </x:c>
    </x:row>
    <x:row r="6">
      <x:c r="A6" s="206" t="n">
        <x:v>2</x:v>
      </x:c>
      <x:c r="B6" s="207" t="str">
        <x:v>Validate</x:v>
      </x:c>
      <x:c r="C6" s="207" t="str">
        <x:v>Проверить обязательные поля, формат, duplicates, formula errors</x:v>
      </x:c>
      <x:c r="D6" s="207" t="str">
        <x:v>Data steward</x:v>
      </x:c>
      <x:c r="E6" s="208" t="str">
        <x:v>Ошибка → Quarantine, не в отчёт</x:v>
      </x:c>
    </x:row>
    <x:row r="7">
      <x:c r="A7" s="206" t="n">
        <x:v>3</x:v>
      </x:c>
      <x:c r="B7" s="207" t="str">
        <x:v>Normalize master data</x:v>
      </x:c>
      <x:c r="C7" s="207" t="str">
        <x:v>Связать legal_entity/account/employee/SKU/material/supplier IDs</x:v>
      </x:c>
      <x:c r="D7" s="207" t="str">
        <x:v>Master owners</x:v>
      </x:c>
      <x:c r="E7" s="208" t="str">
        <x:v>Неоднозначность → decision queue</x:v>
      </x:c>
    </x:row>
    <x:row r="8">
      <x:c r="A8" s="206" t="n">
        <x:v>4</x:v>
      </x:c>
      <x:c r="B8" s="207" t="str">
        <x:v>Approve</x:v>
      </x:c>
      <x:c r="C8" s="207" t="str">
        <x:v>Owner/approver подтверждает запись/версию</x:v>
      </x:c>
      <x:c r="D8" s="207" t="str">
        <x:v>Business owner</x:v>
      </x:c>
      <x:c r="E8" s="208" t="str">
        <x:v>Draft не используется как source of truth</x:v>
      </x:c>
    </x:row>
    <x:row r="9">
      <x:c r="A9" s="206" t="n">
        <x:v>5</x:v>
      </x:c>
      <x:c r="B9" s="207" t="str">
        <x:v>Post</x:v>
      </x:c>
      <x:c r="C9" s="207" t="str">
        <x:v>Провести транзакцию с reference to source/parent document</x:v>
      </x:c>
      <x:c r="D9" s="207" t="str">
        <x:v>ERP owner</x:v>
      </x:c>
      <x:c r="E9" s="208" t="str">
        <x:v>Нет parent ID → exception</x:v>
      </x:c>
    </x:row>
    <x:row r="10">
      <x:c r="A10" s="206" t="n">
        <x:v>6</x:v>
      </x:c>
      <x:c r="B10" s="207" t="str">
        <x:v>Reconcile</x:v>
      </x:c>
      <x:c r="C10" s="207" t="str">
        <x:v>Сверить totals, counts, balances, movements and allocations</x:v>
      </x:c>
      <x:c r="D10" s="207" t="str">
        <x:v>Control owner</x:v>
      </x:c>
      <x:c r="E10" s="208" t="str">
        <x:v>Difference ≠ 0 → exception ID</x:v>
      </x:c>
    </x:row>
    <x:row r="11">
      <x:c r="A11" s="206" t="n">
        <x:v>7</x:v>
      </x:c>
      <x:c r="B11" s="207" t="str">
        <x:v>Close</x:v>
      </x:c>
      <x:c r="C11" s="207" t="str">
        <x:v>Подписать период и зафиксировать close_period_id</x:v>
      </x:c>
      <x:c r="D11" s="207" t="str">
        <x:v>Finance/business owner</x:v>
      </x:c>
      <x:c r="E11" s="208" t="str">
        <x:v>Critical exception open → Partial, not Closed</x:v>
      </x:c>
    </x:row>
    <x:row r="12">
      <x:c r="A12" s="206" t="n">
        <x:v>8</x:v>
      </x:c>
      <x:c r="B12" s="207" t="str">
        <x:v>Correct</x:v>
      </x:c>
      <x:c r="C12" s="207" t="str">
        <x:v>Создать adjustment/new version; не перезаписывать историю</x:v>
      </x:c>
      <x:c r="D12" s="207" t="str">
        <x:v>Owner + approver</x:v>
      </x:c>
      <x:c r="E12" s="208" t="str">
        <x:v>Direct overwrite prohibited</x:v>
      </x:c>
    </x:row>
    <x:row r="13">
      <x:c r="A13" s="206" t="n">
        <x:v>9</x:v>
      </x:c>
      <x:c r="B13" s="207" t="str">
        <x:v>Publish</x:v>
      </x:c>
      <x:c r="C13" s="207" t="str">
        <x:v>Обновить DWH/BI only from approved/posted/closed data</x:v>
      </x:c>
      <x:c r="D13" s="207" t="str">
        <x:v>Analytics/Data</x:v>
      </x:c>
      <x:c r="E13" s="208" t="str">
        <x:v>Draft/quarantine excluded</x:v>
      </x:c>
    </x:row>
    <x:row r="14">
      <x:c r="A14" s="209" t="n">
        <x:v>10</x:v>
      </x:c>
      <x:c r="B14" s="210" t="str">
        <x:v>Archive</x:v>
      </x:c>
      <x:c r="C14" s="210" t="str">
        <x:v>Переместить old files в read-only archive with retention</x:v>
      </x:c>
      <x:c r="D14" s="210" t="str">
        <x:v>DMS/Data steward</x:v>
      </x:c>
      <x:c r="E14" s="211" t="str">
        <x:v>No deletion without retention policy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 ht="28" customHeight="1">
      <x:c r="A1" s="5" t="str">
        <x:v>МЕТОДИКА, ОГРАНИЧЕНИЯ И ПРАВИЛА ДОКАЗАТЕЛЬНОСТИ</x:v>
      </x:c>
      <x:c r="B1" s="5"/>
    </x:row>
    <x:row r="2" ht="22" customHeight="1">
      <x:c r="A2" s="14" t="str">
        <x:v>Эти правила обязательны для интерпретации workbook и будущего аудита.</x:v>
      </x:c>
      <x:c r="B2" s="14"/>
    </x:row>
    <x:row r="4" ht="28" customHeight="1">
      <x:c r="A4" s="169" t="str">
        <x:v>topic</x:v>
      </x:c>
      <x:c r="B4" s="171" t="str">
        <x:v>rule</x:v>
      </x:c>
    </x:row>
    <x:row r="5">
      <x:c r="A5" s="203" t="str">
        <x:v>Scope</x:v>
      </x:c>
      <x:c r="B5" s="205" t="str">
        <x:v>В анализ включены 93 переданных файла и результаты Stages 1–17. Полнота всех систем не подтверждена.</x:v>
      </x:c>
    </x:row>
    <x:row r="6">
      <x:c r="A6" s="206" t="str">
        <x:v>Evidence hierarchy</x:v>
      </x:c>
      <x:c r="B6" s="208" t="str">
        <x:v>Primary bank/system export &gt; official filed form &gt; controlled register &gt; working Excel &gt; narrative explanation.</x:v>
      </x:c>
    </x:row>
    <x:row r="7">
      <x:c r="A7" s="206" t="str">
        <x:v>Join confidence</x:v>
      </x:c>
      <x:c r="B7" s="208" t="str">
        <x:v>Confirmed = independent key/control; Partial = aggregate/text candidate; Missing = no acceptable join.</x:v>
      </x:c>
    </x:row>
    <x:row r="8">
      <x:c r="A8" s="206" t="str">
        <x:v>No assumptions</x:v>
      </x:c>
      <x:c r="B8" s="208" t="str">
        <x:v>Отсутствующая операция/ID не восстанавливается пропорционально или по похожей сумме без owner approval.</x:v>
      </x:c>
    </x:row>
    <x:row r="9">
      <x:c r="A9" s="206" t="str">
        <x:v>Cash vs profit</x:v>
      </x:c>
      <x:c r="B9" s="208" t="str">
        <x:v>Cash result, receipts and payments are not P&amp;L without accruals, inventory, WIP and AR/AP.</x:v>
      </x:c>
    </x:row>
    <x:row r="10">
      <x:c r="A10" s="206" t="str">
        <x:v>Inventory</x:v>
      </x:c>
      <x:c r="B10" s="208" t="str">
        <x:v>Snapshot on one date proves amount at that date only; it does not prove aging, liquidity or usage.</x:v>
      </x:c>
    </x:row>
    <x:row r="11">
      <x:c r="A11" s="206" t="str">
        <x:v>Tax</x:v>
      </x:c>
      <x:c r="B11" s="208" t="str">
        <x:v>Bank ETP/ЕНП payment does not prove settlement of a specific obligation without ENS allocation.</x:v>
      </x:c>
    </x:row>
    <x:row r="12">
      <x:c r="A12" s="206" t="str">
        <x:v>Privacy</x:v>
      </x:c>
      <x:c r="B12" s="208" t="str">
        <x:v>Employee/passport values are excluded from analytical outputs; only anonymized IDs and source references.</x:v>
      </x:c>
    </x:row>
    <x:row r="13">
      <x:c r="A13" s="206" t="str">
        <x:v>Versioning</x:v>
      </x:c>
      <x:c r="B13" s="208" t="str">
        <x:v>Approved/Closed records are immutable; corrections use adjustment_id or new version_id.</x:v>
      </x:c>
    </x:row>
    <x:row r="14">
      <x:c r="A14" s="209" t="str">
        <x:v>Acceptance</x:v>
      </x:c>
      <x:c r="B14" s="211" t="str">
        <x:v>A missing-data export is accepted only with full period, primary IDs, control totals, owner and generation date.</x:v>
      </x:c>
    </x:row>
  </x:sheetData>
  <x:mergeCells>
    <x:mergeCell ref="A1:B1"/>
    <x:mergeCell ref="A2:B2"/>
  </x:mergeCells>
  <x:pageMargins left="0.7" right="0.7" top="0.75" bottom="0.75" header="0.3" footer="0.3"/>
</x:worksheet>
</file>